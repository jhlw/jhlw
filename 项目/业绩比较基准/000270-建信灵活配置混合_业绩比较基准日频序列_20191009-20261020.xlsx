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序列" sheetId="1" state="visible" r:id="rId1"/>
    <sheet xmlns:r="http://schemas.openxmlformats.org/officeDocument/2006/relationships" name="成分明细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0" hidden="1">'基准序列'!$A$1:$E$1706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00"/>
    <numFmt numFmtId="166" formatCode="0.00000000"/>
    <numFmt numFmtId="167" formatCode="0.0000%"/>
    <numFmt numFmtId="168" formatCode="0.0000"/>
  </numFmts>
  <fonts count="4">
    <font>
      <name val="Calibri"/>
      <family val="2"/>
      <color theme="1"/>
      <sz val="11"/>
      <scheme val="minor"/>
    </font>
    <font>
      <name val="等线"/>
      <b val="1"/>
      <color rgb="00FFFFFF"/>
      <sz val="11"/>
    </font>
    <font>
      <name val="等线"/>
      <sz val="11"/>
    </font>
    <font>
      <name val="等线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3" borderId="0" pivotButton="0" quotePrefix="0" xfId="0"/>
    <xf numFmtId="168" fontId="2" fillId="3" borderId="0" pivotButton="0" quotePrefix="0" xfId="0"/>
    <xf numFmtId="168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交易日期</t>
        </is>
      </c>
      <c r="B1" s="1" t="inlineStr">
        <is>
          <t>基准点位</t>
        </is>
      </c>
      <c r="C1" s="1" t="inlineStr">
        <is>
          <t>1＋基准收益率</t>
        </is>
      </c>
      <c r="D1" s="1" t="inlineStr">
        <is>
          <t>基准累计增长率</t>
        </is>
      </c>
      <c r="E1" s="1" t="inlineStr">
        <is>
          <t>基准收益率</t>
        </is>
      </c>
    </row>
    <row r="2">
      <c r="A2" s="2" t="n">
        <v>43747</v>
      </c>
      <c r="B2" s="3" t="n">
        <v>1010.86141</v>
      </c>
      <c r="C2" s="4" t="n">
        <v>1.01086141</v>
      </c>
      <c r="D2" s="5" t="n">
        <v>0.01086141</v>
      </c>
      <c r="E2" s="5" t="n">
        <v>0.01086141</v>
      </c>
    </row>
    <row r="3">
      <c r="A3" s="2" t="n">
        <v>43748</v>
      </c>
      <c r="B3" s="3" t="n">
        <v>1022.940779287708</v>
      </c>
      <c r="C3" s="4" t="n">
        <v>1.01194958</v>
      </c>
      <c r="D3" s="5" t="n">
        <v>0.02294078</v>
      </c>
      <c r="E3" s="5" t="n">
        <v>0.01194958</v>
      </c>
    </row>
    <row r="4">
      <c r="A4" s="2" t="n">
        <v>43749</v>
      </c>
      <c r="B4" s="3" t="n">
        <v>1025.250845531942</v>
      </c>
      <c r="C4" s="4" t="n">
        <v>1.00225826</v>
      </c>
      <c r="D4" s="5" t="n">
        <v>0.02525085</v>
      </c>
      <c r="E4" s="5" t="n">
        <v>0.00225826</v>
      </c>
    </row>
    <row r="5">
      <c r="A5" s="2" t="n">
        <v>43752</v>
      </c>
      <c r="B5" s="3" t="n">
        <v>1040.184536570368</v>
      </c>
      <c r="C5" s="4" t="n">
        <v>1.01456589</v>
      </c>
      <c r="D5" s="5" t="n">
        <v>0.04018454</v>
      </c>
      <c r="E5" s="5" t="n">
        <v>0.01456589</v>
      </c>
    </row>
    <row r="6">
      <c r="A6" s="2" t="n">
        <v>43753</v>
      </c>
      <c r="B6" s="3" t="n">
        <v>1030.340750208534</v>
      </c>
      <c r="C6" s="4" t="n">
        <v>0.9905365</v>
      </c>
      <c r="D6" s="5" t="n">
        <v>0.03034075</v>
      </c>
      <c r="E6" s="5" t="n">
        <v>-0.0094635</v>
      </c>
    </row>
    <row r="7">
      <c r="A7" s="2" t="n">
        <v>43754</v>
      </c>
      <c r="B7" s="3" t="n">
        <v>1023.339152067752</v>
      </c>
      <c r="C7" s="4" t="n">
        <v>0.99320458</v>
      </c>
      <c r="D7" s="5" t="n">
        <v>0.02333915</v>
      </c>
      <c r="E7" s="5" t="n">
        <v>-0.00679542</v>
      </c>
    </row>
    <row r="8">
      <c r="A8" s="2" t="n">
        <v>43755</v>
      </c>
      <c r="B8" s="3" t="n">
        <v>1022.172330533172</v>
      </c>
      <c r="C8" s="4" t="n">
        <v>0.99885979</v>
      </c>
      <c r="D8" s="5" t="n">
        <v>0.02217233</v>
      </c>
      <c r="E8" s="5" t="n">
        <v>-0.00114021</v>
      </c>
    </row>
    <row r="9">
      <c r="A9" s="2" t="n">
        <v>43756</v>
      </c>
      <c r="B9" s="3" t="n">
        <v>1009.840230234222</v>
      </c>
      <c r="C9" s="4" t="n">
        <v>0.9879354</v>
      </c>
      <c r="D9" s="5" t="n">
        <v>0.00984023</v>
      </c>
      <c r="E9" s="5" t="n">
        <v>-0.0120646</v>
      </c>
    </row>
    <row r="10">
      <c r="A10" s="2" t="n">
        <v>43759</v>
      </c>
      <c r="B10" s="3" t="n">
        <v>1006.605651386368</v>
      </c>
      <c r="C10" s="4" t="n">
        <v>0.99679694</v>
      </c>
      <c r="D10" s="5" t="n">
        <v>0.00660565</v>
      </c>
      <c r="E10" s="5" t="n">
        <v>-0.00320306</v>
      </c>
    </row>
    <row r="11">
      <c r="A11" s="2" t="n">
        <v>43760</v>
      </c>
      <c r="B11" s="3" t="n">
        <v>1018.770138437451</v>
      </c>
      <c r="C11" s="4" t="n">
        <v>1.01208466</v>
      </c>
      <c r="D11" s="5" t="n">
        <v>0.01877014</v>
      </c>
      <c r="E11" s="5" t="n">
        <v>0.01208466</v>
      </c>
    </row>
    <row r="12">
      <c r="A12" s="2" t="n">
        <v>43761</v>
      </c>
      <c r="B12" s="3" t="n">
        <v>1013.260028454399</v>
      </c>
      <c r="C12" s="4" t="n">
        <v>0.99459141</v>
      </c>
      <c r="D12" s="5" t="n">
        <v>0.01326003</v>
      </c>
      <c r="E12" s="5" t="n">
        <v>-0.00540859</v>
      </c>
    </row>
    <row r="13">
      <c r="A13" s="2" t="n">
        <v>43762</v>
      </c>
      <c r="B13" s="3" t="n">
        <v>1012.745079575338</v>
      </c>
      <c r="C13" s="4" t="n">
        <v>0.99949179</v>
      </c>
      <c r="D13" s="5" t="n">
        <v>0.01274508</v>
      </c>
      <c r="E13" s="5" t="n">
        <v>-0.00050821</v>
      </c>
    </row>
    <row r="14">
      <c r="A14" s="2" t="n">
        <v>43763</v>
      </c>
      <c r="B14" s="3" t="n">
        <v>1017.587185967452</v>
      </c>
      <c r="C14" s="4" t="n">
        <v>1.00478117</v>
      </c>
      <c r="D14" s="5" t="n">
        <v>0.01758719</v>
      </c>
      <c r="E14" s="5" t="n">
        <v>0.00478117</v>
      </c>
    </row>
    <row r="15">
      <c r="A15" s="2" t="n">
        <v>43766</v>
      </c>
      <c r="B15" s="3" t="n">
        <v>1036.691988524988</v>
      </c>
      <c r="C15" s="4" t="n">
        <v>1.01877461</v>
      </c>
      <c r="D15" s="5" t="n">
        <v>0.03669199</v>
      </c>
      <c r="E15" s="5" t="n">
        <v>0.01877461</v>
      </c>
    </row>
    <row r="16">
      <c r="A16" s="2" t="n">
        <v>43767</v>
      </c>
      <c r="B16" s="3" t="n">
        <v>1021.370251115182</v>
      </c>
      <c r="C16" s="4" t="n">
        <v>0.98522055</v>
      </c>
      <c r="D16" s="5" t="n">
        <v>0.02137025</v>
      </c>
      <c r="E16" s="5" t="n">
        <v>-0.01477945</v>
      </c>
    </row>
    <row r="17">
      <c r="A17" s="2" t="n">
        <v>43768</v>
      </c>
      <c r="B17" s="3" t="n">
        <v>1007.685993772956</v>
      </c>
      <c r="C17" s="4" t="n">
        <v>0.9866020599999999</v>
      </c>
      <c r="D17" s="5" t="n">
        <v>0.00768599</v>
      </c>
      <c r="E17" s="5" t="n">
        <v>-0.01339794</v>
      </c>
    </row>
    <row r="18">
      <c r="A18" s="2" t="n">
        <v>43769</v>
      </c>
      <c r="B18" s="3" t="n">
        <v>994.0033008131289</v>
      </c>
      <c r="C18" s="4" t="n">
        <v>0.98642167</v>
      </c>
      <c r="D18" s="5" t="n">
        <v>-0.0059967</v>
      </c>
      <c r="E18" s="5" t="n">
        <v>-0.01357833</v>
      </c>
    </row>
    <row r="19">
      <c r="A19" s="2" t="n">
        <v>43770</v>
      </c>
      <c r="B19" s="3" t="n">
        <v>1002.880406331569</v>
      </c>
      <c r="C19" s="4" t="n">
        <v>1.00893066</v>
      </c>
      <c r="D19" s="5" t="n">
        <v>0.00288041</v>
      </c>
      <c r="E19" s="5" t="n">
        <v>0.00893066</v>
      </c>
    </row>
    <row r="20">
      <c r="A20" s="2" t="n">
        <v>43773</v>
      </c>
      <c r="B20" s="3" t="n">
        <v>1004.234264793704</v>
      </c>
      <c r="C20" s="4" t="n">
        <v>1.00134997</v>
      </c>
      <c r="D20" s="5" t="n">
        <v>0.00423426</v>
      </c>
      <c r="E20" s="5" t="n">
        <v>0.00134997</v>
      </c>
    </row>
    <row r="21">
      <c r="A21" s="2" t="n">
        <v>43774</v>
      </c>
      <c r="B21" s="3" t="n">
        <v>1003.306271994294</v>
      </c>
      <c r="C21" s="4" t="n">
        <v>0.99907592</v>
      </c>
      <c r="D21" s="5" t="n">
        <v>0.00330627</v>
      </c>
      <c r="E21" s="5" t="n">
        <v>-0.00092408</v>
      </c>
    </row>
    <row r="22">
      <c r="A22" s="2" t="n">
        <v>43775</v>
      </c>
      <c r="B22" s="3" t="n">
        <v>993.9121548406075</v>
      </c>
      <c r="C22" s="4" t="n">
        <v>0.99063684</v>
      </c>
      <c r="D22" s="5" t="n">
        <v>-0.00608785</v>
      </c>
      <c r="E22" s="5" t="n">
        <v>-0.009363160000000001</v>
      </c>
    </row>
    <row r="23">
      <c r="A23" s="2" t="n">
        <v>43776</v>
      </c>
      <c r="B23" s="3" t="n">
        <v>1000.952481893813</v>
      </c>
      <c r="C23" s="4" t="n">
        <v>1.00708345</v>
      </c>
      <c r="D23" s="5" t="n">
        <v>0.00095248</v>
      </c>
      <c r="E23" s="5" t="n">
        <v>0.00708345</v>
      </c>
    </row>
    <row r="24">
      <c r="A24" s="2" t="n">
        <v>43777</v>
      </c>
      <c r="B24" s="3" t="n">
        <v>998.6143169532583</v>
      </c>
      <c r="C24" s="4" t="n">
        <v>0.99766406</v>
      </c>
      <c r="D24" s="5" t="n">
        <v>-0.00138568</v>
      </c>
      <c r="E24" s="5" t="n">
        <v>-0.00233594</v>
      </c>
    </row>
    <row r="25">
      <c r="A25" s="2" t="n">
        <v>43780</v>
      </c>
      <c r="B25" s="3" t="n">
        <v>975.3135292620699</v>
      </c>
      <c r="C25" s="4" t="n">
        <v>0.97666688</v>
      </c>
      <c r="D25" s="5" t="n">
        <v>-0.02468647</v>
      </c>
      <c r="E25" s="5" t="n">
        <v>-0.02333312</v>
      </c>
    </row>
    <row r="26">
      <c r="A26" s="2" t="n">
        <v>43781</v>
      </c>
      <c r="B26" s="3" t="n">
        <v>978.1566169655453</v>
      </c>
      <c r="C26" s="4" t="n">
        <v>1.00291505</v>
      </c>
      <c r="D26" s="5" t="n">
        <v>-0.02184338</v>
      </c>
      <c r="E26" s="5" t="n">
        <v>0.00291505</v>
      </c>
    </row>
    <row r="27">
      <c r="A27" s="2" t="n">
        <v>43782</v>
      </c>
      <c r="B27" s="3" t="n">
        <v>974.7144642673111</v>
      </c>
      <c r="C27" s="4" t="n">
        <v>0.99648098</v>
      </c>
      <c r="D27" s="5" t="n">
        <v>-0.02528554</v>
      </c>
      <c r="E27" s="5" t="n">
        <v>-0.00351902</v>
      </c>
    </row>
    <row r="28">
      <c r="A28" s="2" t="n">
        <v>43783</v>
      </c>
      <c r="B28" s="3" t="n">
        <v>981.8626789981852</v>
      </c>
      <c r="C28" s="4" t="n">
        <v>1.00733365</v>
      </c>
      <c r="D28" s="5" t="n">
        <v>-0.01813732</v>
      </c>
      <c r="E28" s="5" t="n">
        <v>0.00733365</v>
      </c>
    </row>
    <row r="29">
      <c r="A29" s="2" t="n">
        <v>43784</v>
      </c>
      <c r="B29" s="3" t="n">
        <v>969.395143798295</v>
      </c>
      <c r="C29" s="4" t="n">
        <v>0.98730216</v>
      </c>
      <c r="D29" s="5" t="n">
        <v>-0.03060486</v>
      </c>
      <c r="E29" s="5" t="n">
        <v>-0.01269784</v>
      </c>
    </row>
    <row r="30">
      <c r="A30" s="2" t="n">
        <v>43787</v>
      </c>
      <c r="B30" s="3" t="n">
        <v>976.0268147528249</v>
      </c>
      <c r="C30" s="4" t="n">
        <v>1.00684104</v>
      </c>
      <c r="D30" s="5" t="n">
        <v>-0.02397319</v>
      </c>
      <c r="E30" s="5" t="n">
        <v>0.00684104</v>
      </c>
    </row>
    <row r="31">
      <c r="A31" s="2" t="n">
        <v>43788</v>
      </c>
      <c r="B31" s="3" t="n">
        <v>991.8050787950242</v>
      </c>
      <c r="C31" s="4" t="n">
        <v>1.01616581</v>
      </c>
      <c r="D31" s="5" t="n">
        <v>-0.00819492</v>
      </c>
      <c r="E31" s="5" t="n">
        <v>0.01616581</v>
      </c>
    </row>
    <row r="32">
      <c r="A32" s="2" t="n">
        <v>43789</v>
      </c>
      <c r="B32" s="3" t="n">
        <v>985.628434141914</v>
      </c>
      <c r="C32" s="4" t="n">
        <v>0.99377232</v>
      </c>
      <c r="D32" s="5" t="n">
        <v>-0.01437157</v>
      </c>
      <c r="E32" s="5" t="n">
        <v>-0.00622768</v>
      </c>
    </row>
    <row r="33">
      <c r="A33" s="2" t="n">
        <v>43790</v>
      </c>
      <c r="B33" s="3" t="n">
        <v>984.7464346813377</v>
      </c>
      <c r="C33" s="4" t="n">
        <v>0.9991051399999999</v>
      </c>
      <c r="D33" s="5" t="n">
        <v>-0.01525357</v>
      </c>
      <c r="E33" s="5" t="n">
        <v>-0.00089486</v>
      </c>
    </row>
    <row r="34">
      <c r="A34" s="2" t="n">
        <v>43791</v>
      </c>
      <c r="B34" s="3" t="n">
        <v>975.1098833259043</v>
      </c>
      <c r="C34" s="4" t="n">
        <v>0.9902141800000001</v>
      </c>
      <c r="D34" s="5" t="n">
        <v>-0.02489012</v>
      </c>
      <c r="E34" s="5" t="n">
        <v>-0.009785820000000001</v>
      </c>
    </row>
    <row r="35">
      <c r="A35" s="2" t="n">
        <v>43794</v>
      </c>
      <c r="B35" s="3" t="n">
        <v>967.5069515656122</v>
      </c>
      <c r="C35" s="4" t="n">
        <v>0.9922029999999999</v>
      </c>
      <c r="D35" s="5" t="n">
        <v>-0.03249305</v>
      </c>
      <c r="E35" s="5" t="n">
        <v>-0.007797</v>
      </c>
    </row>
    <row r="36">
      <c r="A36" s="2" t="n">
        <v>43795</v>
      </c>
      <c r="B36" s="3" t="n">
        <v>966.5354584854061</v>
      </c>
      <c r="C36" s="4" t="n">
        <v>0.9989958799999999</v>
      </c>
      <c r="D36" s="5" t="n">
        <v>-0.03346454</v>
      </c>
      <c r="E36" s="5" t="n">
        <v>-0.00100412</v>
      </c>
    </row>
    <row r="37">
      <c r="A37" s="2" t="n">
        <v>43796</v>
      </c>
      <c r="B37" s="3" t="n">
        <v>966.1820351296564</v>
      </c>
      <c r="C37" s="4" t="n">
        <v>0.99963434</v>
      </c>
      <c r="D37" s="5" t="n">
        <v>-0.03381796</v>
      </c>
      <c r="E37" s="5" t="n">
        <v>-0.00036566</v>
      </c>
    </row>
    <row r="38">
      <c r="A38" s="2" t="n">
        <v>43797</v>
      </c>
      <c r="B38" s="3" t="n">
        <v>964.340376228855</v>
      </c>
      <c r="C38" s="4" t="n">
        <v>0.99809388</v>
      </c>
      <c r="D38" s="5" t="n">
        <v>-0.03565962</v>
      </c>
      <c r="E38" s="5" t="n">
        <v>-0.00190612</v>
      </c>
    </row>
    <row r="39">
      <c r="A39" s="2" t="n">
        <v>43798</v>
      </c>
      <c r="B39" s="3" t="n">
        <v>965.0316732709584</v>
      </c>
      <c r="C39" s="4" t="n">
        <v>1.00071686</v>
      </c>
      <c r="D39" s="5" t="n">
        <v>-0.03496833</v>
      </c>
      <c r="E39" s="5" t="n">
        <v>0.00071686</v>
      </c>
    </row>
    <row r="40">
      <c r="A40" s="2" t="n">
        <v>43801</v>
      </c>
      <c r="B40" s="3" t="n">
        <v>966.5157375793814</v>
      </c>
      <c r="C40" s="4" t="n">
        <v>1.00153784</v>
      </c>
      <c r="D40" s="5" t="n">
        <v>-0.03348426</v>
      </c>
      <c r="E40" s="5" t="n">
        <v>0.00153784</v>
      </c>
    </row>
    <row r="41">
      <c r="A41" s="2" t="n">
        <v>43802</v>
      </c>
      <c r="B41" s="3" t="n">
        <v>972.7092477470489</v>
      </c>
      <c r="C41" s="4" t="n">
        <v>1.00640808</v>
      </c>
      <c r="D41" s="5" t="n">
        <v>-0.02729075</v>
      </c>
      <c r="E41" s="5" t="n">
        <v>0.00640808</v>
      </c>
    </row>
    <row r="42">
      <c r="A42" s="2" t="n">
        <v>43803</v>
      </c>
      <c r="B42" s="3" t="n">
        <v>973.9611829114542</v>
      </c>
      <c r="C42" s="4" t="n">
        <v>1.00128706</v>
      </c>
      <c r="D42" s="5" t="n">
        <v>-0.02603882</v>
      </c>
      <c r="E42" s="5" t="n">
        <v>0.00128706</v>
      </c>
    </row>
    <row r="43">
      <c r="A43" s="2" t="n">
        <v>43804</v>
      </c>
      <c r="B43" s="3" t="n">
        <v>984.2966934111095</v>
      </c>
      <c r="C43" s="4" t="n">
        <v>1.01061183</v>
      </c>
      <c r="D43" s="5" t="n">
        <v>-0.01570331</v>
      </c>
      <c r="E43" s="5" t="n">
        <v>0.01061183</v>
      </c>
    </row>
    <row r="44">
      <c r="A44" s="2" t="n">
        <v>43805</v>
      </c>
      <c r="B44" s="3" t="n">
        <v>989.7375213425095</v>
      </c>
      <c r="C44" s="4" t="n">
        <v>1.00552763</v>
      </c>
      <c r="D44" s="5" t="n">
        <v>-0.01026248</v>
      </c>
      <c r="E44" s="5" t="n">
        <v>0.00552763</v>
      </c>
    </row>
    <row r="45">
      <c r="A45" s="2" t="n">
        <v>43808</v>
      </c>
      <c r="B45" s="3" t="n">
        <v>992.7125733579129</v>
      </c>
      <c r="C45" s="4" t="n">
        <v>1.0030059</v>
      </c>
      <c r="D45" s="5" t="n">
        <v>-0.00728743</v>
      </c>
      <c r="E45" s="5" t="n">
        <v>0.0030059</v>
      </c>
    </row>
    <row r="46">
      <c r="A46" s="2" t="n">
        <v>43809</v>
      </c>
      <c r="B46" s="3" t="n">
        <v>997.5911600284231</v>
      </c>
      <c r="C46" s="4" t="n">
        <v>1.0049144</v>
      </c>
      <c r="D46" s="5" t="n">
        <v>-0.00240884</v>
      </c>
      <c r="E46" s="5" t="n">
        <v>0.0049144</v>
      </c>
    </row>
    <row r="47">
      <c r="A47" s="2" t="n">
        <v>43810</v>
      </c>
      <c r="B47" s="3" t="n">
        <v>996.3914768511962</v>
      </c>
      <c r="C47" s="4" t="n">
        <v>0.99879742</v>
      </c>
      <c r="D47" s="5" t="n">
        <v>-0.00360852</v>
      </c>
      <c r="E47" s="5" t="n">
        <v>-0.00120258</v>
      </c>
    </row>
    <row r="48">
      <c r="A48" s="2" t="n">
        <v>43811</v>
      </c>
      <c r="B48" s="3" t="n">
        <v>995.9456215570497</v>
      </c>
      <c r="C48" s="4" t="n">
        <v>0.99955253</v>
      </c>
      <c r="D48" s="5" t="n">
        <v>-0.00405438</v>
      </c>
      <c r="E48" s="5" t="n">
        <v>-0.00044747</v>
      </c>
    </row>
    <row r="49">
      <c r="A49" s="2" t="n">
        <v>43812</v>
      </c>
      <c r="B49" s="3" t="n">
        <v>1005.05154241549</v>
      </c>
      <c r="C49" s="4" t="n">
        <v>1.00914299</v>
      </c>
      <c r="D49" s="5" t="n">
        <v>0.00505154</v>
      </c>
      <c r="E49" s="5" t="n">
        <v>0.00914299</v>
      </c>
    </row>
    <row r="50">
      <c r="A50" s="2" t="n">
        <v>43815</v>
      </c>
      <c r="B50" s="3" t="n">
        <v>1021.485120084494</v>
      </c>
      <c r="C50" s="4" t="n">
        <v>1.01635098</v>
      </c>
      <c r="D50" s="5" t="n">
        <v>0.02148512</v>
      </c>
      <c r="E50" s="5" t="n">
        <v>0.01635098</v>
      </c>
    </row>
    <row r="51">
      <c r="A51" s="2" t="n">
        <v>43816</v>
      </c>
      <c r="B51" s="3" t="n">
        <v>1031.707070606924</v>
      </c>
      <c r="C51" s="4" t="n">
        <v>1.01000695</v>
      </c>
      <c r="D51" s="5" t="n">
        <v>0.03170707</v>
      </c>
      <c r="E51" s="5" t="n">
        <v>0.01000695</v>
      </c>
    </row>
    <row r="52">
      <c r="A52" s="2" t="n">
        <v>43817</v>
      </c>
      <c r="B52" s="3" t="n">
        <v>1034.272049140513</v>
      </c>
      <c r="C52" s="4" t="n">
        <v>1.00248615</v>
      </c>
      <c r="D52" s="5" t="n">
        <v>0.03427205</v>
      </c>
      <c r="E52" s="5" t="n">
        <v>0.00248615</v>
      </c>
    </row>
    <row r="53">
      <c r="A53" s="2" t="n">
        <v>43818</v>
      </c>
      <c r="B53" s="3" t="n">
        <v>1041.423502538854</v>
      </c>
      <c r="C53" s="4" t="n">
        <v>1.00691448</v>
      </c>
      <c r="D53" s="5" t="n">
        <v>0.0414235</v>
      </c>
      <c r="E53" s="5" t="n">
        <v>0.00691448</v>
      </c>
    </row>
    <row r="54">
      <c r="A54" s="2" t="n">
        <v>43819</v>
      </c>
      <c r="B54" s="3" t="n">
        <v>1031.00902798606</v>
      </c>
      <c r="C54" s="4" t="n">
        <v>0.9899997699999999</v>
      </c>
      <c r="D54" s="5" t="n">
        <v>0.03100903</v>
      </c>
      <c r="E54" s="5" t="n">
        <v>-0.01000023</v>
      </c>
    </row>
    <row r="55">
      <c r="A55" s="2" t="n">
        <v>43822</v>
      </c>
      <c r="B55" s="3" t="n">
        <v>1009.175483831573</v>
      </c>
      <c r="C55" s="4" t="n">
        <v>0.97882313</v>
      </c>
      <c r="D55" s="5" t="n">
        <v>0.00917548</v>
      </c>
      <c r="E55" s="5" t="n">
        <v>-0.02117687</v>
      </c>
    </row>
    <row r="56">
      <c r="A56" s="2" t="n">
        <v>43823</v>
      </c>
      <c r="B56" s="3" t="n">
        <v>1024.762249638126</v>
      </c>
      <c r="C56" s="4" t="n">
        <v>1.01544505</v>
      </c>
      <c r="D56" s="5" t="n">
        <v>0.02476225</v>
      </c>
      <c r="E56" s="5" t="n">
        <v>0.01544505</v>
      </c>
    </row>
    <row r="57">
      <c r="A57" s="2" t="n">
        <v>43824</v>
      </c>
      <c r="B57" s="3" t="n">
        <v>1029.200679398514</v>
      </c>
      <c r="C57" s="4" t="n">
        <v>1.00433118</v>
      </c>
      <c r="D57" s="5" t="n">
        <v>0.02920068</v>
      </c>
      <c r="E57" s="5" t="n">
        <v>0.00433118</v>
      </c>
    </row>
    <row r="58">
      <c r="A58" s="2" t="n">
        <v>43825</v>
      </c>
      <c r="B58" s="3" t="n">
        <v>1037.057484172967</v>
      </c>
      <c r="C58" s="4" t="n">
        <v>1.00763389</v>
      </c>
      <c r="D58" s="5" t="n">
        <v>0.03705748</v>
      </c>
      <c r="E58" s="5" t="n">
        <v>0.00763389</v>
      </c>
    </row>
    <row r="59">
      <c r="A59" s="2" t="n">
        <v>43826</v>
      </c>
      <c r="B59" s="3" t="n">
        <v>1028.114253029004</v>
      </c>
      <c r="C59" s="4" t="n">
        <v>0.99137634</v>
      </c>
      <c r="D59" s="5" t="n">
        <v>0.02811425</v>
      </c>
      <c r="E59" s="5" t="n">
        <v>-0.00862366</v>
      </c>
    </row>
    <row r="60">
      <c r="A60" s="2" t="n">
        <v>43829</v>
      </c>
      <c r="B60" s="3" t="n">
        <v>1030.842117733138</v>
      </c>
      <c r="C60" s="4" t="n">
        <v>1.00265327</v>
      </c>
      <c r="D60" s="5" t="n">
        <v>0.03084212</v>
      </c>
      <c r="E60" s="5" t="n">
        <v>0.00265327</v>
      </c>
    </row>
    <row r="61">
      <c r="A61" s="2" t="n">
        <v>43830</v>
      </c>
      <c r="B61" s="3" t="n">
        <v>1036.007378949306</v>
      </c>
      <c r="C61" s="4" t="n">
        <v>1.00501072</v>
      </c>
      <c r="D61" s="5" t="n">
        <v>0.03600738</v>
      </c>
      <c r="E61" s="5" t="n">
        <v>0.00501072</v>
      </c>
    </row>
    <row r="62">
      <c r="A62" s="2" t="n">
        <v>43832</v>
      </c>
      <c r="B62" s="3" t="n">
        <v>1055.315666032334</v>
      </c>
      <c r="C62" s="4" t="n">
        <v>1.01863721</v>
      </c>
      <c r="D62" s="5" t="n">
        <v>0.05531567</v>
      </c>
      <c r="E62" s="5" t="n">
        <v>0.01863721</v>
      </c>
    </row>
    <row r="63">
      <c r="A63" s="2" t="n">
        <v>43833</v>
      </c>
      <c r="B63" s="3" t="n">
        <v>1061.803387939774</v>
      </c>
      <c r="C63" s="4" t="n">
        <v>1.00614766</v>
      </c>
      <c r="D63" s="5" t="n">
        <v>0.06180339</v>
      </c>
      <c r="E63" s="5" t="n">
        <v>0.00614766</v>
      </c>
    </row>
    <row r="64">
      <c r="A64" s="2" t="n">
        <v>43836</v>
      </c>
      <c r="B64" s="3" t="n">
        <v>1069.738881739881</v>
      </c>
      <c r="C64" s="4" t="n">
        <v>1.0074736</v>
      </c>
      <c r="D64" s="5" t="n">
        <v>0.06973888</v>
      </c>
      <c r="E64" s="5" t="n">
        <v>0.0074736</v>
      </c>
    </row>
    <row r="65">
      <c r="A65" s="2" t="n">
        <v>43837</v>
      </c>
      <c r="B65" s="3" t="n">
        <v>1083.084484040749</v>
      </c>
      <c r="C65" s="4" t="n">
        <v>1.01247557</v>
      </c>
      <c r="D65" s="5" t="n">
        <v>0.08308448</v>
      </c>
      <c r="E65" s="5" t="n">
        <v>0.01247557</v>
      </c>
    </row>
    <row r="66">
      <c r="A66" s="2" t="n">
        <v>43838</v>
      </c>
      <c r="B66" s="3" t="n">
        <v>1068.425087181085</v>
      </c>
      <c r="C66" s="4" t="n">
        <v>0.98646514</v>
      </c>
      <c r="D66" s="5" t="n">
        <v>0.06842508999999999</v>
      </c>
      <c r="E66" s="5" t="n">
        <v>-0.01353486</v>
      </c>
    </row>
    <row r="67">
      <c r="A67" s="2" t="n">
        <v>43839</v>
      </c>
      <c r="B67" s="3" t="n">
        <v>1085.648323955712</v>
      </c>
      <c r="C67" s="4" t="n">
        <v>1.01612021</v>
      </c>
      <c r="D67" s="5" t="n">
        <v>0.08564832</v>
      </c>
      <c r="E67" s="5" t="n">
        <v>0.01612021</v>
      </c>
    </row>
    <row r="68">
      <c r="A68" s="2" t="n">
        <v>43840</v>
      </c>
      <c r="B68" s="3" t="n">
        <v>1083.016495288779</v>
      </c>
      <c r="C68" s="4" t="n">
        <v>0.9975758</v>
      </c>
      <c r="D68" s="5" t="n">
        <v>0.08301649999999999</v>
      </c>
      <c r="E68" s="5" t="n">
        <v>-0.0024242</v>
      </c>
    </row>
    <row r="69">
      <c r="A69" s="2" t="n">
        <v>43843</v>
      </c>
      <c r="B69" s="3" t="n">
        <v>1095.138438996587</v>
      </c>
      <c r="C69" s="4" t="n">
        <v>1.01119276</v>
      </c>
      <c r="D69" s="5" t="n">
        <v>0.09513844</v>
      </c>
      <c r="E69" s="5" t="n">
        <v>0.01119276</v>
      </c>
    </row>
    <row r="70">
      <c r="A70" s="2" t="n">
        <v>43844</v>
      </c>
      <c r="B70" s="3" t="n">
        <v>1095.318019797814</v>
      </c>
      <c r="C70" s="4" t="n">
        <v>1.00016398</v>
      </c>
      <c r="D70" s="5" t="n">
        <v>0.09531802</v>
      </c>
      <c r="E70" s="5" t="n">
        <v>0.00016398</v>
      </c>
    </row>
    <row r="71">
      <c r="A71" s="2" t="n">
        <v>43845</v>
      </c>
      <c r="B71" s="3" t="n">
        <v>1091.595132427143</v>
      </c>
      <c r="C71" s="4" t="n">
        <v>0.99660109</v>
      </c>
      <c r="D71" s="5" t="n">
        <v>0.09159513</v>
      </c>
      <c r="E71" s="5" t="n">
        <v>-0.00339891</v>
      </c>
    </row>
    <row r="72">
      <c r="A72" s="2" t="n">
        <v>43846</v>
      </c>
      <c r="B72" s="3" t="n">
        <v>1088.863786750589</v>
      </c>
      <c r="C72" s="4" t="n">
        <v>0.99749784</v>
      </c>
      <c r="D72" s="5" t="n">
        <v>0.08886379</v>
      </c>
      <c r="E72" s="5" t="n">
        <v>-0.00250216</v>
      </c>
    </row>
    <row r="73">
      <c r="A73" s="2" t="n">
        <v>43847</v>
      </c>
      <c r="B73" s="3" t="n">
        <v>1084.479008501809</v>
      </c>
      <c r="C73" s="4" t="n">
        <v>0.99597307</v>
      </c>
      <c r="D73" s="5" t="n">
        <v>0.08447900999999999</v>
      </c>
      <c r="E73" s="5" t="n">
        <v>-0.00402693</v>
      </c>
    </row>
    <row r="74">
      <c r="A74" s="2" t="n">
        <v>43850</v>
      </c>
      <c r="B74" s="3" t="n">
        <v>1095.569433082253</v>
      </c>
      <c r="C74" s="4" t="n">
        <v>1.0102265</v>
      </c>
      <c r="D74" s="5" t="n">
        <v>0.09556943</v>
      </c>
      <c r="E74" s="5" t="n">
        <v>0.0102265</v>
      </c>
    </row>
    <row r="75">
      <c r="A75" s="2" t="n">
        <v>43851</v>
      </c>
      <c r="B75" s="3" t="n">
        <v>1084.904897283966</v>
      </c>
      <c r="C75" s="4" t="n">
        <v>0.99026576</v>
      </c>
      <c r="D75" s="5" t="n">
        <v>0.08490490000000001</v>
      </c>
      <c r="E75" s="5" t="n">
        <v>-0.00973424</v>
      </c>
    </row>
    <row r="76">
      <c r="A76" s="2" t="n">
        <v>43852</v>
      </c>
      <c r="B76" s="3" t="n">
        <v>1086.065344109248</v>
      </c>
      <c r="C76" s="4" t="n">
        <v>1.00106963</v>
      </c>
      <c r="D76" s="5" t="n">
        <v>0.08606534</v>
      </c>
      <c r="E76" s="5" t="n">
        <v>0.00106963</v>
      </c>
    </row>
    <row r="77">
      <c r="A77" s="2" t="n">
        <v>43853</v>
      </c>
      <c r="B77" s="3" t="n">
        <v>1052.366550210663</v>
      </c>
      <c r="C77" s="4" t="n">
        <v>0.96897167</v>
      </c>
      <c r="D77" s="5" t="n">
        <v>0.05236655</v>
      </c>
      <c r="E77" s="5" t="n">
        <v>-0.03102833</v>
      </c>
    </row>
    <row r="78">
      <c r="A78" s="2" t="n">
        <v>43864</v>
      </c>
      <c r="B78" s="3" t="n">
        <v>968.6307856532851</v>
      </c>
      <c r="C78" s="4" t="n">
        <v>0.9204309899999999</v>
      </c>
      <c r="D78" s="5" t="n">
        <v>-0.03136921</v>
      </c>
      <c r="E78" s="5" t="n">
        <v>-0.07956901</v>
      </c>
    </row>
    <row r="79">
      <c r="A79" s="2" t="n">
        <v>43865</v>
      </c>
      <c r="B79" s="3" t="n">
        <v>960.4455455526635</v>
      </c>
      <c r="C79" s="4" t="n">
        <v>0.99154968</v>
      </c>
      <c r="D79" s="5" t="n">
        <v>-0.03955445</v>
      </c>
      <c r="E79" s="5" t="n">
        <v>-0.008450320000000001</v>
      </c>
    </row>
    <row r="80">
      <c r="A80" s="2" t="n">
        <v>43866</v>
      </c>
      <c r="B80" s="3" t="n">
        <v>987.5954874655343</v>
      </c>
      <c r="C80" s="4" t="n">
        <v>1.02826807</v>
      </c>
      <c r="D80" s="5" t="n">
        <v>-0.01240451</v>
      </c>
      <c r="E80" s="5" t="n">
        <v>0.02826807</v>
      </c>
    </row>
    <row r="81">
      <c r="A81" s="2" t="n">
        <v>43867</v>
      </c>
      <c r="B81" s="3" t="n">
        <v>1013.728004760488</v>
      </c>
      <c r="C81" s="4" t="n">
        <v>1.02646075</v>
      </c>
      <c r="D81" s="5" t="n">
        <v>0.013728</v>
      </c>
      <c r="E81" s="5" t="n">
        <v>0.02646075</v>
      </c>
    </row>
    <row r="82">
      <c r="A82" s="2" t="n">
        <v>43868</v>
      </c>
      <c r="B82" s="3" t="n">
        <v>1026.952725231232</v>
      </c>
      <c r="C82" s="4" t="n">
        <v>1.01304563</v>
      </c>
      <c r="D82" s="5" t="n">
        <v>0.02695273</v>
      </c>
      <c r="E82" s="5" t="n">
        <v>0.01304563</v>
      </c>
    </row>
    <row r="83">
      <c r="A83" s="2" t="n">
        <v>43871</v>
      </c>
      <c r="B83" s="3" t="n">
        <v>1041.154577702781</v>
      </c>
      <c r="C83" s="4" t="n">
        <v>1.01382912</v>
      </c>
      <c r="D83" s="5" t="n">
        <v>0.04115458</v>
      </c>
      <c r="E83" s="5" t="n">
        <v>0.01382912</v>
      </c>
    </row>
    <row r="84">
      <c r="A84" s="2" t="n">
        <v>43872</v>
      </c>
      <c r="B84" s="3" t="n">
        <v>1033.230027453966</v>
      </c>
      <c r="C84" s="4" t="n">
        <v>0.99238869</v>
      </c>
      <c r="D84" s="5" t="n">
        <v>0.03323003</v>
      </c>
      <c r="E84" s="5" t="n">
        <v>-0.00761131</v>
      </c>
    </row>
    <row r="85">
      <c r="A85" s="2" t="n">
        <v>43873</v>
      </c>
      <c r="B85" s="3" t="n">
        <v>1048.96421962884</v>
      </c>
      <c r="C85" s="4" t="n">
        <v>1.01522816</v>
      </c>
      <c r="D85" s="5" t="n">
        <v>0.04896422</v>
      </c>
      <c r="E85" s="5" t="n">
        <v>0.01522816</v>
      </c>
    </row>
    <row r="86">
      <c r="A86" s="2" t="n">
        <v>43874</v>
      </c>
      <c r="B86" s="3" t="n">
        <v>1039.375501331864</v>
      </c>
      <c r="C86" s="4" t="n">
        <v>0.9908588699999999</v>
      </c>
      <c r="D86" s="5" t="n">
        <v>0.0393755</v>
      </c>
      <c r="E86" s="5" t="n">
        <v>-0.009141130000000001</v>
      </c>
    </row>
    <row r="87">
      <c r="A87" s="2" t="n">
        <v>43875</v>
      </c>
      <c r="B87" s="3" t="n">
        <v>1041.319944232245</v>
      </c>
      <c r="C87" s="4" t="n">
        <v>1.00187078</v>
      </c>
      <c r="D87" s="5" t="n">
        <v>0.04131994</v>
      </c>
      <c r="E87" s="5" t="n">
        <v>0.00187078</v>
      </c>
    </row>
    <row r="88">
      <c r="A88" s="2" t="n">
        <v>43878</v>
      </c>
      <c r="B88" s="3" t="n">
        <v>1076.149763810139</v>
      </c>
      <c r="C88" s="4" t="n">
        <v>1.03344776</v>
      </c>
      <c r="D88" s="5" t="n">
        <v>0.07614976</v>
      </c>
      <c r="E88" s="5" t="n">
        <v>0.03344776</v>
      </c>
    </row>
    <row r="89">
      <c r="A89" s="2" t="n">
        <v>43879</v>
      </c>
      <c r="B89" s="3" t="n">
        <v>1100.235964878278</v>
      </c>
      <c r="C89" s="4" t="n">
        <v>1.02238183</v>
      </c>
      <c r="D89" s="5" t="n">
        <v>0.10023596</v>
      </c>
      <c r="E89" s="5" t="n">
        <v>0.02238183</v>
      </c>
    </row>
    <row r="90">
      <c r="A90" s="2" t="n">
        <v>43880</v>
      </c>
      <c r="B90" s="3" t="n">
        <v>1096.290892788452</v>
      </c>
      <c r="C90" s="4" t="n">
        <v>0.99641434</v>
      </c>
      <c r="D90" s="5" t="n">
        <v>0.09629089</v>
      </c>
      <c r="E90" s="5" t="n">
        <v>-0.00358566</v>
      </c>
    </row>
    <row r="91">
      <c r="A91" s="2" t="n">
        <v>43881</v>
      </c>
      <c r="B91" s="3" t="n">
        <v>1115.700876525997</v>
      </c>
      <c r="C91" s="4" t="n">
        <v>1.01770514</v>
      </c>
      <c r="D91" s="5" t="n">
        <v>0.11570088</v>
      </c>
      <c r="E91" s="5" t="n">
        <v>0.01770514</v>
      </c>
    </row>
    <row r="92">
      <c r="A92" s="2" t="n">
        <v>43882</v>
      </c>
      <c r="B92" s="3" t="n">
        <v>1129.027678041907</v>
      </c>
      <c r="C92" s="4" t="n">
        <v>1.01194478</v>
      </c>
      <c r="D92" s="5" t="n">
        <v>0.12902768</v>
      </c>
      <c r="E92" s="5" t="n">
        <v>0.01194478</v>
      </c>
    </row>
    <row r="93">
      <c r="A93" s="2" t="n">
        <v>43885</v>
      </c>
      <c r="B93" s="3" t="n">
        <v>1149.317874764793</v>
      </c>
      <c r="C93" s="4" t="n">
        <v>1.01797139</v>
      </c>
      <c r="D93" s="5" t="n">
        <v>0.14931787</v>
      </c>
      <c r="E93" s="5" t="n">
        <v>0.01797139</v>
      </c>
    </row>
    <row r="94">
      <c r="A94" s="2" t="n">
        <v>43886</v>
      </c>
      <c r="B94" s="3" t="n">
        <v>1149.958699932225</v>
      </c>
      <c r="C94" s="4" t="n">
        <v>1.00055757</v>
      </c>
      <c r="D94" s="5" t="n">
        <v>0.1499587</v>
      </c>
      <c r="E94" s="5" t="n">
        <v>0.00055757</v>
      </c>
    </row>
    <row r="95">
      <c r="A95" s="2" t="n">
        <v>43887</v>
      </c>
      <c r="B95" s="3" t="n">
        <v>1126.247264514017</v>
      </c>
      <c r="C95" s="4" t="n">
        <v>0.97938062</v>
      </c>
      <c r="D95" s="5" t="n">
        <v>0.12624726</v>
      </c>
      <c r="E95" s="5" t="n">
        <v>-0.02061938</v>
      </c>
    </row>
    <row r="96">
      <c r="A96" s="2" t="n">
        <v>43888</v>
      </c>
      <c r="B96" s="3" t="n">
        <v>1128.024584059674</v>
      </c>
      <c r="C96" s="4" t="n">
        <v>1.00157809</v>
      </c>
      <c r="D96" s="5" t="n">
        <v>0.12802458</v>
      </c>
      <c r="E96" s="5" t="n">
        <v>0.00157809</v>
      </c>
    </row>
    <row r="97">
      <c r="A97" s="2" t="n">
        <v>43889</v>
      </c>
      <c r="B97" s="3" t="n">
        <v>1069.11213524741</v>
      </c>
      <c r="C97" s="4" t="n">
        <v>0.9477737899999999</v>
      </c>
      <c r="D97" s="5" t="n">
        <v>0.06911214</v>
      </c>
      <c r="E97" s="5" t="n">
        <v>-0.05222621</v>
      </c>
    </row>
    <row r="98">
      <c r="A98" s="2" t="n">
        <v>43892</v>
      </c>
      <c r="B98" s="3" t="n">
        <v>1111.307927839205</v>
      </c>
      <c r="C98" s="4" t="n">
        <v>1.03946807</v>
      </c>
      <c r="D98" s="5" t="n">
        <v>0.11130793</v>
      </c>
      <c r="E98" s="5" t="n">
        <v>0.03946807</v>
      </c>
    </row>
    <row r="99">
      <c r="A99" s="2" t="n">
        <v>43893</v>
      </c>
      <c r="B99" s="3" t="n">
        <v>1126.770144032433</v>
      </c>
      <c r="C99" s="4" t="n">
        <v>1.01391353</v>
      </c>
      <c r="D99" s="5" t="n">
        <v>0.12677014</v>
      </c>
      <c r="E99" s="5" t="n">
        <v>0.01391353</v>
      </c>
    </row>
    <row r="100">
      <c r="A100" s="2" t="n">
        <v>43894</v>
      </c>
      <c r="B100" s="3" t="n">
        <v>1135.91336543699</v>
      </c>
      <c r="C100" s="4" t="n">
        <v>1.00811454</v>
      </c>
      <c r="D100" s="5" t="n">
        <v>0.13591337</v>
      </c>
      <c r="E100" s="5" t="n">
        <v>0.00811454</v>
      </c>
    </row>
    <row r="101">
      <c r="A101" s="2" t="n">
        <v>43895</v>
      </c>
      <c r="B101" s="3" t="n">
        <v>1154.354498636915</v>
      </c>
      <c r="C101" s="4" t="n">
        <v>1.01623463</v>
      </c>
      <c r="D101" s="5" t="n">
        <v>0.1543545</v>
      </c>
      <c r="E101" s="5" t="n">
        <v>0.01623463</v>
      </c>
    </row>
    <row r="102">
      <c r="A102" s="2" t="n">
        <v>43896</v>
      </c>
      <c r="B102" s="3" t="n">
        <v>1155.223565964758</v>
      </c>
      <c r="C102" s="4" t="n">
        <v>1.00075286</v>
      </c>
      <c r="D102" s="5" t="n">
        <v>0.15522357</v>
      </c>
      <c r="E102" s="5" t="n">
        <v>0.0007528600000000001</v>
      </c>
    </row>
    <row r="103">
      <c r="A103" s="2" t="n">
        <v>43899</v>
      </c>
      <c r="B103" s="3" t="n">
        <v>1120.651860335799</v>
      </c>
      <c r="C103" s="4" t="n">
        <v>0.97007358</v>
      </c>
      <c r="D103" s="5" t="n">
        <v>0.12065186</v>
      </c>
      <c r="E103" s="5" t="n">
        <v>-0.02992642</v>
      </c>
    </row>
    <row r="104">
      <c r="A104" s="2" t="n">
        <v>43900</v>
      </c>
      <c r="B104" s="3" t="n">
        <v>1143.321280275123</v>
      </c>
      <c r="C104" s="4" t="n">
        <v>1.02022878</v>
      </c>
      <c r="D104" s="5" t="n">
        <v>0.14332128</v>
      </c>
      <c r="E104" s="5" t="n">
        <v>0.02022878</v>
      </c>
    </row>
    <row r="105">
      <c r="A105" s="2" t="n">
        <v>43901</v>
      </c>
      <c r="B105" s="3" t="n">
        <v>1133.915496232258</v>
      </c>
      <c r="C105" s="4" t="n">
        <v>0.99177328</v>
      </c>
      <c r="D105" s="5" t="n">
        <v>0.1339155</v>
      </c>
      <c r="E105" s="5" t="n">
        <v>-0.00822672</v>
      </c>
    </row>
    <row r="106">
      <c r="A106" s="2" t="n">
        <v>43902</v>
      </c>
      <c r="B106" s="3" t="n">
        <v>1114.245634206441</v>
      </c>
      <c r="C106" s="4" t="n">
        <v>0.98265315</v>
      </c>
      <c r="D106" s="5" t="n">
        <v>0.11424563</v>
      </c>
      <c r="E106" s="5" t="n">
        <v>-0.01734685</v>
      </c>
    </row>
    <row r="107">
      <c r="A107" s="2" t="n">
        <v>43903</v>
      </c>
      <c r="B107" s="3" t="n">
        <v>1102.09113083974</v>
      </c>
      <c r="C107" s="4" t="n">
        <v>0.98909172</v>
      </c>
      <c r="D107" s="5" t="n">
        <v>0.10209113</v>
      </c>
      <c r="E107" s="5" t="n">
        <v>-0.01090828</v>
      </c>
    </row>
    <row r="108">
      <c r="A108" s="2" t="n">
        <v>43906</v>
      </c>
      <c r="B108" s="3" t="n">
        <v>1063.638609218265</v>
      </c>
      <c r="C108" s="4" t="n">
        <v>0.96510949</v>
      </c>
      <c r="D108" s="5" t="n">
        <v>0.06363861</v>
      </c>
      <c r="E108" s="5" t="n">
        <v>-0.03489051</v>
      </c>
    </row>
    <row r="109">
      <c r="A109" s="2" t="n">
        <v>43907</v>
      </c>
      <c r="B109" s="3" t="n">
        <v>1062.092567954222</v>
      </c>
      <c r="C109" s="4" t="n">
        <v>0.99854646</v>
      </c>
      <c r="D109" s="5" t="n">
        <v>0.06209257</v>
      </c>
      <c r="E109" s="5" t="n">
        <v>-0.00145354</v>
      </c>
    </row>
    <row r="110">
      <c r="A110" s="2" t="n">
        <v>43908</v>
      </c>
      <c r="B110" s="3" t="n">
        <v>1046.297106041755</v>
      </c>
      <c r="C110" s="4" t="n">
        <v>0.98512798</v>
      </c>
      <c r="D110" s="5" t="n">
        <v>0.04629711</v>
      </c>
      <c r="E110" s="5" t="n">
        <v>-0.01487202</v>
      </c>
    </row>
    <row r="111">
      <c r="A111" s="2" t="n">
        <v>43909</v>
      </c>
      <c r="B111" s="3" t="n">
        <v>1057.066820024751</v>
      </c>
      <c r="C111" s="4" t="n">
        <v>1.01029317</v>
      </c>
      <c r="D111" s="5" t="n">
        <v>0.05706682</v>
      </c>
      <c r="E111" s="5" t="n">
        <v>0.01029317</v>
      </c>
    </row>
    <row r="112">
      <c r="A112" s="2" t="n">
        <v>43910</v>
      </c>
      <c r="B112" s="3" t="n">
        <v>1069.210297946513</v>
      </c>
      <c r="C112" s="4" t="n">
        <v>1.0114879</v>
      </c>
      <c r="D112" s="5" t="n">
        <v>0.0692103</v>
      </c>
      <c r="E112" s="5" t="n">
        <v>0.0114879</v>
      </c>
    </row>
    <row r="113">
      <c r="A113" s="2" t="n">
        <v>43913</v>
      </c>
      <c r="B113" s="3" t="n">
        <v>1030.148795363221</v>
      </c>
      <c r="C113" s="4" t="n">
        <v>0.96346696</v>
      </c>
      <c r="D113" s="5" t="n">
        <v>0.0301488</v>
      </c>
      <c r="E113" s="5" t="n">
        <v>-0.03653304</v>
      </c>
    </row>
    <row r="114">
      <c r="A114" s="2" t="n">
        <v>43914</v>
      </c>
      <c r="B114" s="3" t="n">
        <v>1046.823700597398</v>
      </c>
      <c r="C114" s="4" t="n">
        <v>1.01618689</v>
      </c>
      <c r="D114" s="5" t="n">
        <v>0.0468237</v>
      </c>
      <c r="E114" s="5" t="n">
        <v>0.01618689</v>
      </c>
    </row>
    <row r="115">
      <c r="A115" s="2" t="n">
        <v>43915</v>
      </c>
      <c r="B115" s="3" t="n">
        <v>1068.937296455957</v>
      </c>
      <c r="C115" s="4" t="n">
        <v>1.02112447</v>
      </c>
      <c r="D115" s="5" t="n">
        <v>0.06893730000000001</v>
      </c>
      <c r="E115" s="5" t="n">
        <v>0.02112447</v>
      </c>
    </row>
    <row r="116">
      <c r="A116" s="2" t="n">
        <v>43916</v>
      </c>
      <c r="B116" s="3" t="n">
        <v>1058.10262284469</v>
      </c>
      <c r="C116" s="4" t="n">
        <v>0.98986407</v>
      </c>
      <c r="D116" s="5" t="n">
        <v>0.05810262</v>
      </c>
      <c r="E116" s="5" t="n">
        <v>-0.01013593</v>
      </c>
    </row>
    <row r="117">
      <c r="A117" s="2" t="n">
        <v>43917</v>
      </c>
      <c r="B117" s="3" t="n">
        <v>1051.086862822892</v>
      </c>
      <c r="C117" s="4" t="n">
        <v>0.99336949</v>
      </c>
      <c r="D117" s="5" t="n">
        <v>0.05108686</v>
      </c>
      <c r="E117" s="5" t="n">
        <v>-0.00663051</v>
      </c>
    </row>
    <row r="118">
      <c r="A118" s="2" t="n">
        <v>43920</v>
      </c>
      <c r="B118" s="3" t="n">
        <v>1028.471993208454</v>
      </c>
      <c r="C118" s="4" t="n">
        <v>0.9784843</v>
      </c>
      <c r="D118" s="5" t="n">
        <v>0.02847199</v>
      </c>
      <c r="E118" s="5" t="n">
        <v>-0.0215157</v>
      </c>
    </row>
    <row r="119">
      <c r="A119" s="2" t="n">
        <v>43921</v>
      </c>
      <c r="B119" s="3" t="n">
        <v>1026.973632930988</v>
      </c>
      <c r="C119" s="4" t="n">
        <v>0.99854312</v>
      </c>
      <c r="D119" s="5" t="n">
        <v>0.02697363</v>
      </c>
      <c r="E119" s="5" t="n">
        <v>-0.00145688</v>
      </c>
    </row>
    <row r="120">
      <c r="A120" s="2" t="n">
        <v>43922</v>
      </c>
      <c r="B120" s="3" t="n">
        <v>1023.186534152983</v>
      </c>
      <c r="C120" s="4" t="n">
        <v>0.9963123699999999</v>
      </c>
      <c r="D120" s="5" t="n">
        <v>0.02318653</v>
      </c>
      <c r="E120" s="5" t="n">
        <v>-0.00368763</v>
      </c>
    </row>
    <row r="121">
      <c r="A121" s="2" t="n">
        <v>43923</v>
      </c>
      <c r="B121" s="3" t="n">
        <v>1047.044000628117</v>
      </c>
      <c r="C121" s="4" t="n">
        <v>1.02331683</v>
      </c>
      <c r="D121" s="5" t="n">
        <v>0.047044</v>
      </c>
      <c r="E121" s="5" t="n">
        <v>0.02331683</v>
      </c>
    </row>
    <row r="122">
      <c r="A122" s="2" t="n">
        <v>43924</v>
      </c>
      <c r="B122" s="3" t="n">
        <v>1042.719300558362</v>
      </c>
      <c r="C122" s="4" t="n">
        <v>0.99586961</v>
      </c>
      <c r="D122" s="5" t="n">
        <v>0.0427193</v>
      </c>
      <c r="E122" s="5" t="n">
        <v>-0.00413039</v>
      </c>
    </row>
    <row r="123">
      <c r="A123" s="2" t="n">
        <v>43928</v>
      </c>
      <c r="B123" s="3" t="n">
        <v>1075.952349600494</v>
      </c>
      <c r="C123" s="4" t="n">
        <v>1.03187152</v>
      </c>
      <c r="D123" s="5" t="n">
        <v>0.07595235</v>
      </c>
      <c r="E123" s="5" t="n">
        <v>0.03187152</v>
      </c>
    </row>
    <row r="124">
      <c r="A124" s="2" t="n">
        <v>43929</v>
      </c>
      <c r="B124" s="3" t="n">
        <v>1079.729071461874</v>
      </c>
      <c r="C124" s="4" t="n">
        <v>1.00351012</v>
      </c>
      <c r="D124" s="5" t="n">
        <v>0.07972907</v>
      </c>
      <c r="E124" s="5" t="n">
        <v>0.00351012</v>
      </c>
    </row>
    <row r="125">
      <c r="A125" s="2" t="n">
        <v>43930</v>
      </c>
      <c r="B125" s="3" t="n">
        <v>1087.317958037934</v>
      </c>
      <c r="C125" s="4" t="n">
        <v>1.00702851</v>
      </c>
      <c r="D125" s="5" t="n">
        <v>0.08731796</v>
      </c>
      <c r="E125" s="5" t="n">
        <v>0.00702851</v>
      </c>
    </row>
    <row r="126">
      <c r="A126" s="2" t="n">
        <v>43931</v>
      </c>
      <c r="B126" s="3" t="n">
        <v>1058.189307966975</v>
      </c>
      <c r="C126" s="4" t="n">
        <v>0.97321055</v>
      </c>
      <c r="D126" s="5" t="n">
        <v>0.05818931</v>
      </c>
      <c r="E126" s="5" t="n">
        <v>-0.02678945</v>
      </c>
    </row>
    <row r="127">
      <c r="A127" s="2" t="n">
        <v>43934</v>
      </c>
      <c r="B127" s="3" t="n">
        <v>1050.909579277961</v>
      </c>
      <c r="C127" s="4" t="n">
        <v>0.99312058</v>
      </c>
      <c r="D127" s="5" t="n">
        <v>0.05090958</v>
      </c>
      <c r="E127" s="5" t="n">
        <v>-0.00687942</v>
      </c>
    </row>
    <row r="128">
      <c r="A128" s="2" t="n">
        <v>43935</v>
      </c>
      <c r="B128" s="3" t="n">
        <v>1068.280221350283</v>
      </c>
      <c r="C128" s="4" t="n">
        <v>1.01652915</v>
      </c>
      <c r="D128" s="5" t="n">
        <v>0.06828022</v>
      </c>
      <c r="E128" s="5" t="n">
        <v>0.01652915</v>
      </c>
    </row>
    <row r="129">
      <c r="A129" s="2" t="n">
        <v>43936</v>
      </c>
      <c r="B129" s="3" t="n">
        <v>1061.926913169462</v>
      </c>
      <c r="C129" s="4" t="n">
        <v>0.99405277</v>
      </c>
      <c r="D129" s="5" t="n">
        <v>0.06192691</v>
      </c>
      <c r="E129" s="5" t="n">
        <v>-0.00594723</v>
      </c>
    </row>
    <row r="130">
      <c r="A130" s="2" t="n">
        <v>43937</v>
      </c>
      <c r="B130" s="3" t="n">
        <v>1066.411313711817</v>
      </c>
      <c r="C130" s="4" t="n">
        <v>1.00422289</v>
      </c>
      <c r="D130" s="5" t="n">
        <v>0.06641131</v>
      </c>
      <c r="E130" s="5" t="n">
        <v>0.00422289</v>
      </c>
    </row>
    <row r="131">
      <c r="A131" s="2" t="n">
        <v>43938</v>
      </c>
      <c r="B131" s="3" t="n">
        <v>1064.439220597596</v>
      </c>
      <c r="C131" s="4" t="n">
        <v>0.99815072</v>
      </c>
      <c r="D131" s="5" t="n">
        <v>0.06443922000000001</v>
      </c>
      <c r="E131" s="5" t="n">
        <v>-0.00184928</v>
      </c>
    </row>
    <row r="132">
      <c r="A132" s="2" t="n">
        <v>43941</v>
      </c>
      <c r="B132" s="3" t="n">
        <v>1077.111624984223</v>
      </c>
      <c r="C132" s="4" t="n">
        <v>1.01190524</v>
      </c>
      <c r="D132" s="5" t="n">
        <v>0.07711162000000001</v>
      </c>
      <c r="E132" s="5" t="n">
        <v>0.01190524</v>
      </c>
    </row>
    <row r="133">
      <c r="A133" s="2" t="n">
        <v>43942</v>
      </c>
      <c r="B133" s="3" t="n">
        <v>1074.26697318264</v>
      </c>
      <c r="C133" s="4" t="n">
        <v>0.997359</v>
      </c>
      <c r="D133" s="5" t="n">
        <v>0.07426697</v>
      </c>
      <c r="E133" s="5" t="n">
        <v>-0.002641</v>
      </c>
    </row>
    <row r="134">
      <c r="A134" s="2" t="n">
        <v>43943</v>
      </c>
      <c r="B134" s="3" t="n">
        <v>1085.653870075614</v>
      </c>
      <c r="C134" s="4" t="n">
        <v>1.01059969</v>
      </c>
      <c r="D134" s="5" t="n">
        <v>0.08565386999999999</v>
      </c>
      <c r="E134" s="5" t="n">
        <v>0.01059969</v>
      </c>
    </row>
    <row r="135">
      <c r="A135" s="2" t="n">
        <v>43944</v>
      </c>
      <c r="B135" s="3" t="n">
        <v>1080.094681725044</v>
      </c>
      <c r="C135" s="4" t="n">
        <v>0.99487941</v>
      </c>
      <c r="D135" s="5" t="n">
        <v>0.08009468</v>
      </c>
      <c r="E135" s="5" t="n">
        <v>-0.00512059</v>
      </c>
    </row>
    <row r="136">
      <c r="A136" s="2" t="n">
        <v>43945</v>
      </c>
      <c r="B136" s="3" t="n">
        <v>1058.22623152404</v>
      </c>
      <c r="C136" s="4" t="n">
        <v>0.97975321</v>
      </c>
      <c r="D136" s="5" t="n">
        <v>0.05822623</v>
      </c>
      <c r="E136" s="5" t="n">
        <v>-0.02024679</v>
      </c>
    </row>
    <row r="137">
      <c r="A137" s="2" t="n">
        <v>43948</v>
      </c>
      <c r="B137" s="3" t="n">
        <v>1050.005898410774</v>
      </c>
      <c r="C137" s="4" t="n">
        <v>0.99223197</v>
      </c>
      <c r="D137" s="5" t="n">
        <v>0.0500059</v>
      </c>
      <c r="E137" s="5" t="n">
        <v>-0.00776803</v>
      </c>
    </row>
    <row r="138">
      <c r="A138" s="2" t="n">
        <v>43949</v>
      </c>
      <c r="B138" s="3" t="n">
        <v>1026.407603847295</v>
      </c>
      <c r="C138" s="4" t="n">
        <v>0.97752556</v>
      </c>
      <c r="D138" s="5" t="n">
        <v>0.0264076</v>
      </c>
      <c r="E138" s="5" t="n">
        <v>-0.02247444</v>
      </c>
    </row>
    <row r="139">
      <c r="A139" s="2" t="n">
        <v>43950</v>
      </c>
      <c r="B139" s="3" t="n">
        <v>1022.904423374984</v>
      </c>
      <c r="C139" s="4" t="n">
        <v>0.99658695</v>
      </c>
      <c r="D139" s="5" t="n">
        <v>0.02290442</v>
      </c>
      <c r="E139" s="5" t="n">
        <v>-0.00341305</v>
      </c>
    </row>
    <row r="140">
      <c r="A140" s="2" t="n">
        <v>43951</v>
      </c>
      <c r="B140" s="3" t="n">
        <v>1042.670414709628</v>
      </c>
      <c r="C140" s="4" t="n">
        <v>1.0193234</v>
      </c>
      <c r="D140" s="5" t="n">
        <v>0.04267041</v>
      </c>
      <c r="E140" s="5" t="n">
        <v>0.0193234</v>
      </c>
    </row>
    <row r="141">
      <c r="A141" s="2" t="n">
        <v>43957</v>
      </c>
      <c r="B141" s="3" t="n">
        <v>1061.595539618969</v>
      </c>
      <c r="C141" s="4" t="n">
        <v>1.01815063</v>
      </c>
      <c r="D141" s="5" t="n">
        <v>0.06159554</v>
      </c>
      <c r="E141" s="5" t="n">
        <v>0.01815063</v>
      </c>
    </row>
    <row r="142">
      <c r="A142" s="2" t="n">
        <v>43958</v>
      </c>
      <c r="B142" s="3" t="n">
        <v>1059.681737643966</v>
      </c>
      <c r="C142" s="4" t="n">
        <v>0.99819724</v>
      </c>
      <c r="D142" s="5" t="n">
        <v>0.05968174</v>
      </c>
      <c r="E142" s="5" t="n">
        <v>-0.00180276</v>
      </c>
    </row>
    <row r="143">
      <c r="A143" s="2" t="n">
        <v>43959</v>
      </c>
      <c r="B143" s="3" t="n">
        <v>1070.587208520129</v>
      </c>
      <c r="C143" s="4" t="n">
        <v>1.01029127</v>
      </c>
      <c r="D143" s="5" t="n">
        <v>0.07058721</v>
      </c>
      <c r="E143" s="5" t="n">
        <v>0.01029127</v>
      </c>
    </row>
    <row r="144">
      <c r="A144" s="2" t="n">
        <v>43962</v>
      </c>
      <c r="B144" s="3" t="n">
        <v>1071.899694908415</v>
      </c>
      <c r="C144" s="4" t="n">
        <v>1.00122595</v>
      </c>
      <c r="D144" s="5" t="n">
        <v>0.07189969</v>
      </c>
      <c r="E144" s="5" t="n">
        <v>0.00122595</v>
      </c>
    </row>
    <row r="145">
      <c r="A145" s="2" t="n">
        <v>43963</v>
      </c>
      <c r="B145" s="3" t="n">
        <v>1071.327086091394</v>
      </c>
      <c r="C145" s="4" t="n">
        <v>0.9994658</v>
      </c>
      <c r="D145" s="5" t="n">
        <v>0.07132709</v>
      </c>
      <c r="E145" s="5" t="n">
        <v>-0.0005342</v>
      </c>
    </row>
    <row r="146">
      <c r="A146" s="2" t="n">
        <v>43964</v>
      </c>
      <c r="B146" s="3" t="n">
        <v>1077.286696545716</v>
      </c>
      <c r="C146" s="4" t="n">
        <v>1.00556283</v>
      </c>
      <c r="D146" s="5" t="n">
        <v>0.0772867</v>
      </c>
      <c r="E146" s="5" t="n">
        <v>0.00556283</v>
      </c>
    </row>
    <row r="147">
      <c r="A147" s="2" t="n">
        <v>43965</v>
      </c>
      <c r="B147" s="3" t="n">
        <v>1069.225424832666</v>
      </c>
      <c r="C147" s="4" t="n">
        <v>0.99251706</v>
      </c>
      <c r="D147" s="5" t="n">
        <v>0.06922542</v>
      </c>
      <c r="E147" s="5" t="n">
        <v>-0.00748294</v>
      </c>
    </row>
    <row r="148">
      <c r="A148" s="2" t="n">
        <v>43966</v>
      </c>
      <c r="B148" s="3" t="n">
        <v>1072.387252720948</v>
      </c>
      <c r="C148" s="4" t="n">
        <v>1.00295712</v>
      </c>
      <c r="D148" s="5" t="n">
        <v>0.07238725</v>
      </c>
      <c r="E148" s="5" t="n">
        <v>0.00295712</v>
      </c>
    </row>
    <row r="149">
      <c r="A149" s="2" t="n">
        <v>43969</v>
      </c>
      <c r="B149" s="3" t="n">
        <v>1066.886313621645</v>
      </c>
      <c r="C149" s="4" t="n">
        <v>0.9948703800000001</v>
      </c>
      <c r="D149" s="5" t="n">
        <v>0.06688631</v>
      </c>
      <c r="E149" s="5" t="n">
        <v>-0.00512962</v>
      </c>
    </row>
    <row r="150">
      <c r="A150" s="2" t="n">
        <v>43970</v>
      </c>
      <c r="B150" s="3" t="n">
        <v>1079.478516728606</v>
      </c>
      <c r="C150" s="4" t="n">
        <v>1.01180276</v>
      </c>
      <c r="D150" s="5" t="n">
        <v>0.07947852</v>
      </c>
      <c r="E150" s="5" t="n">
        <v>0.01180276</v>
      </c>
    </row>
    <row r="151">
      <c r="A151" s="2" t="n">
        <v>43971</v>
      </c>
      <c r="B151" s="3" t="n">
        <v>1069.994801399028</v>
      </c>
      <c r="C151" s="4" t="n">
        <v>0.99121454</v>
      </c>
      <c r="D151" s="5" t="n">
        <v>0.0699948</v>
      </c>
      <c r="E151" s="5" t="n">
        <v>-0.00878546</v>
      </c>
    </row>
    <row r="152">
      <c r="A152" s="2" t="n">
        <v>43972</v>
      </c>
      <c r="B152" s="3" t="n">
        <v>1057.258214580107</v>
      </c>
      <c r="C152" s="4" t="n">
        <v>0.9880965900000001</v>
      </c>
      <c r="D152" s="5" t="n">
        <v>0.05725821</v>
      </c>
      <c r="E152" s="5" t="n">
        <v>-0.01190341</v>
      </c>
    </row>
    <row r="153">
      <c r="A153" s="2" t="n">
        <v>43973</v>
      </c>
      <c r="B153" s="3" t="n">
        <v>1040.899311088819</v>
      </c>
      <c r="C153" s="4" t="n">
        <v>0.98452705</v>
      </c>
      <c r="D153" s="5" t="n">
        <v>0.04089931</v>
      </c>
      <c r="E153" s="5" t="n">
        <v>-0.01547295</v>
      </c>
    </row>
    <row r="154">
      <c r="A154" s="2" t="n">
        <v>43976</v>
      </c>
      <c r="B154" s="3" t="n">
        <v>1041.360065168873</v>
      </c>
      <c r="C154" s="4" t="n">
        <v>1.00044265</v>
      </c>
      <c r="D154" s="5" t="n">
        <v>0.04136007</v>
      </c>
      <c r="E154" s="5" t="n">
        <v>0.00044265</v>
      </c>
    </row>
    <row r="155">
      <c r="A155" s="2" t="n">
        <v>43977</v>
      </c>
      <c r="B155" s="3" t="n">
        <v>1062.890205343441</v>
      </c>
      <c r="C155" s="4" t="n">
        <v>1.02067502</v>
      </c>
      <c r="D155" s="5" t="n">
        <v>0.06289021</v>
      </c>
      <c r="E155" s="5" t="n">
        <v>0.02067502</v>
      </c>
    </row>
    <row r="156">
      <c r="A156" s="2" t="n">
        <v>43978</v>
      </c>
      <c r="B156" s="3" t="n">
        <v>1059.944320108115</v>
      </c>
      <c r="C156" s="4" t="n">
        <v>0.99722842</v>
      </c>
      <c r="D156" s="5" t="n">
        <v>0.05994432</v>
      </c>
      <c r="E156" s="5" t="n">
        <v>-0.00277158</v>
      </c>
    </row>
    <row r="157">
      <c r="A157" s="2" t="n">
        <v>43979</v>
      </c>
      <c r="B157" s="3" t="n">
        <v>1054.942760844821</v>
      </c>
      <c r="C157" s="4" t="n">
        <v>0.9952813</v>
      </c>
      <c r="D157" s="5" t="n">
        <v>0.05494276</v>
      </c>
      <c r="E157" s="5" t="n">
        <v>-0.0047187</v>
      </c>
    </row>
    <row r="158">
      <c r="A158" s="2" t="n">
        <v>43980</v>
      </c>
      <c r="B158" s="3" t="n">
        <v>1062.470051728567</v>
      </c>
      <c r="C158" s="4" t="n">
        <v>1.00713526</v>
      </c>
      <c r="D158" s="5" t="n">
        <v>0.06247005</v>
      </c>
      <c r="E158" s="5" t="n">
        <v>0.00713526</v>
      </c>
    </row>
    <row r="159">
      <c r="A159" s="2" t="n">
        <v>43983</v>
      </c>
      <c r="B159" s="3" t="n">
        <v>1090.965477266526</v>
      </c>
      <c r="C159" s="4" t="n">
        <v>1.02681998</v>
      </c>
      <c r="D159" s="5" t="n">
        <v>0.09096548</v>
      </c>
      <c r="E159" s="5" t="n">
        <v>0.02681998</v>
      </c>
    </row>
    <row r="160">
      <c r="A160" s="2" t="n">
        <v>43984</v>
      </c>
      <c r="B160" s="3" t="n">
        <v>1094.67605813815</v>
      </c>
      <c r="C160" s="4" t="n">
        <v>1.00340119</v>
      </c>
      <c r="D160" s="5" t="n">
        <v>0.09467606000000001</v>
      </c>
      <c r="E160" s="5" t="n">
        <v>0.00340119</v>
      </c>
    </row>
    <row r="161">
      <c r="A161" s="2" t="n">
        <v>43985</v>
      </c>
      <c r="B161" s="3" t="n">
        <v>1097.270265247768</v>
      </c>
      <c r="C161" s="4" t="n">
        <v>1.00236984</v>
      </c>
      <c r="D161" s="5" t="n">
        <v>0.09727027000000001</v>
      </c>
      <c r="E161" s="5" t="n">
        <v>0.00236984</v>
      </c>
    </row>
    <row r="162">
      <c r="A162" s="2" t="n">
        <v>43986</v>
      </c>
      <c r="B162" s="3" t="n">
        <v>1099.155309727248</v>
      </c>
      <c r="C162" s="4" t="n">
        <v>1.00171794</v>
      </c>
      <c r="D162" s="5" t="n">
        <v>0.09915531</v>
      </c>
      <c r="E162" s="5" t="n">
        <v>0.00171794</v>
      </c>
    </row>
    <row r="163">
      <c r="A163" s="2" t="n">
        <v>43987</v>
      </c>
      <c r="B163" s="3" t="n">
        <v>1098.1446254284</v>
      </c>
      <c r="C163" s="4" t="n">
        <v>0.99908049</v>
      </c>
      <c r="D163" s="5" t="n">
        <v>0.09814463</v>
      </c>
      <c r="E163" s="5" t="n">
        <v>-0.00091951</v>
      </c>
    </row>
    <row r="164">
      <c r="A164" s="2" t="n">
        <v>43990</v>
      </c>
      <c r="B164" s="3" t="n">
        <v>1096.190586881913</v>
      </c>
      <c r="C164" s="4" t="n">
        <v>0.9982206</v>
      </c>
      <c r="D164" s="5" t="n">
        <v>0.09619059000000001</v>
      </c>
      <c r="E164" s="5" t="n">
        <v>-0.0017794</v>
      </c>
    </row>
    <row r="165">
      <c r="A165" s="2" t="n">
        <v>43991</v>
      </c>
      <c r="B165" s="3" t="n">
        <v>1099.992822589666</v>
      </c>
      <c r="C165" s="4" t="n">
        <v>1.00346859</v>
      </c>
      <c r="D165" s="5" t="n">
        <v>0.09999282</v>
      </c>
      <c r="E165" s="5" t="n">
        <v>0.00346859</v>
      </c>
    </row>
    <row r="166">
      <c r="A166" s="2" t="n">
        <v>43992</v>
      </c>
      <c r="B166" s="3" t="n">
        <v>1098.633913456495</v>
      </c>
      <c r="C166" s="4" t="n">
        <v>0.99876462</v>
      </c>
      <c r="D166" s="5" t="n">
        <v>0.09863391000000001</v>
      </c>
      <c r="E166" s="5" t="n">
        <v>-0.00123538</v>
      </c>
    </row>
    <row r="167">
      <c r="A167" s="2" t="n">
        <v>43993</v>
      </c>
      <c r="B167" s="3" t="n">
        <v>1097.798270529242</v>
      </c>
      <c r="C167" s="4" t="n">
        <v>0.99923938</v>
      </c>
      <c r="D167" s="5" t="n">
        <v>0.09779827000000001</v>
      </c>
      <c r="E167" s="5" t="n">
        <v>-0.00076062</v>
      </c>
    </row>
    <row r="168">
      <c r="A168" s="2" t="n">
        <v>43994</v>
      </c>
      <c r="B168" s="3" t="n">
        <v>1099.02263396238</v>
      </c>
      <c r="C168" s="4" t="n">
        <v>1.00111529</v>
      </c>
      <c r="D168" s="5" t="n">
        <v>0.09902263</v>
      </c>
      <c r="E168" s="5" t="n">
        <v>0.00111529</v>
      </c>
    </row>
    <row r="169">
      <c r="A169" s="2" t="n">
        <v>43997</v>
      </c>
      <c r="B169" s="3" t="n">
        <v>1100.13181156548</v>
      </c>
      <c r="C169" s="4" t="n">
        <v>1.00100924</v>
      </c>
      <c r="D169" s="5" t="n">
        <v>0.10013181</v>
      </c>
      <c r="E169" s="5" t="n">
        <v>0.00100924</v>
      </c>
    </row>
    <row r="170">
      <c r="A170" s="2" t="n">
        <v>43998</v>
      </c>
      <c r="B170" s="3" t="n">
        <v>1118.585103534454</v>
      </c>
      <c r="C170" s="4" t="n">
        <v>1.01677371</v>
      </c>
      <c r="D170" s="5" t="n">
        <v>0.1185851</v>
      </c>
      <c r="E170" s="5" t="n">
        <v>0.01677371</v>
      </c>
    </row>
    <row r="171">
      <c r="A171" s="2" t="n">
        <v>43999</v>
      </c>
      <c r="B171" s="3" t="n">
        <v>1124.284059734091</v>
      </c>
      <c r="C171" s="4" t="n">
        <v>1.00509479</v>
      </c>
      <c r="D171" s="5" t="n">
        <v>0.12428406</v>
      </c>
      <c r="E171" s="5" t="n">
        <v>0.00509479</v>
      </c>
    </row>
    <row r="172">
      <c r="A172" s="2" t="n">
        <v>44000</v>
      </c>
      <c r="B172" s="3" t="n">
        <v>1118.93346822257</v>
      </c>
      <c r="C172" s="4" t="n">
        <v>0.99524089</v>
      </c>
      <c r="D172" s="5" t="n">
        <v>0.11893347</v>
      </c>
      <c r="E172" s="5" t="n">
        <v>-0.00475911</v>
      </c>
    </row>
    <row r="173">
      <c r="A173" s="2" t="n">
        <v>44001</v>
      </c>
      <c r="B173" s="3" t="n">
        <v>1121.868218112359</v>
      </c>
      <c r="C173" s="4" t="n">
        <v>1.00262281</v>
      </c>
      <c r="D173" s="5" t="n">
        <v>0.12186822</v>
      </c>
      <c r="E173" s="5" t="n">
        <v>0.00262281</v>
      </c>
    </row>
    <row r="174">
      <c r="A174" s="2" t="n">
        <v>44004</v>
      </c>
      <c r="B174" s="3" t="n">
        <v>1124.342969652057</v>
      </c>
      <c r="C174" s="4" t="n">
        <v>1.00220592</v>
      </c>
      <c r="D174" s="5" t="n">
        <v>0.12434297</v>
      </c>
      <c r="E174" s="5" t="n">
        <v>0.00220592</v>
      </c>
    </row>
    <row r="175">
      <c r="A175" s="2" t="n">
        <v>44005</v>
      </c>
      <c r="B175" s="3" t="n">
        <v>1121.577130920432</v>
      </c>
      <c r="C175" s="4" t="n">
        <v>0.99754004</v>
      </c>
      <c r="D175" s="5" t="n">
        <v>0.12157713</v>
      </c>
      <c r="E175" s="5" t="n">
        <v>-0.00245996</v>
      </c>
    </row>
    <row r="176">
      <c r="A176" s="2" t="n">
        <v>44006</v>
      </c>
      <c r="B176" s="3" t="n">
        <v>1116.699818177369</v>
      </c>
      <c r="C176" s="4" t="n">
        <v>0.99565138</v>
      </c>
      <c r="D176" s="5" t="n">
        <v>0.11669982</v>
      </c>
      <c r="E176" s="5" t="n">
        <v>-0.00434862</v>
      </c>
    </row>
    <row r="177">
      <c r="A177" s="2" t="n">
        <v>44011</v>
      </c>
      <c r="B177" s="3" t="n">
        <v>1111.731576018305</v>
      </c>
      <c r="C177" s="4" t="n">
        <v>0.99555096</v>
      </c>
      <c r="D177" s="5" t="n">
        <v>0.11173158</v>
      </c>
      <c r="E177" s="5" t="n">
        <v>-0.00444904</v>
      </c>
    </row>
    <row r="178">
      <c r="A178" s="2" t="n">
        <v>44012</v>
      </c>
      <c r="B178" s="3" t="n">
        <v>1127.836530969189</v>
      </c>
      <c r="C178" s="4" t="n">
        <v>1.01448637</v>
      </c>
      <c r="D178" s="5" t="n">
        <v>0.12783653</v>
      </c>
      <c r="E178" s="5" t="n">
        <v>0.01448637</v>
      </c>
    </row>
    <row r="179">
      <c r="A179" s="2" t="n">
        <v>44013</v>
      </c>
      <c r="B179" s="3" t="n">
        <v>1131.004860630353</v>
      </c>
      <c r="C179" s="4" t="n">
        <v>1.00280921</v>
      </c>
      <c r="D179" s="5" t="n">
        <v>0.13100486</v>
      </c>
      <c r="E179" s="5" t="n">
        <v>0.00280921</v>
      </c>
    </row>
    <row r="180">
      <c r="A180" s="2" t="n">
        <v>44014</v>
      </c>
      <c r="B180" s="3" t="n">
        <v>1141.414685917837</v>
      </c>
      <c r="C180" s="4" t="n">
        <v>1.00920405</v>
      </c>
      <c r="D180" s="5" t="n">
        <v>0.14141469</v>
      </c>
      <c r="E180" s="5" t="n">
        <v>0.00920405</v>
      </c>
    </row>
    <row r="181">
      <c r="A181" s="2" t="n">
        <v>44015</v>
      </c>
      <c r="B181" s="3" t="n">
        <v>1152.424874705523</v>
      </c>
      <c r="C181" s="4" t="n">
        <v>1.00964609</v>
      </c>
      <c r="D181" s="5" t="n">
        <v>0.15242487</v>
      </c>
      <c r="E181" s="5" t="n">
        <v>0.00964609</v>
      </c>
    </row>
    <row r="182">
      <c r="A182" s="2" t="n">
        <v>44018</v>
      </c>
      <c r="B182" s="3" t="n">
        <v>1188.139800764258</v>
      </c>
      <c r="C182" s="4" t="n">
        <v>1.03099111</v>
      </c>
      <c r="D182" s="5" t="n">
        <v>0.1881398</v>
      </c>
      <c r="E182" s="5" t="n">
        <v>0.03099111</v>
      </c>
    </row>
    <row r="183">
      <c r="A183" s="2" t="n">
        <v>44019</v>
      </c>
      <c r="B183" s="3" t="n">
        <v>1202.498042526166</v>
      </c>
      <c r="C183" s="4" t="n">
        <v>1.01208464</v>
      </c>
      <c r="D183" s="5" t="n">
        <v>0.20249804</v>
      </c>
      <c r="E183" s="5" t="n">
        <v>0.01208464</v>
      </c>
    </row>
    <row r="184">
      <c r="A184" s="2" t="n">
        <v>44020</v>
      </c>
      <c r="B184" s="3" t="n">
        <v>1225.124317844221</v>
      </c>
      <c r="C184" s="4" t="n">
        <v>1.01881606</v>
      </c>
      <c r="D184" s="5" t="n">
        <v>0.22512432</v>
      </c>
      <c r="E184" s="5" t="n">
        <v>0.01881606</v>
      </c>
    </row>
    <row r="185">
      <c r="A185" s="2" t="n">
        <v>44021</v>
      </c>
      <c r="B185" s="3" t="n">
        <v>1256.531421087827</v>
      </c>
      <c r="C185" s="4" t="n">
        <v>1.02563585</v>
      </c>
      <c r="D185" s="5" t="n">
        <v>0.25653142</v>
      </c>
      <c r="E185" s="5" t="n">
        <v>0.02563585</v>
      </c>
    </row>
    <row r="186">
      <c r="A186" s="2" t="n">
        <v>44022</v>
      </c>
      <c r="B186" s="3" t="n">
        <v>1253.016312133277</v>
      </c>
      <c r="C186" s="4" t="n">
        <v>0.99720253</v>
      </c>
      <c r="D186" s="5" t="n">
        <v>0.25301631</v>
      </c>
      <c r="E186" s="5" t="n">
        <v>-0.00279747</v>
      </c>
    </row>
    <row r="187">
      <c r="A187" s="2" t="n">
        <v>44025</v>
      </c>
      <c r="B187" s="3" t="n">
        <v>1294.348533748241</v>
      </c>
      <c r="C187" s="4" t="n">
        <v>1.03298618</v>
      </c>
      <c r="D187" s="5" t="n">
        <v>0.29434853</v>
      </c>
      <c r="E187" s="5" t="n">
        <v>0.03298618</v>
      </c>
    </row>
    <row r="188">
      <c r="A188" s="2" t="n">
        <v>44026</v>
      </c>
      <c r="B188" s="3" t="n">
        <v>1287.655340988861</v>
      </c>
      <c r="C188" s="4" t="n">
        <v>0.99482891</v>
      </c>
      <c r="D188" s="5" t="n">
        <v>0.28765534</v>
      </c>
      <c r="E188" s="5" t="n">
        <v>-0.00517109</v>
      </c>
    </row>
    <row r="189">
      <c r="A189" s="2" t="n">
        <v>44027</v>
      </c>
      <c r="B189" s="3" t="n">
        <v>1257.482318581479</v>
      </c>
      <c r="C189" s="4" t="n">
        <v>0.97656747</v>
      </c>
      <c r="D189" s="5" t="n">
        <v>0.25748232</v>
      </c>
      <c r="E189" s="5" t="n">
        <v>-0.02343253</v>
      </c>
    </row>
    <row r="190">
      <c r="A190" s="2" t="n">
        <v>44028</v>
      </c>
      <c r="B190" s="3" t="n">
        <v>1203.01379291167</v>
      </c>
      <c r="C190" s="4" t="n">
        <v>0.95668446</v>
      </c>
      <c r="D190" s="5" t="n">
        <v>0.20301379</v>
      </c>
      <c r="E190" s="5" t="n">
        <v>-0.04331554</v>
      </c>
    </row>
    <row r="191">
      <c r="A191" s="2" t="n">
        <v>44029</v>
      </c>
      <c r="B191" s="3" t="n">
        <v>1207.067997514335</v>
      </c>
      <c r="C191" s="4" t="n">
        <v>1.00337004</v>
      </c>
      <c r="D191" s="5" t="n">
        <v>0.207068</v>
      </c>
      <c r="E191" s="5" t="n">
        <v>0.00337004</v>
      </c>
    </row>
    <row r="192">
      <c r="A192" s="2" t="n">
        <v>44032</v>
      </c>
      <c r="B192" s="3" t="n">
        <v>1245.766090546085</v>
      </c>
      <c r="C192" s="4" t="n">
        <v>1.03205958</v>
      </c>
      <c r="D192" s="5" t="n">
        <v>0.24576609</v>
      </c>
      <c r="E192" s="5" t="n">
        <v>0.03205958</v>
      </c>
    </row>
    <row r="193">
      <c r="A193" s="2" t="n">
        <v>44033</v>
      </c>
      <c r="B193" s="3" t="n">
        <v>1252.487285130782</v>
      </c>
      <c r="C193" s="4" t="n">
        <v>1.00539523</v>
      </c>
      <c r="D193" s="5" t="n">
        <v>0.25248729</v>
      </c>
      <c r="E193" s="5" t="n">
        <v>0.00539523</v>
      </c>
    </row>
    <row r="194">
      <c r="A194" s="2" t="n">
        <v>44034</v>
      </c>
      <c r="B194" s="3" t="n">
        <v>1257.624486979475</v>
      </c>
      <c r="C194" s="4" t="n">
        <v>1.0041016</v>
      </c>
      <c r="D194" s="5" t="n">
        <v>0.25762449</v>
      </c>
      <c r="E194" s="5" t="n">
        <v>0.0041016</v>
      </c>
    </row>
    <row r="195">
      <c r="A195" s="2" t="n">
        <v>44035</v>
      </c>
      <c r="B195" s="3" t="n">
        <v>1256.271547132627</v>
      </c>
      <c r="C195" s="4" t="n">
        <v>0.99892421</v>
      </c>
      <c r="D195" s="5" t="n">
        <v>0.25627155</v>
      </c>
      <c r="E195" s="5" t="n">
        <v>-0.00107579</v>
      </c>
    </row>
    <row r="196">
      <c r="A196" s="2" t="n">
        <v>44036</v>
      </c>
      <c r="B196" s="3" t="n">
        <v>1206.350996725209</v>
      </c>
      <c r="C196" s="4" t="n">
        <v>0.96026293</v>
      </c>
      <c r="D196" s="5" t="n">
        <v>0.206351</v>
      </c>
      <c r="E196" s="5" t="n">
        <v>-0.03973707</v>
      </c>
    </row>
    <row r="197">
      <c r="A197" s="2" t="n">
        <v>44039</v>
      </c>
      <c r="B197" s="3" t="n">
        <v>1206.469979124016</v>
      </c>
      <c r="C197" s="4" t="n">
        <v>1.00009863</v>
      </c>
      <c r="D197" s="5" t="n">
        <v>0.20646998</v>
      </c>
      <c r="E197" s="5" t="n">
        <v>9.863e-05</v>
      </c>
    </row>
    <row r="198">
      <c r="A198" s="2" t="n">
        <v>44040</v>
      </c>
      <c r="B198" s="3" t="n">
        <v>1220.851077145775</v>
      </c>
      <c r="C198" s="4" t="n">
        <v>1.01191998</v>
      </c>
      <c r="D198" s="5" t="n">
        <v>0.22085108</v>
      </c>
      <c r="E198" s="5" t="n">
        <v>0.01191998</v>
      </c>
    </row>
    <row r="199">
      <c r="A199" s="2" t="n">
        <v>44041</v>
      </c>
      <c r="B199" s="3" t="n">
        <v>1249.386285750629</v>
      </c>
      <c r="C199" s="4" t="n">
        <v>1.02337321</v>
      </c>
      <c r="D199" s="5" t="n">
        <v>0.24938629</v>
      </c>
      <c r="E199" s="5" t="n">
        <v>0.02337321</v>
      </c>
    </row>
    <row r="200">
      <c r="A200" s="2" t="n">
        <v>44042</v>
      </c>
      <c r="B200" s="3" t="n">
        <v>1249.797846087019</v>
      </c>
      <c r="C200" s="4" t="n">
        <v>1.00032941</v>
      </c>
      <c r="D200" s="5" t="n">
        <v>0.24979785</v>
      </c>
      <c r="E200" s="5" t="n">
        <v>0.00032941</v>
      </c>
    </row>
    <row r="201">
      <c r="A201" s="2" t="n">
        <v>44043</v>
      </c>
      <c r="B201" s="3" t="n">
        <v>1268.08028891489</v>
      </c>
      <c r="C201" s="4" t="n">
        <v>1.01462832</v>
      </c>
      <c r="D201" s="5" t="n">
        <v>0.26808029</v>
      </c>
      <c r="E201" s="5" t="n">
        <v>0.01462832</v>
      </c>
    </row>
    <row r="202">
      <c r="A202" s="2" t="n">
        <v>44046</v>
      </c>
      <c r="B202" s="3" t="n">
        <v>1304.315949467494</v>
      </c>
      <c r="C202" s="4" t="n">
        <v>1.02857521</v>
      </c>
      <c r="D202" s="5" t="n">
        <v>0.30431595</v>
      </c>
      <c r="E202" s="5" t="n">
        <v>0.02857521</v>
      </c>
    </row>
    <row r="203">
      <c r="A203" s="2" t="n">
        <v>44047</v>
      </c>
      <c r="B203" s="3" t="n">
        <v>1293.34515236913</v>
      </c>
      <c r="C203" s="4" t="n">
        <v>0.99158885</v>
      </c>
      <c r="D203" s="5" t="n">
        <v>0.29334515</v>
      </c>
      <c r="E203" s="5" t="n">
        <v>-0.008411149999999999</v>
      </c>
    </row>
    <row r="204">
      <c r="A204" s="2" t="n">
        <v>44048</v>
      </c>
      <c r="B204" s="3" t="n">
        <v>1307.932714741993</v>
      </c>
      <c r="C204" s="4" t="n">
        <v>1.01127894</v>
      </c>
      <c r="D204" s="5" t="n">
        <v>0.30793271</v>
      </c>
      <c r="E204" s="5" t="n">
        <v>0.01127894</v>
      </c>
    </row>
    <row r="205">
      <c r="A205" s="2" t="n">
        <v>44049</v>
      </c>
      <c r="B205" s="3" t="n">
        <v>1305.043452137146</v>
      </c>
      <c r="C205" s="4" t="n">
        <v>0.9977909700000001</v>
      </c>
      <c r="D205" s="5" t="n">
        <v>0.30504345</v>
      </c>
      <c r="E205" s="5" t="n">
        <v>-0.00220903</v>
      </c>
    </row>
    <row r="206">
      <c r="A206" s="2" t="n">
        <v>44050</v>
      </c>
      <c r="B206" s="3" t="n">
        <v>1290.617397413746</v>
      </c>
      <c r="C206" s="4" t="n">
        <v>0.98894592</v>
      </c>
      <c r="D206" s="5" t="n">
        <v>0.2906174</v>
      </c>
      <c r="E206" s="5" t="n">
        <v>-0.01105408</v>
      </c>
    </row>
    <row r="207">
      <c r="A207" s="2" t="n">
        <v>44053</v>
      </c>
      <c r="B207" s="3" t="n">
        <v>1300.304861941952</v>
      </c>
      <c r="C207" s="4" t="n">
        <v>1.00750607</v>
      </c>
      <c r="D207" s="5" t="n">
        <v>0.30030486</v>
      </c>
      <c r="E207" s="5" t="n">
        <v>0.00750607</v>
      </c>
    </row>
    <row r="208">
      <c r="A208" s="2" t="n">
        <v>44054</v>
      </c>
      <c r="B208" s="3" t="n">
        <v>1275.043592331082</v>
      </c>
      <c r="C208" s="4" t="n">
        <v>0.98057281</v>
      </c>
      <c r="D208" s="5" t="n">
        <v>0.27504359</v>
      </c>
      <c r="E208" s="5" t="n">
        <v>-0.01942719</v>
      </c>
    </row>
    <row r="209">
      <c r="A209" s="2" t="n">
        <v>44055</v>
      </c>
      <c r="B209" s="3" t="n">
        <v>1268.283833972415</v>
      </c>
      <c r="C209" s="4" t="n">
        <v>0.99469841</v>
      </c>
      <c r="D209" s="5" t="n">
        <v>0.26828383</v>
      </c>
      <c r="E209" s="5" t="n">
        <v>-0.00530159</v>
      </c>
    </row>
    <row r="210">
      <c r="A210" s="2" t="n">
        <v>44056</v>
      </c>
      <c r="B210" s="3" t="n">
        <v>1277.238666127722</v>
      </c>
      <c r="C210" s="4" t="n">
        <v>1.00706059</v>
      </c>
      <c r="D210" s="5" t="n">
        <v>0.27723867</v>
      </c>
      <c r="E210" s="5" t="n">
        <v>0.00706059</v>
      </c>
    </row>
    <row r="211">
      <c r="A211" s="2" t="n">
        <v>44057</v>
      </c>
      <c r="B211" s="3" t="n">
        <v>1282.095596058633</v>
      </c>
      <c r="C211" s="4" t="n">
        <v>1.00380268</v>
      </c>
      <c r="D211" s="5" t="n">
        <v>0.2820956</v>
      </c>
      <c r="E211" s="5" t="n">
        <v>0.00380268</v>
      </c>
    </row>
    <row r="212">
      <c r="A212" s="2" t="n">
        <v>44060</v>
      </c>
      <c r="B212" s="3" t="n">
        <v>1304.997464555733</v>
      </c>
      <c r="C212" s="4" t="n">
        <v>1.01786284</v>
      </c>
      <c r="D212" s="5" t="n">
        <v>0.30499746</v>
      </c>
      <c r="E212" s="5" t="n">
        <v>0.01786284</v>
      </c>
    </row>
    <row r="213">
      <c r="A213" s="2" t="n">
        <v>44061</v>
      </c>
      <c r="B213" s="3" t="n">
        <v>1317.125549842404</v>
      </c>
      <c r="C213" s="4" t="n">
        <v>1.00929357</v>
      </c>
      <c r="D213" s="5" t="n">
        <v>0.31712555</v>
      </c>
      <c r="E213" s="5" t="n">
        <v>0.009293569999999999</v>
      </c>
    </row>
    <row r="214">
      <c r="A214" s="2" t="n">
        <v>44062</v>
      </c>
      <c r="B214" s="3" t="n">
        <v>1298.190184142716</v>
      </c>
      <c r="C214" s="4" t="n">
        <v>0.98562372</v>
      </c>
      <c r="D214" s="5" t="n">
        <v>0.29819018</v>
      </c>
      <c r="E214" s="5" t="n">
        <v>-0.01437628</v>
      </c>
    </row>
    <row r="215">
      <c r="A215" s="2" t="n">
        <v>44063</v>
      </c>
      <c r="B215" s="3" t="n">
        <v>1284.076623953968</v>
      </c>
      <c r="C215" s="4" t="n">
        <v>0.98912828</v>
      </c>
      <c r="D215" s="5" t="n">
        <v>0.28407662</v>
      </c>
      <c r="E215" s="5" t="n">
        <v>-0.01087172</v>
      </c>
    </row>
    <row r="216">
      <c r="A216" s="2" t="n">
        <v>44064</v>
      </c>
      <c r="B216" s="3" t="n">
        <v>1291.536967890712</v>
      </c>
      <c r="C216" s="4" t="n">
        <v>1.00580989</v>
      </c>
      <c r="D216" s="5" t="n">
        <v>0.29153697</v>
      </c>
      <c r="E216" s="5" t="n">
        <v>0.00580989</v>
      </c>
    </row>
    <row r="217">
      <c r="A217" s="2" t="n">
        <v>44067</v>
      </c>
      <c r="B217" s="3" t="n">
        <v>1302.207697980904</v>
      </c>
      <c r="C217" s="4" t="n">
        <v>1.00826204</v>
      </c>
      <c r="D217" s="5" t="n">
        <v>0.3022077</v>
      </c>
      <c r="E217" s="5" t="n">
        <v>0.00826204</v>
      </c>
    </row>
    <row r="218">
      <c r="A218" s="2" t="n">
        <v>44068</v>
      </c>
      <c r="B218" s="3" t="n">
        <v>1301.832154302883</v>
      </c>
      <c r="C218" s="4" t="n">
        <v>0.99971161</v>
      </c>
      <c r="D218" s="5" t="n">
        <v>0.30183215</v>
      </c>
      <c r="E218" s="5" t="n">
        <v>-0.00028839</v>
      </c>
    </row>
    <row r="219">
      <c r="A219" s="2" t="n">
        <v>44069</v>
      </c>
      <c r="B219" s="3" t="n">
        <v>1274.421752835997</v>
      </c>
      <c r="C219" s="4" t="n">
        <v>0.97894475</v>
      </c>
      <c r="D219" s="5" t="n">
        <v>0.27442175</v>
      </c>
      <c r="E219" s="5" t="n">
        <v>-0.02105525</v>
      </c>
    </row>
    <row r="220">
      <c r="A220" s="2" t="n">
        <v>44070</v>
      </c>
      <c r="B220" s="3" t="n">
        <v>1293.49346162297</v>
      </c>
      <c r="C220" s="4" t="n">
        <v>1.01496499</v>
      </c>
      <c r="D220" s="5" t="n">
        <v>0.29349346</v>
      </c>
      <c r="E220" s="5" t="n">
        <v>0.01496499</v>
      </c>
    </row>
    <row r="221">
      <c r="A221" s="2" t="n">
        <v>44071</v>
      </c>
      <c r="B221" s="3" t="n">
        <v>1303.181313732618</v>
      </c>
      <c r="C221" s="4" t="n">
        <v>1.00748968</v>
      </c>
      <c r="D221" s="5" t="n">
        <v>0.30318131</v>
      </c>
      <c r="E221" s="5" t="n">
        <v>0.00748968</v>
      </c>
    </row>
    <row r="222">
      <c r="A222" s="2" t="n">
        <v>44074</v>
      </c>
      <c r="B222" s="3" t="n">
        <v>1306.234406914431</v>
      </c>
      <c r="C222" s="4" t="n">
        <v>1.0023428</v>
      </c>
      <c r="D222" s="5" t="n">
        <v>0.30623441</v>
      </c>
      <c r="E222" s="5" t="n">
        <v>0.0023428</v>
      </c>
    </row>
    <row r="223">
      <c r="A223" s="2" t="n">
        <v>44075</v>
      </c>
      <c r="B223" s="3" t="n">
        <v>1314.424692580946</v>
      </c>
      <c r="C223" s="4" t="n">
        <v>1.00627015</v>
      </c>
      <c r="D223" s="5" t="n">
        <v>0.31442469</v>
      </c>
      <c r="E223" s="5" t="n">
        <v>0.00627015</v>
      </c>
    </row>
    <row r="224">
      <c r="A224" s="2" t="n">
        <v>44076</v>
      </c>
      <c r="B224" s="3" t="n">
        <v>1327.232486218195</v>
      </c>
      <c r="C224" s="4" t="n">
        <v>1.00974403</v>
      </c>
      <c r="D224" s="5" t="n">
        <v>0.32723249</v>
      </c>
      <c r="E224" s="5" t="n">
        <v>0.009744030000000001</v>
      </c>
    </row>
    <row r="225">
      <c r="A225" s="2" t="n">
        <v>44077</v>
      </c>
      <c r="B225" s="3" t="n">
        <v>1313.33977307498</v>
      </c>
      <c r="C225" s="4" t="n">
        <v>0.9895325699999999</v>
      </c>
      <c r="D225" s="5" t="n">
        <v>0.31333977</v>
      </c>
      <c r="E225" s="5" t="n">
        <v>-0.01046743</v>
      </c>
    </row>
    <row r="226">
      <c r="A226" s="2" t="n">
        <v>44078</v>
      </c>
      <c r="B226" s="3" t="n">
        <v>1317.754275787422</v>
      </c>
      <c r="C226" s="4" t="n">
        <v>1.00336128</v>
      </c>
      <c r="D226" s="5" t="n">
        <v>0.31775428</v>
      </c>
      <c r="E226" s="5" t="n">
        <v>0.00336128</v>
      </c>
    </row>
    <row r="227">
      <c r="A227" s="2" t="n">
        <v>44081</v>
      </c>
      <c r="B227" s="3" t="n">
        <v>1309.445887788753</v>
      </c>
      <c r="C227" s="4" t="n">
        <v>0.99369504</v>
      </c>
      <c r="D227" s="5" t="n">
        <v>0.30944589</v>
      </c>
      <c r="E227" s="5" t="n">
        <v>-0.00630496</v>
      </c>
    </row>
    <row r="228">
      <c r="A228" s="2" t="n">
        <v>44082</v>
      </c>
      <c r="B228" s="3" t="n">
        <v>1323.189871110361</v>
      </c>
      <c r="C228" s="4" t="n">
        <v>1.01049603</v>
      </c>
      <c r="D228" s="5" t="n">
        <v>0.32318987</v>
      </c>
      <c r="E228" s="5" t="n">
        <v>0.01049603</v>
      </c>
    </row>
    <row r="229">
      <c r="A229" s="2" t="n">
        <v>44083</v>
      </c>
      <c r="B229" s="3" t="n">
        <v>1285.309657639707</v>
      </c>
      <c r="C229" s="4" t="n">
        <v>0.97137205</v>
      </c>
      <c r="D229" s="5" t="n">
        <v>0.28530966</v>
      </c>
      <c r="E229" s="5" t="n">
        <v>-0.02862795</v>
      </c>
    </row>
    <row r="230">
      <c r="A230" s="2" t="n">
        <v>44084</v>
      </c>
      <c r="B230" s="3" t="n">
        <v>1228.91829019474</v>
      </c>
      <c r="C230" s="4" t="n">
        <v>0.95612624</v>
      </c>
      <c r="D230" s="5" t="n">
        <v>0.22891829</v>
      </c>
      <c r="E230" s="5" t="n">
        <v>-0.04387376</v>
      </c>
    </row>
    <row r="231">
      <c r="A231" s="2" t="n">
        <v>44085</v>
      </c>
      <c r="B231" s="3" t="n">
        <v>1246.923000015823</v>
      </c>
      <c r="C231" s="4" t="n">
        <v>1.01465086</v>
      </c>
      <c r="D231" s="5" t="n">
        <v>0.246923</v>
      </c>
      <c r="E231" s="5" t="n">
        <v>0.01465086</v>
      </c>
    </row>
    <row r="232">
      <c r="A232" s="2" t="n">
        <v>44088</v>
      </c>
      <c r="B232" s="3" t="n">
        <v>1271.88793219143</v>
      </c>
      <c r="C232" s="4" t="n">
        <v>1.02002123</v>
      </c>
      <c r="D232" s="5" t="n">
        <v>0.27188793</v>
      </c>
      <c r="E232" s="5" t="n">
        <v>0.02002123</v>
      </c>
    </row>
    <row r="233">
      <c r="A233" s="2" t="n">
        <v>44089</v>
      </c>
      <c r="B233" s="3" t="n">
        <v>1274.405418132254</v>
      </c>
      <c r="C233" s="4" t="n">
        <v>1.00197933</v>
      </c>
      <c r="D233" s="5" t="n">
        <v>0.27440542</v>
      </c>
      <c r="E233" s="5" t="n">
        <v>0.00197933</v>
      </c>
    </row>
    <row r="234">
      <c r="A234" s="2" t="n">
        <v>44090</v>
      </c>
      <c r="B234" s="3" t="n">
        <v>1263.861981738854</v>
      </c>
      <c r="C234" s="4" t="n">
        <v>0.99172678</v>
      </c>
      <c r="D234" s="5" t="n">
        <v>0.26386198</v>
      </c>
      <c r="E234" s="5" t="n">
        <v>-0.00827322</v>
      </c>
    </row>
    <row r="235">
      <c r="A235" s="2" t="n">
        <v>44091</v>
      </c>
      <c r="B235" s="3" t="n">
        <v>1266.47079508708</v>
      </c>
      <c r="C235" s="4" t="n">
        <v>1.00206416</v>
      </c>
      <c r="D235" s="5" t="n">
        <v>0.2664708</v>
      </c>
      <c r="E235" s="5" t="n">
        <v>0.00206416</v>
      </c>
    </row>
    <row r="236">
      <c r="A236" s="2" t="n">
        <v>44092</v>
      </c>
      <c r="B236" s="3" t="n">
        <v>1280.44831399943</v>
      </c>
      <c r="C236" s="4" t="n">
        <v>1.01103659</v>
      </c>
      <c r="D236" s="5" t="n">
        <v>0.28044831</v>
      </c>
      <c r="E236" s="5" t="n">
        <v>0.01103659</v>
      </c>
    </row>
    <row r="237">
      <c r="A237" s="2" t="n">
        <v>44095</v>
      </c>
      <c r="B237" s="3" t="n">
        <v>1279.398948192658</v>
      </c>
      <c r="C237" s="4" t="n">
        <v>0.99918047</v>
      </c>
      <c r="D237" s="5" t="n">
        <v>0.27939895</v>
      </c>
      <c r="E237" s="5" t="n">
        <v>-0.00081953</v>
      </c>
    </row>
    <row r="238">
      <c r="A238" s="2" t="n">
        <v>44096</v>
      </c>
      <c r="B238" s="3" t="n">
        <v>1263.248340424243</v>
      </c>
      <c r="C238" s="4" t="n">
        <v>0.98737641</v>
      </c>
      <c r="D238" s="5" t="n">
        <v>0.26324834</v>
      </c>
      <c r="E238" s="5" t="n">
        <v>-0.01262359</v>
      </c>
    </row>
    <row r="239">
      <c r="A239" s="2" t="n">
        <v>44097</v>
      </c>
      <c r="B239" s="3" t="n">
        <v>1271.878941513405</v>
      </c>
      <c r="C239" s="4" t="n">
        <v>1.00683207</v>
      </c>
      <c r="D239" s="5" t="n">
        <v>0.27187894</v>
      </c>
      <c r="E239" s="5" t="n">
        <v>0.00683207</v>
      </c>
    </row>
    <row r="240">
      <c r="A240" s="2" t="n">
        <v>44098</v>
      </c>
      <c r="B240" s="3" t="n">
        <v>1236.382822543283</v>
      </c>
      <c r="C240" s="4" t="n">
        <v>0.97209159</v>
      </c>
      <c r="D240" s="5" t="n">
        <v>0.23638282</v>
      </c>
      <c r="E240" s="5" t="n">
        <v>-0.02790841</v>
      </c>
    </row>
    <row r="241">
      <c r="A241" s="2" t="n">
        <v>44099</v>
      </c>
      <c r="B241" s="3" t="n">
        <v>1228.61103139523</v>
      </c>
      <c r="C241" s="4" t="n">
        <v>0.99371409</v>
      </c>
      <c r="D241" s="5" t="n">
        <v>0.22861103</v>
      </c>
      <c r="E241" s="5" t="n">
        <v>-0.00628591</v>
      </c>
    </row>
    <row r="242">
      <c r="A242" s="2" t="n">
        <v>44102</v>
      </c>
      <c r="B242" s="3" t="n">
        <v>1209.452918713264</v>
      </c>
      <c r="C242" s="4" t="n">
        <v>0.98440669</v>
      </c>
      <c r="D242" s="5" t="n">
        <v>0.20945292</v>
      </c>
      <c r="E242" s="5" t="n">
        <v>-0.01559331</v>
      </c>
    </row>
    <row r="243">
      <c r="A243" s="2" t="n">
        <v>44103</v>
      </c>
      <c r="B243" s="3" t="n">
        <v>1219.612359514043</v>
      </c>
      <c r="C243" s="4" t="n">
        <v>1.00840003</v>
      </c>
      <c r="D243" s="5" t="n">
        <v>0.21961236</v>
      </c>
      <c r="E243" s="5" t="n">
        <v>0.008400029999999999</v>
      </c>
    </row>
    <row r="244">
      <c r="A244" s="2" t="n">
        <v>44104</v>
      </c>
      <c r="B244" s="3" t="n">
        <v>1218.325314787172</v>
      </c>
      <c r="C244" s="4" t="n">
        <v>0.99894471</v>
      </c>
      <c r="D244" s="5" t="n">
        <v>0.21832531</v>
      </c>
      <c r="E244" s="5" t="n">
        <v>-0.00105529</v>
      </c>
    </row>
    <row r="245">
      <c r="A245" s="2" t="n">
        <v>44113</v>
      </c>
      <c r="B245" s="3" t="n">
        <v>1255.915024536236</v>
      </c>
      <c r="C245" s="4" t="n">
        <v>1.03085359</v>
      </c>
      <c r="D245" s="5" t="n">
        <v>0.25591502</v>
      </c>
      <c r="E245" s="5" t="n">
        <v>0.03085359</v>
      </c>
    </row>
    <row r="246">
      <c r="A246" s="2" t="n">
        <v>44116</v>
      </c>
      <c r="B246" s="3" t="n">
        <v>1294.322965687194</v>
      </c>
      <c r="C246" s="4" t="n">
        <v>1.03058164</v>
      </c>
      <c r="D246" s="5" t="n">
        <v>0.29432297</v>
      </c>
      <c r="E246" s="5" t="n">
        <v>0.03058164</v>
      </c>
    </row>
    <row r="247">
      <c r="A247" s="2" t="n">
        <v>44117</v>
      </c>
      <c r="B247" s="3" t="n">
        <v>1302.12312538053</v>
      </c>
      <c r="C247" s="4" t="n">
        <v>1.00602644</v>
      </c>
      <c r="D247" s="5" t="n">
        <v>0.30212313</v>
      </c>
      <c r="E247" s="5" t="n">
        <v>0.00602644</v>
      </c>
    </row>
    <row r="248">
      <c r="A248" s="2" t="n">
        <v>44118</v>
      </c>
      <c r="B248" s="3" t="n">
        <v>1298.352228894353</v>
      </c>
      <c r="C248" s="4" t="n">
        <v>0.99710404</v>
      </c>
      <c r="D248" s="5" t="n">
        <v>0.29835223</v>
      </c>
      <c r="E248" s="5" t="n">
        <v>-0.00289596</v>
      </c>
    </row>
    <row r="249">
      <c r="A249" s="2" t="n">
        <v>44119</v>
      </c>
      <c r="B249" s="3" t="n">
        <v>1286.192627946344</v>
      </c>
      <c r="C249" s="4" t="n">
        <v>0.99063459</v>
      </c>
      <c r="D249" s="5" t="n">
        <v>0.28619263</v>
      </c>
      <c r="E249" s="5" t="n">
        <v>-0.009365409999999999</v>
      </c>
    </row>
    <row r="250">
      <c r="A250" s="2" t="n">
        <v>44120</v>
      </c>
      <c r="B250" s="3" t="n">
        <v>1290.153046562464</v>
      </c>
      <c r="C250" s="4" t="n">
        <v>1.00307918</v>
      </c>
      <c r="D250" s="5" t="n">
        <v>0.29015305</v>
      </c>
      <c r="E250" s="5" t="n">
        <v>0.00307918</v>
      </c>
    </row>
    <row r="251">
      <c r="A251" s="2" t="n">
        <v>44123</v>
      </c>
      <c r="B251" s="3" t="n">
        <v>1284.704485117752</v>
      </c>
      <c r="C251" s="4" t="n">
        <v>0.99577681</v>
      </c>
      <c r="D251" s="5" t="n">
        <v>0.28470449</v>
      </c>
      <c r="E251" s="5" t="n">
        <v>-0.00422319</v>
      </c>
    </row>
    <row r="252">
      <c r="A252" s="2" t="n">
        <v>44124</v>
      </c>
      <c r="B252" s="3" t="n">
        <v>1297.467189119481</v>
      </c>
      <c r="C252" s="4" t="n">
        <v>1.00993435</v>
      </c>
      <c r="D252" s="5" t="n">
        <v>0.29746719</v>
      </c>
      <c r="E252" s="5" t="n">
        <v>0.00993435</v>
      </c>
    </row>
    <row r="253">
      <c r="A253" s="2" t="n">
        <v>44125</v>
      </c>
      <c r="B253" s="3" t="n">
        <v>1279.439414488214</v>
      </c>
      <c r="C253" s="4" t="n">
        <v>0.98610541</v>
      </c>
      <c r="D253" s="5" t="n">
        <v>0.27943941</v>
      </c>
      <c r="E253" s="5" t="n">
        <v>-0.01389459</v>
      </c>
    </row>
    <row r="254">
      <c r="A254" s="2" t="n">
        <v>44126</v>
      </c>
      <c r="B254" s="3" t="n">
        <v>1276.709014011331</v>
      </c>
      <c r="C254" s="4" t="n">
        <v>0.99786594</v>
      </c>
      <c r="D254" s="5" t="n">
        <v>0.27670901</v>
      </c>
      <c r="E254" s="5" t="n">
        <v>-0.00213406</v>
      </c>
    </row>
    <row r="255">
      <c r="A255" s="2" t="n">
        <v>44127</v>
      </c>
      <c r="B255" s="3" t="n">
        <v>1260.030330027</v>
      </c>
      <c r="C255" s="4" t="n">
        <v>0.98693619</v>
      </c>
      <c r="D255" s="5" t="n">
        <v>0.26003033</v>
      </c>
      <c r="E255" s="5" t="n">
        <v>-0.01306381</v>
      </c>
    </row>
    <row r="256">
      <c r="A256" s="2" t="n">
        <v>44130</v>
      </c>
      <c r="B256" s="3" t="n">
        <v>1266.775499189093</v>
      </c>
      <c r="C256" s="4" t="n">
        <v>1.00535318</v>
      </c>
      <c r="D256" s="5" t="n">
        <v>0.2667755</v>
      </c>
      <c r="E256" s="5" t="n">
        <v>0.00535318</v>
      </c>
    </row>
    <row r="257">
      <c r="A257" s="2" t="n">
        <v>44131</v>
      </c>
      <c r="B257" s="3" t="n">
        <v>1267.250996040469</v>
      </c>
      <c r="C257" s="4" t="n">
        <v>1.00037536</v>
      </c>
      <c r="D257" s="5" t="n">
        <v>0.267251</v>
      </c>
      <c r="E257" s="5" t="n">
        <v>0.00037536</v>
      </c>
    </row>
    <row r="258">
      <c r="A258" s="2" t="n">
        <v>44132</v>
      </c>
      <c r="B258" s="3" t="n">
        <v>1268.548686405434</v>
      </c>
      <c r="C258" s="4" t="n">
        <v>1.00102402</v>
      </c>
      <c r="D258" s="5" t="n">
        <v>0.26854869</v>
      </c>
      <c r="E258" s="5" t="n">
        <v>0.00102402</v>
      </c>
    </row>
    <row r="259">
      <c r="A259" s="2" t="n">
        <v>44133</v>
      </c>
      <c r="B259" s="3" t="n">
        <v>1264.857171671534</v>
      </c>
      <c r="C259" s="4" t="n">
        <v>0.99708997</v>
      </c>
      <c r="D259" s="5" t="n">
        <v>0.26485717</v>
      </c>
      <c r="E259" s="5" t="n">
        <v>-0.00291003</v>
      </c>
    </row>
    <row r="260">
      <c r="A260" s="2" t="n">
        <v>44134</v>
      </c>
      <c r="B260" s="3" t="n">
        <v>1228.016473692275</v>
      </c>
      <c r="C260" s="4" t="n">
        <v>0.97087363</v>
      </c>
      <c r="D260" s="5" t="n">
        <v>0.22801647</v>
      </c>
      <c r="E260" s="5" t="n">
        <v>-0.02912637</v>
      </c>
    </row>
    <row r="261">
      <c r="A261" s="2" t="n">
        <v>44137</v>
      </c>
      <c r="B261" s="3" t="n">
        <v>1232.338084706164</v>
      </c>
      <c r="C261" s="4" t="n">
        <v>1.00351918</v>
      </c>
      <c r="D261" s="5" t="n">
        <v>0.23233808</v>
      </c>
      <c r="E261" s="5" t="n">
        <v>0.00351918</v>
      </c>
    </row>
    <row r="262">
      <c r="A262" s="2" t="n">
        <v>44138</v>
      </c>
      <c r="B262" s="3" t="n">
        <v>1253.815001732044</v>
      </c>
      <c r="C262" s="4" t="n">
        <v>1.01742778</v>
      </c>
      <c r="D262" s="5" t="n">
        <v>0.253815</v>
      </c>
      <c r="E262" s="5" t="n">
        <v>0.01742778</v>
      </c>
    </row>
    <row r="263">
      <c r="A263" s="2" t="n">
        <v>44139</v>
      </c>
      <c r="B263" s="3" t="n">
        <v>1251.420967367737</v>
      </c>
      <c r="C263" s="4" t="n">
        <v>0.9980906</v>
      </c>
      <c r="D263" s="5" t="n">
        <v>0.25142097</v>
      </c>
      <c r="E263" s="5" t="n">
        <v>-0.0019094</v>
      </c>
    </row>
    <row r="264">
      <c r="A264" s="2" t="n">
        <v>44140</v>
      </c>
      <c r="B264" s="3" t="n">
        <v>1271.060067233865</v>
      </c>
      <c r="C264" s="4" t="n">
        <v>1.01569344</v>
      </c>
      <c r="D264" s="5" t="n">
        <v>0.27106007</v>
      </c>
      <c r="E264" s="5" t="n">
        <v>0.01569344</v>
      </c>
    </row>
    <row r="265">
      <c r="A265" s="2" t="n">
        <v>44141</v>
      </c>
      <c r="B265" s="3" t="n">
        <v>1254.300174241735</v>
      </c>
      <c r="C265" s="4" t="n">
        <v>0.98681424</v>
      </c>
      <c r="D265" s="5" t="n">
        <v>0.25430017</v>
      </c>
      <c r="E265" s="5" t="n">
        <v>-0.01318576</v>
      </c>
    </row>
    <row r="266">
      <c r="A266" s="2" t="n">
        <v>44144</v>
      </c>
      <c r="B266" s="3" t="n">
        <v>1280.124784927174</v>
      </c>
      <c r="C266" s="4" t="n">
        <v>1.02058886</v>
      </c>
      <c r="D266" s="5" t="n">
        <v>0.28012478</v>
      </c>
      <c r="E266" s="5" t="n">
        <v>0.02058886</v>
      </c>
    </row>
    <row r="267">
      <c r="A267" s="2" t="n">
        <v>44145</v>
      </c>
      <c r="B267" s="3" t="n">
        <v>1263.756814998394</v>
      </c>
      <c r="C267" s="4" t="n">
        <v>0.98721377</v>
      </c>
      <c r="D267" s="5" t="n">
        <v>0.26375681</v>
      </c>
      <c r="E267" s="5" t="n">
        <v>-0.01278623</v>
      </c>
    </row>
    <row r="268">
      <c r="A268" s="2" t="n">
        <v>44146</v>
      </c>
      <c r="B268" s="3" t="n">
        <v>1246.359584831218</v>
      </c>
      <c r="C268" s="4" t="n">
        <v>0.98623372</v>
      </c>
      <c r="D268" s="5" t="n">
        <v>0.24635958</v>
      </c>
      <c r="E268" s="5" t="n">
        <v>-0.01376628</v>
      </c>
    </row>
    <row r="269">
      <c r="A269" s="2" t="n">
        <v>44147</v>
      </c>
      <c r="B269" s="3" t="n">
        <v>1247.375193402514</v>
      </c>
      <c r="C269" s="4" t="n">
        <v>1.00081486</v>
      </c>
      <c r="D269" s="5" t="n">
        <v>0.24737519</v>
      </c>
      <c r="E269" s="5" t="n">
        <v>0.00081486</v>
      </c>
    </row>
    <row r="270">
      <c r="A270" s="2" t="n">
        <v>44148</v>
      </c>
      <c r="B270" s="3" t="n">
        <v>1247.394091136694</v>
      </c>
      <c r="C270" s="4" t="n">
        <v>1.00001515</v>
      </c>
      <c r="D270" s="5" t="n">
        <v>0.24739409</v>
      </c>
      <c r="E270" s="5" t="n">
        <v>1.515e-05</v>
      </c>
    </row>
    <row r="271">
      <c r="A271" s="2" t="n">
        <v>44151</v>
      </c>
      <c r="B271" s="3" t="n">
        <v>1255.501055022282</v>
      </c>
      <c r="C271" s="4" t="n">
        <v>1.00649912</v>
      </c>
      <c r="D271" s="5" t="n">
        <v>0.25550106</v>
      </c>
      <c r="E271" s="5" t="n">
        <v>0.00649912</v>
      </c>
    </row>
    <row r="272">
      <c r="A272" s="2" t="n">
        <v>44152</v>
      </c>
      <c r="B272" s="3" t="n">
        <v>1244.543255249227</v>
      </c>
      <c r="C272" s="4" t="n">
        <v>0.99127217</v>
      </c>
      <c r="D272" s="5" t="n">
        <v>0.24454326</v>
      </c>
      <c r="E272" s="5" t="n">
        <v>-0.008727830000000001</v>
      </c>
    </row>
    <row r="273">
      <c r="A273" s="2" t="n">
        <v>44153</v>
      </c>
      <c r="B273" s="3" t="n">
        <v>1250.402253759127</v>
      </c>
      <c r="C273" s="4" t="n">
        <v>1.00470775</v>
      </c>
      <c r="D273" s="5" t="n">
        <v>0.25040225</v>
      </c>
      <c r="E273" s="5" t="n">
        <v>0.00470775</v>
      </c>
    </row>
    <row r="274">
      <c r="A274" s="2" t="n">
        <v>44154</v>
      </c>
      <c r="B274" s="3" t="n">
        <v>1254.628388304427</v>
      </c>
      <c r="C274" s="4" t="n">
        <v>1.00337982</v>
      </c>
      <c r="D274" s="5" t="n">
        <v>0.25462839</v>
      </c>
      <c r="E274" s="5" t="n">
        <v>0.00337982</v>
      </c>
    </row>
    <row r="275">
      <c r="A275" s="2" t="n">
        <v>44155</v>
      </c>
      <c r="B275" s="3" t="n">
        <v>1259.545828994683</v>
      </c>
      <c r="C275" s="4" t="n">
        <v>1.00391944</v>
      </c>
      <c r="D275" s="5" t="n">
        <v>0.25954583</v>
      </c>
      <c r="E275" s="5" t="n">
        <v>0.00391944</v>
      </c>
    </row>
    <row r="276">
      <c r="A276" s="2" t="n">
        <v>44158</v>
      </c>
      <c r="B276" s="3" t="n">
        <v>1260.965047448419</v>
      </c>
      <c r="C276" s="4" t="n">
        <v>1.00112677</v>
      </c>
      <c r="D276" s="5" t="n">
        <v>0.26096505</v>
      </c>
      <c r="E276" s="5" t="n">
        <v>0.00112677</v>
      </c>
    </row>
    <row r="277">
      <c r="A277" s="2" t="n">
        <v>44159</v>
      </c>
      <c r="B277" s="3" t="n">
        <v>1260.374789709708</v>
      </c>
      <c r="C277" s="4" t="n">
        <v>0.9995319</v>
      </c>
      <c r="D277" s="5" t="n">
        <v>0.26037479</v>
      </c>
      <c r="E277" s="5" t="n">
        <v>-0.0004681</v>
      </c>
    </row>
    <row r="278">
      <c r="A278" s="2" t="n">
        <v>44160</v>
      </c>
      <c r="B278" s="3" t="n">
        <v>1244.748423595677</v>
      </c>
      <c r="C278" s="4" t="n">
        <v>0.98760181</v>
      </c>
      <c r="D278" s="5" t="n">
        <v>0.24474842</v>
      </c>
      <c r="E278" s="5" t="n">
        <v>-0.01239819</v>
      </c>
    </row>
    <row r="279">
      <c r="A279" s="2" t="n">
        <v>44161</v>
      </c>
      <c r="B279" s="3" t="n">
        <v>1237.092498836478</v>
      </c>
      <c r="C279" s="4" t="n">
        <v>0.99384942</v>
      </c>
      <c r="D279" s="5" t="n">
        <v>0.2370925</v>
      </c>
      <c r="E279" s="5" t="n">
        <v>-0.00615058</v>
      </c>
    </row>
    <row r="280">
      <c r="A280" s="2" t="n">
        <v>44162</v>
      </c>
      <c r="B280" s="3" t="n">
        <v>1234.150618648695</v>
      </c>
      <c r="C280" s="4" t="n">
        <v>0.99762194</v>
      </c>
      <c r="D280" s="5" t="n">
        <v>0.23415062</v>
      </c>
      <c r="E280" s="5" t="n">
        <v>-0.00237806</v>
      </c>
    </row>
    <row r="281">
      <c r="A281" s="2" t="n">
        <v>44165</v>
      </c>
      <c r="B281" s="3" t="n">
        <v>1230.570125556884</v>
      </c>
      <c r="C281" s="4" t="n">
        <v>0.9970988200000001</v>
      </c>
      <c r="D281" s="5" t="n">
        <v>0.23057013</v>
      </c>
      <c r="E281" s="5" t="n">
        <v>-0.00290118</v>
      </c>
    </row>
    <row r="282">
      <c r="A282" s="2" t="n">
        <v>44166</v>
      </c>
      <c r="B282" s="3" t="n">
        <v>1243.901888488844</v>
      </c>
      <c r="C282" s="4" t="n">
        <v>1.01083381</v>
      </c>
      <c r="D282" s="5" t="n">
        <v>0.24390189</v>
      </c>
      <c r="E282" s="5" t="n">
        <v>0.01083381</v>
      </c>
    </row>
    <row r="283">
      <c r="A283" s="2" t="n">
        <v>44167</v>
      </c>
      <c r="B283" s="3" t="n">
        <v>1244.900567559036</v>
      </c>
      <c r="C283" s="4" t="n">
        <v>1.00080286</v>
      </c>
      <c r="D283" s="5" t="n">
        <v>0.24490057</v>
      </c>
      <c r="E283" s="5" t="n">
        <v>0.00080286</v>
      </c>
    </row>
    <row r="284">
      <c r="A284" s="2" t="n">
        <v>44168</v>
      </c>
      <c r="B284" s="3" t="n">
        <v>1243.230122630468</v>
      </c>
      <c r="C284" s="4" t="n">
        <v>0.99865817</v>
      </c>
      <c r="D284" s="5" t="n">
        <v>0.24323012</v>
      </c>
      <c r="E284" s="5" t="n">
        <v>-0.00134183</v>
      </c>
    </row>
    <row r="285">
      <c r="A285" s="2" t="n">
        <v>44169</v>
      </c>
      <c r="B285" s="3" t="n">
        <v>1246.418373847653</v>
      </c>
      <c r="C285" s="4" t="n">
        <v>1.00256449</v>
      </c>
      <c r="D285" s="5" t="n">
        <v>0.24641837</v>
      </c>
      <c r="E285" s="5" t="n">
        <v>0.00256449</v>
      </c>
    </row>
    <row r="286">
      <c r="A286" s="2" t="n">
        <v>44172</v>
      </c>
      <c r="B286" s="3" t="n">
        <v>1243.264686078143</v>
      </c>
      <c r="C286" s="4" t="n">
        <v>0.9974698</v>
      </c>
      <c r="D286" s="5" t="n">
        <v>0.24326469</v>
      </c>
      <c r="E286" s="5" t="n">
        <v>-0.0025302</v>
      </c>
    </row>
    <row r="287">
      <c r="A287" s="2" t="n">
        <v>44173</v>
      </c>
      <c r="B287" s="3" t="n">
        <v>1242.092536132109</v>
      </c>
      <c r="C287" s="4" t="n">
        <v>0.9990572</v>
      </c>
      <c r="D287" s="5" t="n">
        <v>0.24209254</v>
      </c>
      <c r="E287" s="5" t="n">
        <v>-0.0009428</v>
      </c>
    </row>
    <row r="288">
      <c r="A288" s="2" t="n">
        <v>44174</v>
      </c>
      <c r="B288" s="3" t="n">
        <v>1219.632348163798</v>
      </c>
      <c r="C288" s="4" t="n">
        <v>0.98191746</v>
      </c>
      <c r="D288" s="5" t="n">
        <v>0.21963235</v>
      </c>
      <c r="E288" s="5" t="n">
        <v>-0.01808254</v>
      </c>
    </row>
    <row r="289">
      <c r="A289" s="2" t="n">
        <v>44175</v>
      </c>
      <c r="B289" s="3" t="n">
        <v>1219.579623457387</v>
      </c>
      <c r="C289" s="4" t="n">
        <v>0.9999567700000001</v>
      </c>
      <c r="D289" s="5" t="n">
        <v>0.21957962</v>
      </c>
      <c r="E289" s="5" t="n">
        <v>-4.323e-05</v>
      </c>
    </row>
    <row r="290">
      <c r="A290" s="2" t="n">
        <v>44176</v>
      </c>
      <c r="B290" s="3" t="n">
        <v>1201.508356037253</v>
      </c>
      <c r="C290" s="4" t="n">
        <v>0.98518238</v>
      </c>
      <c r="D290" s="5" t="n">
        <v>0.20150836</v>
      </c>
      <c r="E290" s="5" t="n">
        <v>-0.01481762</v>
      </c>
    </row>
    <row r="291">
      <c r="A291" s="2" t="n">
        <v>44179</v>
      </c>
      <c r="B291" s="3" t="n">
        <v>1211.070356032355</v>
      </c>
      <c r="C291" s="4" t="n">
        <v>1.00795833</v>
      </c>
      <c r="D291" s="5" t="n">
        <v>0.21107036</v>
      </c>
      <c r="E291" s="5" t="n">
        <v>0.00795833</v>
      </c>
    </row>
    <row r="292">
      <c r="A292" s="2" t="n">
        <v>44180</v>
      </c>
      <c r="B292" s="3" t="n">
        <v>1210.328078900439</v>
      </c>
      <c r="C292" s="4" t="n">
        <v>0.99938709</v>
      </c>
      <c r="D292" s="5" t="n">
        <v>0.21032808</v>
      </c>
      <c r="E292" s="5" t="n">
        <v>-0.00061291</v>
      </c>
    </row>
    <row r="293">
      <c r="A293" s="2" t="n">
        <v>44181</v>
      </c>
      <c r="B293" s="3" t="n">
        <v>1194.359869560363</v>
      </c>
      <c r="C293" s="4" t="n">
        <v>0.98680671</v>
      </c>
      <c r="D293" s="5" t="n">
        <v>0.19435987</v>
      </c>
      <c r="E293" s="5" t="n">
        <v>-0.01319329</v>
      </c>
    </row>
    <row r="294">
      <c r="A294" s="2" t="n">
        <v>44182</v>
      </c>
      <c r="B294" s="3" t="n">
        <v>1204.030493931805</v>
      </c>
      <c r="C294" s="4" t="n">
        <v>1.00809691</v>
      </c>
      <c r="D294" s="5" t="n">
        <v>0.20403049</v>
      </c>
      <c r="E294" s="5" t="n">
        <v>0.008096910000000001</v>
      </c>
    </row>
    <row r="295">
      <c r="A295" s="2" t="n">
        <v>44183</v>
      </c>
      <c r="B295" s="3" t="n">
        <v>1199.679609338933</v>
      </c>
      <c r="C295" s="4" t="n">
        <v>0.9963864</v>
      </c>
      <c r="D295" s="5" t="n">
        <v>0.19967961</v>
      </c>
      <c r="E295" s="5" t="n">
        <v>-0.0036136</v>
      </c>
    </row>
    <row r="296">
      <c r="A296" s="2" t="n">
        <v>44186</v>
      </c>
      <c r="B296" s="3" t="n">
        <v>1212.44585594016</v>
      </c>
      <c r="C296" s="4" t="n">
        <v>1.01064138</v>
      </c>
      <c r="D296" s="5" t="n">
        <v>0.21244586</v>
      </c>
      <c r="E296" s="5" t="n">
        <v>0.01064138</v>
      </c>
    </row>
    <row r="297">
      <c r="A297" s="2" t="n">
        <v>44187</v>
      </c>
      <c r="B297" s="3" t="n">
        <v>1192.505377294898</v>
      </c>
      <c r="C297" s="4" t="n">
        <v>0.98355351</v>
      </c>
      <c r="D297" s="5" t="n">
        <v>0.19250538</v>
      </c>
      <c r="E297" s="5" t="n">
        <v>-0.01644649</v>
      </c>
    </row>
    <row r="298">
      <c r="A298" s="2" t="n">
        <v>44188</v>
      </c>
      <c r="B298" s="3" t="n">
        <v>1199.32917926507</v>
      </c>
      <c r="C298" s="4" t="n">
        <v>1.00572224</v>
      </c>
      <c r="D298" s="5" t="n">
        <v>0.19932918</v>
      </c>
      <c r="E298" s="5" t="n">
        <v>0.00572224</v>
      </c>
    </row>
    <row r="299">
      <c r="A299" s="2" t="n">
        <v>44189</v>
      </c>
      <c r="B299" s="3" t="n">
        <v>1176.584273172354</v>
      </c>
      <c r="C299" s="4" t="n">
        <v>0.98103531</v>
      </c>
      <c r="D299" s="5" t="n">
        <v>0.17658427</v>
      </c>
      <c r="E299" s="5" t="n">
        <v>-0.01896469</v>
      </c>
    </row>
    <row r="300">
      <c r="A300" s="2" t="n">
        <v>44190</v>
      </c>
      <c r="B300" s="3" t="n">
        <v>1184.60125956121</v>
      </c>
      <c r="C300" s="4" t="n">
        <v>1.00681378</v>
      </c>
      <c r="D300" s="5" t="n">
        <v>0.18460126</v>
      </c>
      <c r="E300" s="5" t="n">
        <v>0.00681378</v>
      </c>
    </row>
    <row r="301">
      <c r="A301" s="2" t="n">
        <v>44193</v>
      </c>
      <c r="B301" s="3" t="n">
        <v>1172.00372408052</v>
      </c>
      <c r="C301" s="4" t="n">
        <v>0.98936559</v>
      </c>
      <c r="D301" s="5" t="n">
        <v>0.17200372</v>
      </c>
      <c r="E301" s="5" t="n">
        <v>-0.01063441</v>
      </c>
    </row>
    <row r="302">
      <c r="A302" s="2" t="n">
        <v>44194</v>
      </c>
      <c r="B302" s="3" t="n">
        <v>1165.037158144027</v>
      </c>
      <c r="C302" s="4" t="n">
        <v>0.99405585</v>
      </c>
      <c r="D302" s="5" t="n">
        <v>0.16503716</v>
      </c>
      <c r="E302" s="5" t="n">
        <v>-0.00594415</v>
      </c>
    </row>
    <row r="303">
      <c r="A303" s="2" t="n">
        <v>44195</v>
      </c>
      <c r="B303" s="3" t="n">
        <v>1168.007362126857</v>
      </c>
      <c r="C303" s="4" t="n">
        <v>1.00254945</v>
      </c>
      <c r="D303" s="5" t="n">
        <v>0.16800736</v>
      </c>
      <c r="E303" s="5" t="n">
        <v>0.00254945</v>
      </c>
    </row>
    <row r="304">
      <c r="A304" s="2" t="n">
        <v>44196</v>
      </c>
      <c r="B304" s="3" t="n">
        <v>1182.551331399693</v>
      </c>
      <c r="C304" s="4" t="n">
        <v>1.01245195</v>
      </c>
      <c r="D304" s="5" t="n">
        <v>0.18255133</v>
      </c>
      <c r="E304" s="5" t="n">
        <v>0.01245195</v>
      </c>
    </row>
    <row r="305">
      <c r="A305" s="2" t="n">
        <v>44200</v>
      </c>
      <c r="B305" s="3" t="n">
        <v>1200.832475210394</v>
      </c>
      <c r="C305" s="4" t="n">
        <v>1.01545907</v>
      </c>
      <c r="D305" s="5" t="n">
        <v>0.20083248</v>
      </c>
      <c r="E305" s="5" t="n">
        <v>0.01545907</v>
      </c>
    </row>
    <row r="306">
      <c r="A306" s="2" t="n">
        <v>44201</v>
      </c>
      <c r="B306" s="3" t="n">
        <v>1198.416940644884</v>
      </c>
      <c r="C306" s="4" t="n">
        <v>0.99798845</v>
      </c>
      <c r="D306" s="5" t="n">
        <v>0.19841694</v>
      </c>
      <c r="E306" s="5" t="n">
        <v>-0.00201155</v>
      </c>
    </row>
    <row r="307">
      <c r="A307" s="2" t="n">
        <v>44202</v>
      </c>
      <c r="B307" s="3" t="n">
        <v>1181.529628088328</v>
      </c>
      <c r="C307" s="4" t="n">
        <v>0.9859086500000001</v>
      </c>
      <c r="D307" s="5" t="n">
        <v>0.18152963</v>
      </c>
      <c r="E307" s="5" t="n">
        <v>-0.01409135</v>
      </c>
    </row>
    <row r="308">
      <c r="A308" s="2" t="n">
        <v>44203</v>
      </c>
      <c r="B308" s="3" t="n">
        <v>1147.270526680611</v>
      </c>
      <c r="C308" s="4" t="n">
        <v>0.97100445</v>
      </c>
      <c r="D308" s="5" t="n">
        <v>0.14727053</v>
      </c>
      <c r="E308" s="5" t="n">
        <v>-0.02899555</v>
      </c>
    </row>
    <row r="309">
      <c r="A309" s="2" t="n">
        <v>44204</v>
      </c>
      <c r="B309" s="3" t="n">
        <v>1142.717962194753</v>
      </c>
      <c r="C309" s="4" t="n">
        <v>0.99603183</v>
      </c>
      <c r="D309" s="5" t="n">
        <v>0.14271796</v>
      </c>
      <c r="E309" s="5" t="n">
        <v>-0.00396817</v>
      </c>
    </row>
    <row r="310">
      <c r="A310" s="2" t="n">
        <v>44207</v>
      </c>
      <c r="B310" s="3" t="n">
        <v>1114.833027093068</v>
      </c>
      <c r="C310" s="4" t="n">
        <v>0.97559771</v>
      </c>
      <c r="D310" s="5" t="n">
        <v>0.11483303</v>
      </c>
      <c r="E310" s="5" t="n">
        <v>-0.02440229</v>
      </c>
    </row>
    <row r="311">
      <c r="A311" s="2" t="n">
        <v>44208</v>
      </c>
      <c r="B311" s="3" t="n">
        <v>1120.270212694494</v>
      </c>
      <c r="C311" s="4" t="n">
        <v>1.00487713</v>
      </c>
      <c r="D311" s="5" t="n">
        <v>0.12027021</v>
      </c>
      <c r="E311" s="5" t="n">
        <v>0.00487713</v>
      </c>
    </row>
    <row r="312">
      <c r="A312" s="2" t="n">
        <v>44209</v>
      </c>
      <c r="B312" s="3" t="n">
        <v>1099.90423795741</v>
      </c>
      <c r="C312" s="4" t="n">
        <v>0.98182048</v>
      </c>
      <c r="D312" s="5" t="n">
        <v>0.09990424000000001</v>
      </c>
      <c r="E312" s="5" t="n">
        <v>-0.01817952</v>
      </c>
    </row>
    <row r="313">
      <c r="A313" s="2" t="n">
        <v>44210</v>
      </c>
      <c r="B313" s="3" t="n">
        <v>1101.283462876597</v>
      </c>
      <c r="C313" s="4" t="n">
        <v>1.00125395</v>
      </c>
      <c r="D313" s="5" t="n">
        <v>0.10128346</v>
      </c>
      <c r="E313" s="5" t="n">
        <v>0.00125395</v>
      </c>
    </row>
    <row r="314">
      <c r="A314" s="2" t="n">
        <v>44211</v>
      </c>
      <c r="B314" s="3" t="n">
        <v>1117.24382447517</v>
      </c>
      <c r="C314" s="4" t="n">
        <v>1.01449251</v>
      </c>
      <c r="D314" s="5" t="n">
        <v>0.11724382</v>
      </c>
      <c r="E314" s="5" t="n">
        <v>0.01449251</v>
      </c>
    </row>
    <row r="315">
      <c r="A315" s="2" t="n">
        <v>44214</v>
      </c>
      <c r="B315" s="3" t="n">
        <v>1136.721775104003</v>
      </c>
      <c r="C315" s="4" t="n">
        <v>1.01743393</v>
      </c>
      <c r="D315" s="5" t="n">
        <v>0.13672178</v>
      </c>
      <c r="E315" s="5" t="n">
        <v>0.01743393</v>
      </c>
    </row>
    <row r="316">
      <c r="A316" s="2" t="n">
        <v>44215</v>
      </c>
      <c r="B316" s="3" t="n">
        <v>1141.69959342936</v>
      </c>
      <c r="C316" s="4" t="n">
        <v>1.0043791</v>
      </c>
      <c r="D316" s="5" t="n">
        <v>0.14169959</v>
      </c>
      <c r="E316" s="5" t="n">
        <v>0.0043791</v>
      </c>
    </row>
    <row r="317">
      <c r="A317" s="2" t="n">
        <v>44216</v>
      </c>
      <c r="B317" s="3" t="n">
        <v>1145.716731950817</v>
      </c>
      <c r="C317" s="4" t="n">
        <v>1.00351856</v>
      </c>
      <c r="D317" s="5" t="n">
        <v>0.14571673</v>
      </c>
      <c r="E317" s="5" t="n">
        <v>0.00351856</v>
      </c>
    </row>
    <row r="318">
      <c r="A318" s="2" t="n">
        <v>44217</v>
      </c>
      <c r="B318" s="3" t="n">
        <v>1151.821855414527</v>
      </c>
      <c r="C318" s="4" t="n">
        <v>1.00532865</v>
      </c>
      <c r="D318" s="5" t="n">
        <v>0.15182186</v>
      </c>
      <c r="E318" s="5" t="n">
        <v>0.00532865</v>
      </c>
    </row>
    <row r="319">
      <c r="A319" s="2" t="n">
        <v>44218</v>
      </c>
      <c r="B319" s="3" t="n">
        <v>1140.66118540074</v>
      </c>
      <c r="C319" s="4" t="n">
        <v>0.99031042</v>
      </c>
      <c r="D319" s="5" t="n">
        <v>0.14066119</v>
      </c>
      <c r="E319" s="5" t="n">
        <v>-0.00968958</v>
      </c>
    </row>
    <row r="320">
      <c r="A320" s="2" t="n">
        <v>44221</v>
      </c>
      <c r="B320" s="3" t="n">
        <v>1124.082507753605</v>
      </c>
      <c r="C320" s="4" t="n">
        <v>0.98546573</v>
      </c>
      <c r="D320" s="5" t="n">
        <v>0.12408251</v>
      </c>
      <c r="E320" s="5" t="n">
        <v>-0.01453427</v>
      </c>
    </row>
    <row r="321">
      <c r="A321" s="2" t="n">
        <v>44222</v>
      </c>
      <c r="B321" s="3" t="n">
        <v>1115.076347460658</v>
      </c>
      <c r="C321" s="4" t="n">
        <v>0.99198799</v>
      </c>
      <c r="D321" s="5" t="n">
        <v>0.11507635</v>
      </c>
      <c r="E321" s="5" t="n">
        <v>-0.00801201</v>
      </c>
    </row>
    <row r="322">
      <c r="A322" s="2" t="n">
        <v>44223</v>
      </c>
      <c r="B322" s="3" t="n">
        <v>1116.059443371634</v>
      </c>
      <c r="C322" s="4" t="n">
        <v>1.00088164</v>
      </c>
      <c r="D322" s="5" t="n">
        <v>0.11605944</v>
      </c>
      <c r="E322" s="5" t="n">
        <v>0.00088164</v>
      </c>
    </row>
    <row r="323">
      <c r="A323" s="2" t="n">
        <v>44224</v>
      </c>
      <c r="B323" s="3" t="n">
        <v>1103.434177166814</v>
      </c>
      <c r="C323" s="4" t="n">
        <v>0.98868764</v>
      </c>
      <c r="D323" s="5" t="n">
        <v>0.10343418</v>
      </c>
      <c r="E323" s="5" t="n">
        <v>-0.01131236</v>
      </c>
    </row>
    <row r="324">
      <c r="A324" s="2" t="n">
        <v>44225</v>
      </c>
      <c r="B324" s="3" t="n">
        <v>1086.968346173169</v>
      </c>
      <c r="C324" s="4" t="n">
        <v>0.98507765</v>
      </c>
      <c r="D324" s="5" t="n">
        <v>0.08696835</v>
      </c>
      <c r="E324" s="5" t="n">
        <v>-0.01492235</v>
      </c>
    </row>
    <row r="325">
      <c r="A325" s="2" t="n">
        <v>44228</v>
      </c>
      <c r="B325" s="3" t="n">
        <v>1091.352078643602</v>
      </c>
      <c r="C325" s="4" t="n">
        <v>1.00403299</v>
      </c>
      <c r="D325" s="5" t="n">
        <v>0.09135208</v>
      </c>
      <c r="E325" s="5" t="n">
        <v>0.00403299</v>
      </c>
    </row>
    <row r="326">
      <c r="A326" s="2" t="n">
        <v>44229</v>
      </c>
      <c r="B326" s="3" t="n">
        <v>1093.543917417787</v>
      </c>
      <c r="C326" s="4" t="n">
        <v>1.00200837</v>
      </c>
      <c r="D326" s="5" t="n">
        <v>0.09354392</v>
      </c>
      <c r="E326" s="5" t="n">
        <v>0.00200837</v>
      </c>
    </row>
    <row r="327">
      <c r="A327" s="2" t="n">
        <v>44230</v>
      </c>
      <c r="B327" s="3" t="n">
        <v>1079.476076369362</v>
      </c>
      <c r="C327" s="4" t="n">
        <v>0.98713555</v>
      </c>
      <c r="D327" s="5" t="n">
        <v>0.07947608</v>
      </c>
      <c r="E327" s="5" t="n">
        <v>-0.01286445</v>
      </c>
    </row>
    <row r="328">
      <c r="A328" s="2" t="n">
        <v>44231</v>
      </c>
      <c r="B328" s="3" t="n">
        <v>1058.063988324648</v>
      </c>
      <c r="C328" s="4" t="n">
        <v>0.98016437</v>
      </c>
      <c r="D328" s="5" t="n">
        <v>0.05806399</v>
      </c>
      <c r="E328" s="5" t="n">
        <v>-0.01983563</v>
      </c>
    </row>
    <row r="329">
      <c r="A329" s="2" t="n">
        <v>44232</v>
      </c>
      <c r="B329" s="3" t="n">
        <v>1041.662293022594</v>
      </c>
      <c r="C329" s="4" t="n">
        <v>0.9844983899999999</v>
      </c>
      <c r="D329" s="5" t="n">
        <v>0.04166229</v>
      </c>
      <c r="E329" s="5" t="n">
        <v>-0.01550161</v>
      </c>
    </row>
    <row r="330">
      <c r="A330" s="2" t="n">
        <v>44235</v>
      </c>
      <c r="B330" s="3" t="n">
        <v>1040.953348082586</v>
      </c>
      <c r="C330" s="4" t="n">
        <v>0.99931941</v>
      </c>
      <c r="D330" s="5" t="n">
        <v>0.04095335</v>
      </c>
      <c r="E330" s="5" t="n">
        <v>-0.00068059</v>
      </c>
    </row>
    <row r="331">
      <c r="A331" s="2" t="n">
        <v>44236</v>
      </c>
      <c r="B331" s="3" t="n">
        <v>1058.128547439741</v>
      </c>
      <c r="C331" s="4" t="n">
        <v>1.01649949</v>
      </c>
      <c r="D331" s="5" t="n">
        <v>0.05812855</v>
      </c>
      <c r="E331" s="5" t="n">
        <v>0.01649949</v>
      </c>
    </row>
    <row r="332">
      <c r="A332" s="2" t="n">
        <v>44237</v>
      </c>
      <c r="B332" s="3" t="n">
        <v>1062.824617164848</v>
      </c>
      <c r="C332" s="4" t="n">
        <v>1.00443809</v>
      </c>
      <c r="D332" s="5" t="n">
        <v>0.06282462</v>
      </c>
      <c r="E332" s="5" t="n">
        <v>0.00443809</v>
      </c>
    </row>
    <row r="333">
      <c r="A333" s="2" t="n">
        <v>44245</v>
      </c>
      <c r="B333" s="3" t="n">
        <v>1089.454878311485</v>
      </c>
      <c r="C333" s="4" t="n">
        <v>1.02505612</v>
      </c>
      <c r="D333" s="5" t="n">
        <v>0.08945488</v>
      </c>
      <c r="E333" s="5" t="n">
        <v>0.02505612</v>
      </c>
    </row>
    <row r="334">
      <c r="A334" s="2" t="n">
        <v>44246</v>
      </c>
      <c r="B334" s="3" t="n">
        <v>1118.51146790176</v>
      </c>
      <c r="C334" s="4" t="n">
        <v>1.02667076</v>
      </c>
      <c r="D334" s="5" t="n">
        <v>0.11851147</v>
      </c>
      <c r="E334" s="5" t="n">
        <v>0.02667076</v>
      </c>
    </row>
    <row r="335">
      <c r="A335" s="2" t="n">
        <v>44249</v>
      </c>
      <c r="B335" s="3" t="n">
        <v>1131.04192817437</v>
      </c>
      <c r="C335" s="4" t="n">
        <v>1.0112028</v>
      </c>
      <c r="D335" s="5" t="n">
        <v>0.13104193</v>
      </c>
      <c r="E335" s="5" t="n">
        <v>0.0112028</v>
      </c>
    </row>
    <row r="336">
      <c r="A336" s="2" t="n">
        <v>44250</v>
      </c>
      <c r="B336" s="3" t="n">
        <v>1124.724923280484</v>
      </c>
      <c r="C336" s="4" t="n">
        <v>0.99441488</v>
      </c>
      <c r="D336" s="5" t="n">
        <v>0.12472492</v>
      </c>
      <c r="E336" s="5" t="n">
        <v>-0.00558512</v>
      </c>
    </row>
    <row r="337">
      <c r="A337" s="2" t="n">
        <v>44251</v>
      </c>
      <c r="B337" s="3" t="n">
        <v>1125.789036777649</v>
      </c>
      <c r="C337" s="4" t="n">
        <v>1.00094611</v>
      </c>
      <c r="D337" s="5" t="n">
        <v>0.12578904</v>
      </c>
      <c r="E337" s="5" t="n">
        <v>0.00094611</v>
      </c>
    </row>
    <row r="338">
      <c r="A338" s="2" t="n">
        <v>44252</v>
      </c>
      <c r="B338" s="3" t="n">
        <v>1116.485392340925</v>
      </c>
      <c r="C338" s="4" t="n">
        <v>0.99173589</v>
      </c>
      <c r="D338" s="5" t="n">
        <v>0.11648539</v>
      </c>
      <c r="E338" s="5" t="n">
        <v>-0.00826411</v>
      </c>
    </row>
    <row r="339">
      <c r="A339" s="2" t="n">
        <v>44253</v>
      </c>
      <c r="B339" s="3" t="n">
        <v>1119.050696167491</v>
      </c>
      <c r="C339" s="4" t="n">
        <v>1.00229766</v>
      </c>
      <c r="D339" s="5" t="n">
        <v>0.1190507</v>
      </c>
      <c r="E339" s="5" t="n">
        <v>0.00229766</v>
      </c>
    </row>
    <row r="340">
      <c r="A340" s="2" t="n">
        <v>44256</v>
      </c>
      <c r="B340" s="3" t="n">
        <v>1144.071125443835</v>
      </c>
      <c r="C340" s="4" t="n">
        <v>1.02235862</v>
      </c>
      <c r="D340" s="5" t="n">
        <v>0.14407113</v>
      </c>
      <c r="E340" s="5" t="n">
        <v>0.02235862</v>
      </c>
    </row>
    <row r="341">
      <c r="A341" s="2" t="n">
        <v>44257</v>
      </c>
      <c r="B341" s="3" t="n">
        <v>1137.297057428659</v>
      </c>
      <c r="C341" s="4" t="n">
        <v>0.9940789799999999</v>
      </c>
      <c r="D341" s="5" t="n">
        <v>0.13729706</v>
      </c>
      <c r="E341" s="5" t="n">
        <v>-0.00592102</v>
      </c>
    </row>
    <row r="342">
      <c r="A342" s="2" t="n">
        <v>44258</v>
      </c>
      <c r="B342" s="3" t="n">
        <v>1150.303163831472</v>
      </c>
      <c r="C342" s="4" t="n">
        <v>1.01143598</v>
      </c>
      <c r="D342" s="5" t="n">
        <v>0.15030316</v>
      </c>
      <c r="E342" s="5" t="n">
        <v>0.01143598</v>
      </c>
    </row>
    <row r="343">
      <c r="A343" s="2" t="n">
        <v>44259</v>
      </c>
      <c r="B343" s="3" t="n">
        <v>1141.879850356715</v>
      </c>
      <c r="C343" s="4" t="n">
        <v>0.99267731</v>
      </c>
      <c r="D343" s="5" t="n">
        <v>0.14187985</v>
      </c>
      <c r="E343" s="5" t="n">
        <v>-0.00732269</v>
      </c>
    </row>
    <row r="344">
      <c r="A344" s="2" t="n">
        <v>44260</v>
      </c>
      <c r="B344" s="3" t="n">
        <v>1151.821650111443</v>
      </c>
      <c r="C344" s="4" t="n">
        <v>1.00870652</v>
      </c>
      <c r="D344" s="5" t="n">
        <v>0.15182165</v>
      </c>
      <c r="E344" s="5" t="n">
        <v>0.008706520000000001</v>
      </c>
    </row>
    <row r="345">
      <c r="A345" s="2" t="n">
        <v>44263</v>
      </c>
      <c r="B345" s="3" t="n">
        <v>1138.703046536798</v>
      </c>
      <c r="C345" s="4" t="n">
        <v>0.98861056</v>
      </c>
      <c r="D345" s="5" t="n">
        <v>0.13870305</v>
      </c>
      <c r="E345" s="5" t="n">
        <v>-0.01138944</v>
      </c>
    </row>
    <row r="346">
      <c r="A346" s="2" t="n">
        <v>44264</v>
      </c>
      <c r="B346" s="3" t="n">
        <v>1111.067873687427</v>
      </c>
      <c r="C346" s="4" t="n">
        <v>0.97573101</v>
      </c>
      <c r="D346" s="5" t="n">
        <v>0.11106787</v>
      </c>
      <c r="E346" s="5" t="n">
        <v>-0.02426899</v>
      </c>
    </row>
    <row r="347">
      <c r="A347" s="2" t="n">
        <v>44265</v>
      </c>
      <c r="B347" s="3" t="n">
        <v>1096.9959768536</v>
      </c>
      <c r="C347" s="4" t="n">
        <v>0.9873348</v>
      </c>
      <c r="D347" s="5" t="n">
        <v>0.09699598</v>
      </c>
      <c r="E347" s="5" t="n">
        <v>-0.0126652</v>
      </c>
    </row>
    <row r="348">
      <c r="A348" s="2" t="n">
        <v>44266</v>
      </c>
      <c r="B348" s="3" t="n">
        <v>1118.320229338583</v>
      </c>
      <c r="C348" s="4" t="n">
        <v>1.01943877</v>
      </c>
      <c r="D348" s="5" t="n">
        <v>0.11832023</v>
      </c>
      <c r="E348" s="5" t="n">
        <v>0.01943877</v>
      </c>
    </row>
    <row r="349">
      <c r="A349" s="2" t="n">
        <v>44267</v>
      </c>
      <c r="B349" s="3" t="n">
        <v>1120.544344610691</v>
      </c>
      <c r="C349" s="4" t="n">
        <v>1.0019888</v>
      </c>
      <c r="D349" s="5" t="n">
        <v>0.12054434</v>
      </c>
      <c r="E349" s="5" t="n">
        <v>0.0019888</v>
      </c>
    </row>
    <row r="350">
      <c r="A350" s="2" t="n">
        <v>44270</v>
      </c>
      <c r="B350" s="3" t="n">
        <v>1121.126635479368</v>
      </c>
      <c r="C350" s="4" t="n">
        <v>1.00051965</v>
      </c>
      <c r="D350" s="5" t="n">
        <v>0.12112664</v>
      </c>
      <c r="E350" s="5" t="n">
        <v>0.00051965</v>
      </c>
    </row>
    <row r="351">
      <c r="A351" s="2" t="n">
        <v>44271</v>
      </c>
      <c r="B351" s="3" t="n">
        <v>1136.551532969681</v>
      </c>
      <c r="C351" s="4" t="n">
        <v>1.01375839</v>
      </c>
      <c r="D351" s="5" t="n">
        <v>0.13655153</v>
      </c>
      <c r="E351" s="5" t="n">
        <v>0.01375839</v>
      </c>
    </row>
    <row r="352">
      <c r="A352" s="2" t="n">
        <v>44272</v>
      </c>
      <c r="B352" s="3" t="n">
        <v>1141.944901883205</v>
      </c>
      <c r="C352" s="4" t="n">
        <v>1.00474538</v>
      </c>
      <c r="D352" s="5" t="n">
        <v>0.1419449</v>
      </c>
      <c r="E352" s="5" t="n">
        <v>0.00474538</v>
      </c>
    </row>
    <row r="353">
      <c r="A353" s="2" t="n">
        <v>44273</v>
      </c>
      <c r="B353" s="3" t="n">
        <v>1140.673220621019</v>
      </c>
      <c r="C353" s="4" t="n">
        <v>0.99888639</v>
      </c>
      <c r="D353" s="5" t="n">
        <v>0.14067322</v>
      </c>
      <c r="E353" s="5" t="n">
        <v>-0.00111361</v>
      </c>
    </row>
    <row r="354">
      <c r="A354" s="2" t="n">
        <v>44274</v>
      </c>
      <c r="B354" s="3" t="n">
        <v>1138.043946034023</v>
      </c>
      <c r="C354" s="4" t="n">
        <v>0.99769498</v>
      </c>
      <c r="D354" s="5" t="n">
        <v>0.13804395</v>
      </c>
      <c r="E354" s="5" t="n">
        <v>-0.00230502</v>
      </c>
    </row>
    <row r="355">
      <c r="A355" s="2" t="n">
        <v>44277</v>
      </c>
      <c r="B355" s="3" t="n">
        <v>1155.528193155401</v>
      </c>
      <c r="C355" s="4" t="n">
        <v>1.01536342</v>
      </c>
      <c r="D355" s="5" t="n">
        <v>0.15552819</v>
      </c>
      <c r="E355" s="5" t="n">
        <v>0.01536342</v>
      </c>
    </row>
    <row r="356">
      <c r="A356" s="2" t="n">
        <v>44278</v>
      </c>
      <c r="B356" s="3" t="n">
        <v>1141.957369617654</v>
      </c>
      <c r="C356" s="4" t="n">
        <v>0.98825574</v>
      </c>
      <c r="D356" s="5" t="n">
        <v>0.14195737</v>
      </c>
      <c r="E356" s="5" t="n">
        <v>-0.01174426</v>
      </c>
    </row>
    <row r="357">
      <c r="A357" s="2" t="n">
        <v>44279</v>
      </c>
      <c r="B357" s="3" t="n">
        <v>1133.39138751412</v>
      </c>
      <c r="C357" s="4" t="n">
        <v>0.99249886</v>
      </c>
      <c r="D357" s="5" t="n">
        <v>0.13339139</v>
      </c>
      <c r="E357" s="5" t="n">
        <v>-0.00750114</v>
      </c>
    </row>
    <row r="358">
      <c r="A358" s="2" t="n">
        <v>44280</v>
      </c>
      <c r="B358" s="3" t="n">
        <v>1128.628502884628</v>
      </c>
      <c r="C358" s="4" t="n">
        <v>0.99579767</v>
      </c>
      <c r="D358" s="5" t="n">
        <v>0.1286285</v>
      </c>
      <c r="E358" s="5" t="n">
        <v>-0.00420233</v>
      </c>
    </row>
    <row r="359">
      <c r="A359" s="2" t="n">
        <v>44281</v>
      </c>
      <c r="B359" s="3" t="n">
        <v>1142.094304987965</v>
      </c>
      <c r="C359" s="4" t="n">
        <v>1.01193112</v>
      </c>
      <c r="D359" s="5" t="n">
        <v>0.1420943</v>
      </c>
      <c r="E359" s="5" t="n">
        <v>0.01193112</v>
      </c>
    </row>
    <row r="360">
      <c r="A360" s="2" t="n">
        <v>44284</v>
      </c>
      <c r="B360" s="3" t="n">
        <v>1143.320400329084</v>
      </c>
      <c r="C360" s="4" t="n">
        <v>1.00107355</v>
      </c>
      <c r="D360" s="5" t="n">
        <v>0.1433204</v>
      </c>
      <c r="E360" s="5" t="n">
        <v>0.00107355</v>
      </c>
    </row>
    <row r="361">
      <c r="A361" s="2" t="n">
        <v>44285</v>
      </c>
      <c r="B361" s="3" t="n">
        <v>1132.763814376338</v>
      </c>
      <c r="C361" s="4" t="n">
        <v>0.99076673</v>
      </c>
      <c r="D361" s="5" t="n">
        <v>0.13276381</v>
      </c>
      <c r="E361" s="5" t="n">
        <v>-0.00923327</v>
      </c>
    </row>
    <row r="362">
      <c r="A362" s="2" t="n">
        <v>44286</v>
      </c>
      <c r="B362" s="3" t="n">
        <v>1135.333443778698</v>
      </c>
      <c r="C362" s="4" t="n">
        <v>1.00226846</v>
      </c>
      <c r="D362" s="5" t="n">
        <v>0.13533344</v>
      </c>
      <c r="E362" s="5" t="n">
        <v>0.00226846</v>
      </c>
    </row>
    <row r="363">
      <c r="A363" s="2" t="n">
        <v>44287</v>
      </c>
      <c r="B363" s="3" t="n">
        <v>1134.414663835985</v>
      </c>
      <c r="C363" s="4" t="n">
        <v>0.99919074</v>
      </c>
      <c r="D363" s="5" t="n">
        <v>0.13441466</v>
      </c>
      <c r="E363" s="5" t="n">
        <v>-0.00080926</v>
      </c>
    </row>
    <row r="364">
      <c r="A364" s="2" t="n">
        <v>44288</v>
      </c>
      <c r="B364" s="3" t="n">
        <v>1136.558650829902</v>
      </c>
      <c r="C364" s="4" t="n">
        <v>1.00188995</v>
      </c>
      <c r="D364" s="5" t="n">
        <v>0.13655865</v>
      </c>
      <c r="E364" s="5" t="n">
        <v>0.00188995</v>
      </c>
    </row>
    <row r="365">
      <c r="A365" s="2" t="n">
        <v>44292</v>
      </c>
      <c r="B365" s="3" t="n">
        <v>1151.009516720571</v>
      </c>
      <c r="C365" s="4" t="n">
        <v>1.01271458</v>
      </c>
      <c r="D365" s="5" t="n">
        <v>0.15100952</v>
      </c>
      <c r="E365" s="5" t="n">
        <v>0.01271458</v>
      </c>
    </row>
    <row r="366">
      <c r="A366" s="2" t="n">
        <v>44293</v>
      </c>
      <c r="B366" s="3" t="n">
        <v>1157.264332636334</v>
      </c>
      <c r="C366" s="4" t="n">
        <v>1.0054342</v>
      </c>
      <c r="D366" s="5" t="n">
        <v>0.15726433</v>
      </c>
      <c r="E366" s="5" t="n">
        <v>0.0054342</v>
      </c>
    </row>
    <row r="367">
      <c r="A367" s="2" t="n">
        <v>44294</v>
      </c>
      <c r="B367" s="3" t="n">
        <v>1147.833392119808</v>
      </c>
      <c r="C367" s="4" t="n">
        <v>0.99185066</v>
      </c>
      <c r="D367" s="5" t="n">
        <v>0.14783339</v>
      </c>
      <c r="E367" s="5" t="n">
        <v>-0.00814934</v>
      </c>
    </row>
    <row r="368">
      <c r="A368" s="2" t="n">
        <v>44295</v>
      </c>
      <c r="B368" s="3" t="n">
        <v>1149.868948379059</v>
      </c>
      <c r="C368" s="4" t="n">
        <v>1.00177339</v>
      </c>
      <c r="D368" s="5" t="n">
        <v>0.14986895</v>
      </c>
      <c r="E368" s="5" t="n">
        <v>0.00177339</v>
      </c>
    </row>
    <row r="369">
      <c r="A369" s="2" t="n">
        <v>44298</v>
      </c>
      <c r="B369" s="3" t="n">
        <v>1136.349433210629</v>
      </c>
      <c r="C369" s="4" t="n">
        <v>0.98824256</v>
      </c>
      <c r="D369" s="5" t="n">
        <v>0.13634943</v>
      </c>
      <c r="E369" s="5" t="n">
        <v>-0.01175744</v>
      </c>
    </row>
    <row r="370">
      <c r="A370" s="2" t="n">
        <v>44299</v>
      </c>
      <c r="B370" s="3" t="n">
        <v>1129.083774023601</v>
      </c>
      <c r="C370" s="4" t="n">
        <v>0.99360614</v>
      </c>
      <c r="D370" s="5" t="n">
        <v>0.12908377</v>
      </c>
      <c r="E370" s="5" t="n">
        <v>-0.00639386</v>
      </c>
    </row>
    <row r="371">
      <c r="A371" s="2" t="n">
        <v>44300</v>
      </c>
      <c r="B371" s="3" t="n">
        <v>1140.529996272818</v>
      </c>
      <c r="C371" s="4" t="n">
        <v>1.01013762</v>
      </c>
      <c r="D371" s="5" t="n">
        <v>0.14053</v>
      </c>
      <c r="E371" s="5" t="n">
        <v>0.01013762</v>
      </c>
    </row>
    <row r="372">
      <c r="A372" s="2" t="n">
        <v>44301</v>
      </c>
      <c r="B372" s="3" t="n">
        <v>1139.109112598162</v>
      </c>
      <c r="C372" s="4" t="n">
        <v>0.99875419</v>
      </c>
      <c r="D372" s="5" t="n">
        <v>0.13910911</v>
      </c>
      <c r="E372" s="5" t="n">
        <v>-0.00124581</v>
      </c>
    </row>
    <row r="373">
      <c r="A373" s="2" t="n">
        <v>44302</v>
      </c>
      <c r="B373" s="3" t="n">
        <v>1158.563250884576</v>
      </c>
      <c r="C373" s="4" t="n">
        <v>1.01707838</v>
      </c>
      <c r="D373" s="5" t="n">
        <v>0.15856325</v>
      </c>
      <c r="E373" s="5" t="n">
        <v>0.01707838</v>
      </c>
    </row>
    <row r="374">
      <c r="A374" s="2" t="n">
        <v>44305</v>
      </c>
      <c r="B374" s="3" t="n">
        <v>1172.056863283141</v>
      </c>
      <c r="C374" s="4" t="n">
        <v>1.01164685</v>
      </c>
      <c r="D374" s="5" t="n">
        <v>0.17205686</v>
      </c>
      <c r="E374" s="5" t="n">
        <v>0.01164685</v>
      </c>
    </row>
    <row r="375">
      <c r="A375" s="2" t="n">
        <v>44306</v>
      </c>
      <c r="B375" s="3" t="n">
        <v>1167.794842587773</v>
      </c>
      <c r="C375" s="4" t="n">
        <v>0.99636364</v>
      </c>
      <c r="D375" s="5" t="n">
        <v>0.16779484</v>
      </c>
      <c r="E375" s="5" t="n">
        <v>-0.00363636</v>
      </c>
    </row>
    <row r="376">
      <c r="A376" s="2" t="n">
        <v>44307</v>
      </c>
      <c r="B376" s="3" t="n">
        <v>1164.258759804417</v>
      </c>
      <c r="C376" s="4" t="n">
        <v>0.996972</v>
      </c>
      <c r="D376" s="5" t="n">
        <v>0.16425876</v>
      </c>
      <c r="E376" s="5" t="n">
        <v>-0.003028</v>
      </c>
    </row>
    <row r="377">
      <c r="A377" s="2" t="n">
        <v>44308</v>
      </c>
      <c r="B377" s="3" t="n">
        <v>1169.196881836014</v>
      </c>
      <c r="C377" s="4" t="n">
        <v>1.00424143</v>
      </c>
      <c r="D377" s="5" t="n">
        <v>0.16919688</v>
      </c>
      <c r="E377" s="5" t="n">
        <v>0.00424143</v>
      </c>
    </row>
    <row r="378">
      <c r="A378" s="2" t="n">
        <v>44309</v>
      </c>
      <c r="B378" s="3" t="n">
        <v>1159.500463179665</v>
      </c>
      <c r="C378" s="4" t="n">
        <v>0.99170677</v>
      </c>
      <c r="D378" s="5" t="n">
        <v>0.15950046</v>
      </c>
      <c r="E378" s="5" t="n">
        <v>-0.00829323</v>
      </c>
    </row>
    <row r="379">
      <c r="A379" s="2" t="n">
        <v>44312</v>
      </c>
      <c r="B379" s="3" t="n">
        <v>1156.498238200382</v>
      </c>
      <c r="C379" s="4" t="n">
        <v>0.99741076</v>
      </c>
      <c r="D379" s="5" t="n">
        <v>0.15649824</v>
      </c>
      <c r="E379" s="5" t="n">
        <v>-0.00258924</v>
      </c>
    </row>
    <row r="380">
      <c r="A380" s="2" t="n">
        <v>44313</v>
      </c>
      <c r="B380" s="3" t="n">
        <v>1149.472280103667</v>
      </c>
      <c r="C380" s="4" t="n">
        <v>0.9939248000000001</v>
      </c>
      <c r="D380" s="5" t="n">
        <v>0.14947228</v>
      </c>
      <c r="E380" s="5" t="n">
        <v>-0.0060752</v>
      </c>
    </row>
    <row r="381">
      <c r="A381" s="2" t="n">
        <v>44314</v>
      </c>
      <c r="B381" s="3" t="n">
        <v>1150.441756519429</v>
      </c>
      <c r="C381" s="4" t="n">
        <v>1.00084341</v>
      </c>
      <c r="D381" s="5" t="n">
        <v>0.15044176</v>
      </c>
      <c r="E381" s="5" t="n">
        <v>0.0008434099999999999</v>
      </c>
    </row>
    <row r="382">
      <c r="A382" s="2" t="n">
        <v>44315</v>
      </c>
      <c r="B382" s="3" t="n">
        <v>1144.597029210772</v>
      </c>
      <c r="C382" s="4" t="n">
        <v>0.99491958</v>
      </c>
      <c r="D382" s="5" t="n">
        <v>0.14459703</v>
      </c>
      <c r="E382" s="5" t="n">
        <v>-0.00508042</v>
      </c>
    </row>
    <row r="383">
      <c r="A383" s="2" t="n">
        <v>44316</v>
      </c>
      <c r="B383" s="3" t="n">
        <v>1139.634628790629</v>
      </c>
      <c r="C383" s="4" t="n">
        <v>0.9956645</v>
      </c>
      <c r="D383" s="5" t="n">
        <v>0.13963463</v>
      </c>
      <c r="E383" s="5" t="n">
        <v>-0.0043355</v>
      </c>
    </row>
    <row r="384">
      <c r="A384" s="2" t="n">
        <v>44322</v>
      </c>
      <c r="B384" s="3" t="n">
        <v>1147.033433105741</v>
      </c>
      <c r="C384" s="4" t="n">
        <v>1.00649226</v>
      </c>
      <c r="D384" s="5" t="n">
        <v>0.14703343</v>
      </c>
      <c r="E384" s="5" t="n">
        <v>0.00649226</v>
      </c>
    </row>
    <row r="385">
      <c r="A385" s="2" t="n">
        <v>44323</v>
      </c>
      <c r="B385" s="3" t="n">
        <v>1140.836137640348</v>
      </c>
      <c r="C385" s="4" t="n">
        <v>0.99459711</v>
      </c>
      <c r="D385" s="5" t="n">
        <v>0.14083614</v>
      </c>
      <c r="E385" s="5" t="n">
        <v>-0.00540289</v>
      </c>
    </row>
    <row r="386">
      <c r="A386" s="2" t="n">
        <v>44326</v>
      </c>
      <c r="B386" s="3" t="n">
        <v>1147.94240594171</v>
      </c>
      <c r="C386" s="4" t="n">
        <v>1.006229</v>
      </c>
      <c r="D386" s="5" t="n">
        <v>0.14794241</v>
      </c>
      <c r="E386" s="5" t="n">
        <v>0.006229</v>
      </c>
    </row>
    <row r="387">
      <c r="A387" s="2" t="n">
        <v>44327</v>
      </c>
      <c r="B387" s="3" t="n">
        <v>1150.432534088103</v>
      </c>
      <c r="C387" s="4" t="n">
        <v>1.00216921</v>
      </c>
      <c r="D387" s="5" t="n">
        <v>0.15043253</v>
      </c>
      <c r="E387" s="5" t="n">
        <v>0.00216921</v>
      </c>
    </row>
    <row r="388">
      <c r="A388" s="2" t="n">
        <v>44328</v>
      </c>
      <c r="B388" s="3" t="n">
        <v>1163.376660258371</v>
      </c>
      <c r="C388" s="4" t="n">
        <v>1.01125153</v>
      </c>
      <c r="D388" s="5" t="n">
        <v>0.16337666</v>
      </c>
      <c r="E388" s="5" t="n">
        <v>0.01125153</v>
      </c>
    </row>
    <row r="389">
      <c r="A389" s="2" t="n">
        <v>44329</v>
      </c>
      <c r="B389" s="3" t="n">
        <v>1158.737195573627</v>
      </c>
      <c r="C389" s="4" t="n">
        <v>0.99601207</v>
      </c>
      <c r="D389" s="5" t="n">
        <v>0.1587372</v>
      </c>
      <c r="E389" s="5" t="n">
        <v>-0.00398793</v>
      </c>
    </row>
    <row r="390">
      <c r="A390" s="2" t="n">
        <v>44330</v>
      </c>
      <c r="B390" s="3" t="n">
        <v>1170.392017621518</v>
      </c>
      <c r="C390" s="4" t="n">
        <v>1.01005821</v>
      </c>
      <c r="D390" s="5" t="n">
        <v>0.17039202</v>
      </c>
      <c r="E390" s="5" t="n">
        <v>0.01005821</v>
      </c>
    </row>
    <row r="391">
      <c r="A391" s="2" t="n">
        <v>44333</v>
      </c>
      <c r="B391" s="3" t="n">
        <v>1156.61898480519</v>
      </c>
      <c r="C391" s="4" t="n">
        <v>0.98823212</v>
      </c>
      <c r="D391" s="5" t="n">
        <v>0.15661898</v>
      </c>
      <c r="E391" s="5" t="n">
        <v>-0.01176788</v>
      </c>
    </row>
    <row r="392">
      <c r="A392" s="2" t="n">
        <v>44334</v>
      </c>
      <c r="B392" s="3" t="n">
        <v>1162.377952657193</v>
      </c>
      <c r="C392" s="4" t="n">
        <v>1.00497914</v>
      </c>
      <c r="D392" s="5" t="n">
        <v>0.16237795</v>
      </c>
      <c r="E392" s="5" t="n">
        <v>0.00497914</v>
      </c>
    </row>
    <row r="393">
      <c r="A393" s="2" t="n">
        <v>44335</v>
      </c>
      <c r="B393" s="3" t="n">
        <v>1162.922561599351</v>
      </c>
      <c r="C393" s="4" t="n">
        <v>1.00046853</v>
      </c>
      <c r="D393" s="5" t="n">
        <v>0.16292256</v>
      </c>
      <c r="E393" s="5" t="n">
        <v>0.00046853</v>
      </c>
    </row>
    <row r="394">
      <c r="A394" s="2" t="n">
        <v>44336</v>
      </c>
      <c r="B394" s="3" t="n">
        <v>1159.622233886435</v>
      </c>
      <c r="C394" s="4" t="n">
        <v>0.99716204</v>
      </c>
      <c r="D394" s="5" t="n">
        <v>0.15962223</v>
      </c>
      <c r="E394" s="5" t="n">
        <v>-0.00283796</v>
      </c>
    </row>
    <row r="395">
      <c r="A395" s="2" t="n">
        <v>44337</v>
      </c>
      <c r="B395" s="3" t="n">
        <v>1163.270440222908</v>
      </c>
      <c r="C395" s="4" t="n">
        <v>1.00314603</v>
      </c>
      <c r="D395" s="5" t="n">
        <v>0.16327044</v>
      </c>
      <c r="E395" s="5" t="n">
        <v>0.00314603</v>
      </c>
    </row>
    <row r="396">
      <c r="A396" s="2" t="n">
        <v>44340</v>
      </c>
      <c r="B396" s="3" t="n">
        <v>1169.06807540264</v>
      </c>
      <c r="C396" s="4" t="n">
        <v>1.00498391</v>
      </c>
      <c r="D396" s="5" t="n">
        <v>0.16906808</v>
      </c>
      <c r="E396" s="5" t="n">
        <v>0.00498391</v>
      </c>
    </row>
    <row r="397">
      <c r="A397" s="2" t="n">
        <v>44341</v>
      </c>
      <c r="B397" s="3" t="n">
        <v>1174.950533691047</v>
      </c>
      <c r="C397" s="4" t="n">
        <v>1.00503175</v>
      </c>
      <c r="D397" s="5" t="n">
        <v>0.17495053</v>
      </c>
      <c r="E397" s="5" t="n">
        <v>0.00503175</v>
      </c>
    </row>
    <row r="398">
      <c r="A398" s="2" t="n">
        <v>44342</v>
      </c>
      <c r="B398" s="3" t="n">
        <v>1183.133664675023</v>
      </c>
      <c r="C398" s="4" t="n">
        <v>1.00696466</v>
      </c>
      <c r="D398" s="5" t="n">
        <v>0.18313366</v>
      </c>
      <c r="E398" s="5" t="n">
        <v>0.00696466</v>
      </c>
    </row>
    <row r="399">
      <c r="A399" s="2" t="n">
        <v>44343</v>
      </c>
      <c r="B399" s="3" t="n">
        <v>1192.420483074503</v>
      </c>
      <c r="C399" s="4" t="n">
        <v>1.00784934</v>
      </c>
      <c r="D399" s="5" t="n">
        <v>0.19242048</v>
      </c>
      <c r="E399" s="5" t="n">
        <v>0.00784934</v>
      </c>
    </row>
    <row r="400">
      <c r="A400" s="2" t="n">
        <v>44344</v>
      </c>
      <c r="B400" s="3" t="n">
        <v>1190.721737005906</v>
      </c>
      <c r="C400" s="4" t="n">
        <v>0.99857538</v>
      </c>
      <c r="D400" s="5" t="n">
        <v>0.19072174</v>
      </c>
      <c r="E400" s="5" t="n">
        <v>-0.00142462</v>
      </c>
    </row>
    <row r="401">
      <c r="A401" s="2" t="n">
        <v>44347</v>
      </c>
      <c r="B401" s="3" t="n">
        <v>1206.2180635573</v>
      </c>
      <c r="C401" s="4" t="n">
        <v>1.01301423</v>
      </c>
      <c r="D401" s="5" t="n">
        <v>0.20621806</v>
      </c>
      <c r="E401" s="5" t="n">
        <v>0.01301423</v>
      </c>
    </row>
    <row r="402">
      <c r="A402" s="2" t="n">
        <v>44348</v>
      </c>
      <c r="B402" s="3" t="n">
        <v>1215.454811062977</v>
      </c>
      <c r="C402" s="4" t="n">
        <v>1.00765761</v>
      </c>
      <c r="D402" s="5" t="n">
        <v>0.21545481</v>
      </c>
      <c r="E402" s="5" t="n">
        <v>0.00765761</v>
      </c>
    </row>
    <row r="403">
      <c r="A403" s="2" t="n">
        <v>44349</v>
      </c>
      <c r="B403" s="3" t="n">
        <v>1204.440724201568</v>
      </c>
      <c r="C403" s="4" t="n">
        <v>0.9909383</v>
      </c>
      <c r="D403" s="5" t="n">
        <v>0.20444072</v>
      </c>
      <c r="E403" s="5" t="n">
        <v>-0.009061700000000001</v>
      </c>
    </row>
    <row r="404">
      <c r="A404" s="2" t="n">
        <v>44350</v>
      </c>
      <c r="B404" s="3" t="n">
        <v>1202.637074217076</v>
      </c>
      <c r="C404" s="4" t="n">
        <v>0.9985025</v>
      </c>
      <c r="D404" s="5" t="n">
        <v>0.20263707</v>
      </c>
      <c r="E404" s="5" t="n">
        <v>-0.0014975</v>
      </c>
    </row>
    <row r="405">
      <c r="A405" s="2" t="n">
        <v>44351</v>
      </c>
      <c r="B405" s="3" t="n">
        <v>1205.615224535814</v>
      </c>
      <c r="C405" s="4" t="n">
        <v>1.00247635</v>
      </c>
      <c r="D405" s="5" t="n">
        <v>0.20561522</v>
      </c>
      <c r="E405" s="5" t="n">
        <v>0.00247635</v>
      </c>
    </row>
    <row r="406">
      <c r="A406" s="2" t="n">
        <v>44354</v>
      </c>
      <c r="B406" s="3" t="n">
        <v>1215.176380186299</v>
      </c>
      <c r="C406" s="4" t="n">
        <v>1.00793052</v>
      </c>
      <c r="D406" s="5" t="n">
        <v>0.21517638</v>
      </c>
      <c r="E406" s="5" t="n">
        <v>0.00793052</v>
      </c>
    </row>
    <row r="407">
      <c r="A407" s="2" t="n">
        <v>44355</v>
      </c>
      <c r="B407" s="3" t="n">
        <v>1213.325423524</v>
      </c>
      <c r="C407" s="4" t="n">
        <v>0.9984768000000001</v>
      </c>
      <c r="D407" s="5" t="n">
        <v>0.21332542</v>
      </c>
      <c r="E407" s="5" t="n">
        <v>-0.0015232</v>
      </c>
    </row>
    <row r="408">
      <c r="A408" s="2" t="n">
        <v>44356</v>
      </c>
      <c r="B408" s="3" t="n">
        <v>1216.055733324793</v>
      </c>
      <c r="C408" s="4" t="n">
        <v>1.00225027</v>
      </c>
      <c r="D408" s="5" t="n">
        <v>0.21605573</v>
      </c>
      <c r="E408" s="5" t="n">
        <v>0.00225027</v>
      </c>
    </row>
    <row r="409">
      <c r="A409" s="2" t="n">
        <v>44357</v>
      </c>
      <c r="B409" s="3" t="n">
        <v>1220.160663218762</v>
      </c>
      <c r="C409" s="4" t="n">
        <v>1.00337561</v>
      </c>
      <c r="D409" s="5" t="n">
        <v>0.22016066</v>
      </c>
      <c r="E409" s="5" t="n">
        <v>0.00337561</v>
      </c>
    </row>
    <row r="410">
      <c r="A410" s="2" t="n">
        <v>44358</v>
      </c>
      <c r="B410" s="3" t="n">
        <v>1211.337498438927</v>
      </c>
      <c r="C410" s="4" t="n">
        <v>0.99276885</v>
      </c>
      <c r="D410" s="5" t="n">
        <v>0.2113375</v>
      </c>
      <c r="E410" s="5" t="n">
        <v>-0.00723115</v>
      </c>
    </row>
    <row r="411">
      <c r="A411" s="2" t="n">
        <v>44362</v>
      </c>
      <c r="B411" s="3" t="n">
        <v>1204.062423464053</v>
      </c>
      <c r="C411" s="4" t="n">
        <v>0.9939941799999999</v>
      </c>
      <c r="D411" s="5" t="n">
        <v>0.20406242</v>
      </c>
      <c r="E411" s="5" t="n">
        <v>-0.00600582</v>
      </c>
    </row>
    <row r="412">
      <c r="A412" s="2" t="n">
        <v>44363</v>
      </c>
      <c r="B412" s="3" t="n">
        <v>1190.788237276573</v>
      </c>
      <c r="C412" s="4" t="n">
        <v>0.9889755</v>
      </c>
      <c r="D412" s="5" t="n">
        <v>0.19078824</v>
      </c>
      <c r="E412" s="5" t="n">
        <v>-0.0110245</v>
      </c>
    </row>
    <row r="413">
      <c r="A413" s="2" t="n">
        <v>44364</v>
      </c>
      <c r="B413" s="3" t="n">
        <v>1199.5705624999</v>
      </c>
      <c r="C413" s="4" t="n">
        <v>1.00737522</v>
      </c>
      <c r="D413" s="5" t="n">
        <v>0.19957056</v>
      </c>
      <c r="E413" s="5" t="n">
        <v>0.00737522</v>
      </c>
    </row>
    <row r="414">
      <c r="A414" s="2" t="n">
        <v>44365</v>
      </c>
      <c r="B414" s="3" t="n">
        <v>1210.945238448987</v>
      </c>
      <c r="C414" s="4" t="n">
        <v>1.00948229</v>
      </c>
      <c r="D414" s="5" t="n">
        <v>0.21094524</v>
      </c>
      <c r="E414" s="5" t="n">
        <v>0.009482290000000001</v>
      </c>
    </row>
    <row r="415">
      <c r="A415" s="2" t="n">
        <v>44368</v>
      </c>
      <c r="B415" s="3" t="n">
        <v>1226.918429586891</v>
      </c>
      <c r="C415" s="4" t="n">
        <v>1.01319068</v>
      </c>
      <c r="D415" s="5" t="n">
        <v>0.22691843</v>
      </c>
      <c r="E415" s="5" t="n">
        <v>0.01319068</v>
      </c>
    </row>
    <row r="416">
      <c r="A416" s="2" t="n">
        <v>44369</v>
      </c>
      <c r="B416" s="3" t="n">
        <v>1234.442347356937</v>
      </c>
      <c r="C416" s="4" t="n">
        <v>1.00613237</v>
      </c>
      <c r="D416" s="5" t="n">
        <v>0.23444235</v>
      </c>
      <c r="E416" s="5" t="n">
        <v>0.00613237</v>
      </c>
    </row>
    <row r="417">
      <c r="A417" s="2" t="n">
        <v>44370</v>
      </c>
      <c r="B417" s="3" t="n">
        <v>1238.170943433858</v>
      </c>
      <c r="C417" s="4" t="n">
        <v>1.00302047</v>
      </c>
      <c r="D417" s="5" t="n">
        <v>0.23817094</v>
      </c>
      <c r="E417" s="5" t="n">
        <v>0.00302047</v>
      </c>
    </row>
    <row r="418">
      <c r="A418" s="2" t="n">
        <v>44371</v>
      </c>
      <c r="B418" s="3" t="n">
        <v>1230.33948745322</v>
      </c>
      <c r="C418" s="4" t="n">
        <v>0.99367498</v>
      </c>
      <c r="D418" s="5" t="n">
        <v>0.23033949</v>
      </c>
      <c r="E418" s="5" t="n">
        <v>-0.00632502</v>
      </c>
    </row>
    <row r="419">
      <c r="A419" s="2" t="n">
        <v>44372</v>
      </c>
      <c r="B419" s="3" t="n">
        <v>1230.698217537577</v>
      </c>
      <c r="C419" s="4" t="n">
        <v>1.00029157</v>
      </c>
      <c r="D419" s="5" t="n">
        <v>0.23069822</v>
      </c>
      <c r="E419" s="5" t="n">
        <v>0.00029157</v>
      </c>
    </row>
    <row r="420">
      <c r="A420" s="2" t="n">
        <v>44375</v>
      </c>
      <c r="B420" s="3" t="n">
        <v>1240.517097126557</v>
      </c>
      <c r="C420" s="4" t="n">
        <v>1.0079783</v>
      </c>
      <c r="D420" s="5" t="n">
        <v>0.2405171</v>
      </c>
      <c r="E420" s="5" t="n">
        <v>0.007978300000000001</v>
      </c>
    </row>
    <row r="421">
      <c r="A421" s="2" t="n">
        <v>44376</v>
      </c>
      <c r="B421" s="3" t="n">
        <v>1231.801509321078</v>
      </c>
      <c r="C421" s="4" t="n">
        <v>0.99297423</v>
      </c>
      <c r="D421" s="5" t="n">
        <v>0.23180151</v>
      </c>
      <c r="E421" s="5" t="n">
        <v>-0.00702577</v>
      </c>
    </row>
    <row r="422">
      <c r="A422" s="2" t="n">
        <v>44377</v>
      </c>
      <c r="B422" s="3" t="n">
        <v>1242.936379064586</v>
      </c>
      <c r="C422" s="4" t="n">
        <v>1.0090395</v>
      </c>
      <c r="D422" s="5" t="n">
        <v>0.24293638</v>
      </c>
      <c r="E422" s="5" t="n">
        <v>0.009039500000000001</v>
      </c>
    </row>
    <row r="423">
      <c r="A423" s="2" t="n">
        <v>44378</v>
      </c>
      <c r="B423" s="3" t="n">
        <v>1223.383635021247</v>
      </c>
      <c r="C423" s="4" t="n">
        <v>0.9842689100000001</v>
      </c>
      <c r="D423" s="5" t="n">
        <v>0.22338364</v>
      </c>
      <c r="E423" s="5" t="n">
        <v>-0.01573109</v>
      </c>
    </row>
    <row r="424">
      <c r="A424" s="2" t="n">
        <v>44379</v>
      </c>
      <c r="B424" s="3" t="n">
        <v>1225.854808794808</v>
      </c>
      <c r="C424" s="4" t="n">
        <v>1.00201995</v>
      </c>
      <c r="D424" s="5" t="n">
        <v>0.22585481</v>
      </c>
      <c r="E424" s="5" t="n">
        <v>0.00201995</v>
      </c>
    </row>
    <row r="425">
      <c r="A425" s="2" t="n">
        <v>44382</v>
      </c>
      <c r="B425" s="3" t="n">
        <v>1244.690055673392</v>
      </c>
      <c r="C425" s="4" t="n">
        <v>1.01536499</v>
      </c>
      <c r="D425" s="5" t="n">
        <v>0.24469006</v>
      </c>
      <c r="E425" s="5" t="n">
        <v>0.01536499</v>
      </c>
    </row>
    <row r="426">
      <c r="A426" s="2" t="n">
        <v>44383</v>
      </c>
      <c r="B426" s="3" t="n">
        <v>1245.275059999559</v>
      </c>
      <c r="C426" s="4" t="n">
        <v>1.00047</v>
      </c>
      <c r="D426" s="5" t="n">
        <v>0.24527506</v>
      </c>
      <c r="E426" s="5" t="n">
        <v>0.00047</v>
      </c>
    </row>
    <row r="427">
      <c r="A427" s="2" t="n">
        <v>44384</v>
      </c>
      <c r="B427" s="3" t="n">
        <v>1255.163291140991</v>
      </c>
      <c r="C427" s="4" t="n">
        <v>1.0079406</v>
      </c>
      <c r="D427" s="5" t="n">
        <v>0.25516329</v>
      </c>
      <c r="E427" s="5" t="n">
        <v>0.007940600000000001</v>
      </c>
    </row>
    <row r="428">
      <c r="A428" s="2" t="n">
        <v>44385</v>
      </c>
      <c r="B428" s="3" t="n">
        <v>1251.894042626353</v>
      </c>
      <c r="C428" s="4" t="n">
        <v>0.99739536</v>
      </c>
      <c r="D428" s="5" t="n">
        <v>0.25189404</v>
      </c>
      <c r="E428" s="5" t="n">
        <v>-0.00260464</v>
      </c>
    </row>
    <row r="429">
      <c r="A429" s="2" t="n">
        <v>44386</v>
      </c>
      <c r="B429" s="3" t="n">
        <v>1261.253803398168</v>
      </c>
      <c r="C429" s="4" t="n">
        <v>1.00747648</v>
      </c>
      <c r="D429" s="5" t="n">
        <v>0.2612538</v>
      </c>
      <c r="E429" s="5" t="n">
        <v>0.00747648</v>
      </c>
    </row>
    <row r="430">
      <c r="A430" s="2" t="n">
        <v>44389</v>
      </c>
      <c r="B430" s="3" t="n">
        <v>1281.499083686713</v>
      </c>
      <c r="C430" s="4" t="n">
        <v>1.01605171</v>
      </c>
      <c r="D430" s="5" t="n">
        <v>0.28149908</v>
      </c>
      <c r="E430" s="5" t="n">
        <v>0.01605171</v>
      </c>
    </row>
    <row r="431">
      <c r="A431" s="2" t="n">
        <v>44390</v>
      </c>
      <c r="B431" s="3" t="n">
        <v>1290.018938119742</v>
      </c>
      <c r="C431" s="4" t="n">
        <v>1.00664835</v>
      </c>
      <c r="D431" s="5" t="n">
        <v>0.29001894</v>
      </c>
      <c r="E431" s="5" t="n">
        <v>0.00664835</v>
      </c>
    </row>
    <row r="432">
      <c r="A432" s="2" t="n">
        <v>44391</v>
      </c>
      <c r="B432" s="3" t="n">
        <v>1280.995075044942</v>
      </c>
      <c r="C432" s="4" t="n">
        <v>0.99300486</v>
      </c>
      <c r="D432" s="5" t="n">
        <v>0.28099508</v>
      </c>
      <c r="E432" s="5" t="n">
        <v>-0.00699514</v>
      </c>
    </row>
    <row r="433">
      <c r="A433" s="2" t="n">
        <v>44392</v>
      </c>
      <c r="B433" s="3" t="n">
        <v>1271.178809784873</v>
      </c>
      <c r="C433" s="4" t="n">
        <v>0.992337</v>
      </c>
      <c r="D433" s="5" t="n">
        <v>0.27117881</v>
      </c>
      <c r="E433" s="5" t="n">
        <v>-0.007663</v>
      </c>
    </row>
    <row r="434">
      <c r="A434" s="2" t="n">
        <v>44393</v>
      </c>
      <c r="B434" s="3" t="n">
        <v>1272.080838268296</v>
      </c>
      <c r="C434" s="4" t="n">
        <v>1.0007096</v>
      </c>
      <c r="D434" s="5" t="n">
        <v>0.27208084</v>
      </c>
      <c r="E434" s="5" t="n">
        <v>0.0007096</v>
      </c>
    </row>
    <row r="435">
      <c r="A435" s="2" t="n">
        <v>44396</v>
      </c>
      <c r="B435" s="3" t="n">
        <v>1271.593173358138</v>
      </c>
      <c r="C435" s="4" t="n">
        <v>0.9996166399999999</v>
      </c>
      <c r="D435" s="5" t="n">
        <v>0.27159317</v>
      </c>
      <c r="E435" s="5" t="n">
        <v>-0.00038336</v>
      </c>
    </row>
    <row r="436">
      <c r="A436" s="2" t="n">
        <v>44397</v>
      </c>
      <c r="B436" s="3" t="n">
        <v>1277.354304253081</v>
      </c>
      <c r="C436" s="4" t="n">
        <v>1.00453064</v>
      </c>
      <c r="D436" s="5" t="n">
        <v>0.2773543</v>
      </c>
      <c r="E436" s="5" t="n">
        <v>0.00453064</v>
      </c>
    </row>
    <row r="437">
      <c r="A437" s="2" t="n">
        <v>44398</v>
      </c>
      <c r="B437" s="3" t="n">
        <v>1295.883912355609</v>
      </c>
      <c r="C437" s="4" t="n">
        <v>1.01450624</v>
      </c>
      <c r="D437" s="5" t="n">
        <v>0.29588391</v>
      </c>
      <c r="E437" s="5" t="n">
        <v>0.01450624</v>
      </c>
    </row>
    <row r="438">
      <c r="A438" s="2" t="n">
        <v>44399</v>
      </c>
      <c r="B438" s="3" t="n">
        <v>1308.639194034213</v>
      </c>
      <c r="C438" s="4" t="n">
        <v>1.00984292</v>
      </c>
      <c r="D438" s="5" t="n">
        <v>0.30863919</v>
      </c>
      <c r="E438" s="5" t="n">
        <v>0.00984292</v>
      </c>
    </row>
    <row r="439">
      <c r="A439" s="2" t="n">
        <v>44400</v>
      </c>
      <c r="B439" s="3" t="n">
        <v>1294.909003955974</v>
      </c>
      <c r="C439" s="4" t="n">
        <v>0.98950804</v>
      </c>
      <c r="D439" s="5" t="n">
        <v>0.294909</v>
      </c>
      <c r="E439" s="5" t="n">
        <v>-0.01049196</v>
      </c>
    </row>
    <row r="440">
      <c r="A440" s="2" t="n">
        <v>44403</v>
      </c>
      <c r="B440" s="3" t="n">
        <v>1282.834819184937</v>
      </c>
      <c r="C440" s="4" t="n">
        <v>0.99067565</v>
      </c>
      <c r="D440" s="5" t="n">
        <v>0.28283482</v>
      </c>
      <c r="E440" s="5" t="n">
        <v>-0.00932435</v>
      </c>
    </row>
    <row r="441">
      <c r="A441" s="2" t="n">
        <v>44404</v>
      </c>
      <c r="B441" s="3" t="n">
        <v>1256.617972977441</v>
      </c>
      <c r="C441" s="4" t="n">
        <v>0.9795633500000001</v>
      </c>
      <c r="D441" s="5" t="n">
        <v>0.25661797</v>
      </c>
      <c r="E441" s="5" t="n">
        <v>-0.02043665</v>
      </c>
    </row>
    <row r="442">
      <c r="A442" s="2" t="n">
        <v>44405</v>
      </c>
      <c r="B442" s="3" t="n">
        <v>1223.460851142458</v>
      </c>
      <c r="C442" s="4" t="n">
        <v>0.973614</v>
      </c>
      <c r="D442" s="5" t="n">
        <v>0.22346085</v>
      </c>
      <c r="E442" s="5" t="n">
        <v>-0.026386</v>
      </c>
    </row>
    <row r="443">
      <c r="A443" s="2" t="n">
        <v>44406</v>
      </c>
      <c r="B443" s="3" t="n">
        <v>1263.728434616982</v>
      </c>
      <c r="C443" s="4" t="n">
        <v>1.03291285</v>
      </c>
      <c r="D443" s="5" t="n">
        <v>0.26372843</v>
      </c>
      <c r="E443" s="5" t="n">
        <v>0.03291285</v>
      </c>
    </row>
    <row r="444">
      <c r="A444" s="2" t="n">
        <v>44407</v>
      </c>
      <c r="B444" s="3" t="n">
        <v>1281.116124698015</v>
      </c>
      <c r="C444" s="4" t="n">
        <v>1.01375904</v>
      </c>
      <c r="D444" s="5" t="n">
        <v>0.28111612</v>
      </c>
      <c r="E444" s="5" t="n">
        <v>0.01375904</v>
      </c>
    </row>
    <row r="445">
      <c r="A445" s="2" t="n">
        <v>44410</v>
      </c>
      <c r="B445" s="3" t="n">
        <v>1304.651496213681</v>
      </c>
      <c r="C445" s="4" t="n">
        <v>1.01837099</v>
      </c>
      <c r="D445" s="5" t="n">
        <v>0.3046515</v>
      </c>
      <c r="E445" s="5" t="n">
        <v>0.01837099</v>
      </c>
    </row>
    <row r="446">
      <c r="A446" s="2" t="n">
        <v>44411</v>
      </c>
      <c r="B446" s="3" t="n">
        <v>1292.234840900886</v>
      </c>
      <c r="C446" s="4" t="n">
        <v>0.99048278</v>
      </c>
      <c r="D446" s="5" t="n">
        <v>0.29223484</v>
      </c>
      <c r="E446" s="5" t="n">
        <v>-0.00951722</v>
      </c>
    </row>
    <row r="447">
      <c r="A447" s="2" t="n">
        <v>44412</v>
      </c>
      <c r="B447" s="3" t="n">
        <v>1310.819116265302</v>
      </c>
      <c r="C447" s="4" t="n">
        <v>1.0143815</v>
      </c>
      <c r="D447" s="5" t="n">
        <v>0.31081912</v>
      </c>
      <c r="E447" s="5" t="n">
        <v>0.0143815</v>
      </c>
    </row>
    <row r="448">
      <c r="A448" s="2" t="n">
        <v>44413</v>
      </c>
      <c r="B448" s="3" t="n">
        <v>1300.04608381732</v>
      </c>
      <c r="C448" s="4" t="n">
        <v>0.99178145</v>
      </c>
      <c r="D448" s="5" t="n">
        <v>0.30004608</v>
      </c>
      <c r="E448" s="5" t="n">
        <v>-0.00821855</v>
      </c>
    </row>
    <row r="449">
      <c r="A449" s="2" t="n">
        <v>44414</v>
      </c>
      <c r="B449" s="3" t="n">
        <v>1305.616768286016</v>
      </c>
      <c r="C449" s="4" t="n">
        <v>1.00428499</v>
      </c>
      <c r="D449" s="5" t="n">
        <v>0.30561677</v>
      </c>
      <c r="E449" s="5" t="n">
        <v>0.00428499</v>
      </c>
    </row>
    <row r="450">
      <c r="A450" s="2" t="n">
        <v>44417</v>
      </c>
      <c r="B450" s="3" t="n">
        <v>1314.632378475223</v>
      </c>
      <c r="C450" s="4" t="n">
        <v>1.00690525</v>
      </c>
      <c r="D450" s="5" t="n">
        <v>0.31463238</v>
      </c>
      <c r="E450" s="5" t="n">
        <v>0.00690525</v>
      </c>
    </row>
    <row r="451">
      <c r="A451" s="2" t="n">
        <v>44418</v>
      </c>
      <c r="B451" s="3" t="n">
        <v>1324.773636691314</v>
      </c>
      <c r="C451" s="4" t="n">
        <v>1.00771414</v>
      </c>
      <c r="D451" s="5" t="n">
        <v>0.32477364</v>
      </c>
      <c r="E451" s="5" t="n">
        <v>0.00771414</v>
      </c>
    </row>
    <row r="452">
      <c r="A452" s="2" t="n">
        <v>44419</v>
      </c>
      <c r="B452" s="3" t="n">
        <v>1337.517614635139</v>
      </c>
      <c r="C452" s="4" t="n">
        <v>1.00961974</v>
      </c>
      <c r="D452" s="5" t="n">
        <v>0.33751761</v>
      </c>
      <c r="E452" s="5" t="n">
        <v>0.00961974</v>
      </c>
    </row>
    <row r="453">
      <c r="A453" s="2" t="n">
        <v>44420</v>
      </c>
      <c r="B453" s="3" t="n">
        <v>1342.540969665952</v>
      </c>
      <c r="C453" s="4" t="n">
        <v>1.00375573</v>
      </c>
      <c r="D453" s="5" t="n">
        <v>0.34254097</v>
      </c>
      <c r="E453" s="5" t="n">
        <v>0.00375573</v>
      </c>
    </row>
    <row r="454">
      <c r="A454" s="2" t="n">
        <v>44421</v>
      </c>
      <c r="B454" s="3" t="n">
        <v>1344.124859225735</v>
      </c>
      <c r="C454" s="4" t="n">
        <v>1.00117977</v>
      </c>
      <c r="D454" s="5" t="n">
        <v>0.34412486</v>
      </c>
      <c r="E454" s="5" t="n">
        <v>0.00117977</v>
      </c>
    </row>
    <row r="455">
      <c r="A455" s="2" t="n">
        <v>44424</v>
      </c>
      <c r="B455" s="3" t="n">
        <v>1338.334786010897</v>
      </c>
      <c r="C455" s="4" t="n">
        <v>0.99569231</v>
      </c>
      <c r="D455" s="5" t="n">
        <v>0.33833479</v>
      </c>
      <c r="E455" s="5" t="n">
        <v>-0.00430769</v>
      </c>
    </row>
    <row r="456">
      <c r="A456" s="2" t="n">
        <v>44425</v>
      </c>
      <c r="B456" s="3" t="n">
        <v>1303.100660233154</v>
      </c>
      <c r="C456" s="4" t="n">
        <v>0.97367316</v>
      </c>
      <c r="D456" s="5" t="n">
        <v>0.30310066</v>
      </c>
      <c r="E456" s="5" t="n">
        <v>-0.02632684</v>
      </c>
    </row>
    <row r="457">
      <c r="A457" s="2" t="n">
        <v>44426</v>
      </c>
      <c r="B457" s="3" t="n">
        <v>1315.577119318517</v>
      </c>
      <c r="C457" s="4" t="n">
        <v>1.00957444</v>
      </c>
      <c r="D457" s="5" t="n">
        <v>0.31557712</v>
      </c>
      <c r="E457" s="5" t="n">
        <v>0.00957444</v>
      </c>
    </row>
    <row r="458">
      <c r="A458" s="2" t="n">
        <v>44427</v>
      </c>
      <c r="B458" s="3" t="n">
        <v>1312.573867247452</v>
      </c>
      <c r="C458" s="4" t="n">
        <v>0.99771716</v>
      </c>
      <c r="D458" s="5" t="n">
        <v>0.31257387</v>
      </c>
      <c r="E458" s="5" t="n">
        <v>-0.00228284</v>
      </c>
    </row>
    <row r="459">
      <c r="A459" s="2" t="n">
        <v>44428</v>
      </c>
      <c r="B459" s="3" t="n">
        <v>1311.074829136623</v>
      </c>
      <c r="C459" s="4" t="n">
        <v>0.9988579400000001</v>
      </c>
      <c r="D459" s="5" t="n">
        <v>0.31107483</v>
      </c>
      <c r="E459" s="5" t="n">
        <v>-0.00114206</v>
      </c>
    </row>
    <row r="460">
      <c r="A460" s="2" t="n">
        <v>44431</v>
      </c>
      <c r="B460" s="3" t="n">
        <v>1346.800320266515</v>
      </c>
      <c r="C460" s="4" t="n">
        <v>1.02724901</v>
      </c>
      <c r="D460" s="5" t="n">
        <v>0.34680032</v>
      </c>
      <c r="E460" s="5" t="n">
        <v>0.02724901</v>
      </c>
    </row>
    <row r="461">
      <c r="A461" s="2" t="n">
        <v>44432</v>
      </c>
      <c r="B461" s="3" t="n">
        <v>1351.611239158542</v>
      </c>
      <c r="C461" s="4" t="n">
        <v>1.00357211</v>
      </c>
      <c r="D461" s="5" t="n">
        <v>0.35161124</v>
      </c>
      <c r="E461" s="5" t="n">
        <v>0.00357211</v>
      </c>
    </row>
    <row r="462">
      <c r="A462" s="2" t="n">
        <v>44433</v>
      </c>
      <c r="B462" s="3" t="n">
        <v>1362.637940453733</v>
      </c>
      <c r="C462" s="4" t="n">
        <v>1.00815819</v>
      </c>
      <c r="D462" s="5" t="n">
        <v>0.36263794</v>
      </c>
      <c r="E462" s="5" t="n">
        <v>0.008158189999999999</v>
      </c>
    </row>
    <row r="463">
      <c r="A463" s="2" t="n">
        <v>44434</v>
      </c>
      <c r="B463" s="3" t="n">
        <v>1355.757163909618</v>
      </c>
      <c r="C463" s="4" t="n">
        <v>0.9949504</v>
      </c>
      <c r="D463" s="5" t="n">
        <v>0.35575716</v>
      </c>
      <c r="E463" s="5" t="n">
        <v>-0.0050496</v>
      </c>
    </row>
    <row r="464">
      <c r="A464" s="2" t="n">
        <v>44435</v>
      </c>
      <c r="B464" s="3" t="n">
        <v>1354.230405094625</v>
      </c>
      <c r="C464" s="4" t="n">
        <v>0.9988738700000001</v>
      </c>
      <c r="D464" s="5" t="n">
        <v>0.35423041</v>
      </c>
      <c r="E464" s="5" t="n">
        <v>-0.00112613</v>
      </c>
    </row>
    <row r="465">
      <c r="A465" s="2" t="n">
        <v>44438</v>
      </c>
      <c r="B465" s="3" t="n">
        <v>1358.650247494644</v>
      </c>
      <c r="C465" s="4" t="n">
        <v>1.00326373</v>
      </c>
      <c r="D465" s="5" t="n">
        <v>0.35865025</v>
      </c>
      <c r="E465" s="5" t="n">
        <v>0.00326373</v>
      </c>
    </row>
    <row r="466">
      <c r="A466" s="2" t="n">
        <v>44439</v>
      </c>
      <c r="B466" s="3" t="n">
        <v>1354.973277983839</v>
      </c>
      <c r="C466" s="4" t="n">
        <v>0.99729366</v>
      </c>
      <c r="D466" s="5" t="n">
        <v>0.35497328</v>
      </c>
      <c r="E466" s="5" t="n">
        <v>-0.00270634</v>
      </c>
    </row>
    <row r="467">
      <c r="A467" s="2" t="n">
        <v>44440</v>
      </c>
      <c r="B467" s="3" t="n">
        <v>1334.217837960881</v>
      </c>
      <c r="C467" s="4" t="n">
        <v>0.98468203</v>
      </c>
      <c r="D467" s="5" t="n">
        <v>0.33421784</v>
      </c>
      <c r="E467" s="5" t="n">
        <v>-0.01531797</v>
      </c>
    </row>
    <row r="468">
      <c r="A468" s="2" t="n">
        <v>44441</v>
      </c>
      <c r="B468" s="3" t="n">
        <v>1355.805215735521</v>
      </c>
      <c r="C468" s="4" t="n">
        <v>1.0161798</v>
      </c>
      <c r="D468" s="5" t="n">
        <v>0.35580522</v>
      </c>
      <c r="E468" s="5" t="n">
        <v>0.0161798</v>
      </c>
    </row>
    <row r="469">
      <c r="A469" s="2" t="n">
        <v>44442</v>
      </c>
      <c r="B469" s="3" t="n">
        <v>1355.557320309876</v>
      </c>
      <c r="C469" s="4" t="n">
        <v>0.99981716</v>
      </c>
      <c r="D469" s="5" t="n">
        <v>0.35555732</v>
      </c>
      <c r="E469" s="5" t="n">
        <v>-0.00018284</v>
      </c>
    </row>
    <row r="470">
      <c r="A470" s="2" t="n">
        <v>44445</v>
      </c>
      <c r="B470" s="3" t="n">
        <v>1364.982388357831</v>
      </c>
      <c r="C470" s="4" t="n">
        <v>1.00695291</v>
      </c>
      <c r="D470" s="5" t="n">
        <v>0.36498239</v>
      </c>
      <c r="E470" s="5" t="n">
        <v>0.00695291</v>
      </c>
    </row>
    <row r="471">
      <c r="A471" s="2" t="n">
        <v>44446</v>
      </c>
      <c r="B471" s="3" t="n">
        <v>1382.572165656286</v>
      </c>
      <c r="C471" s="4" t="n">
        <v>1.01288645</v>
      </c>
      <c r="D471" s="5" t="n">
        <v>0.38257217</v>
      </c>
      <c r="E471" s="5" t="n">
        <v>0.01288645</v>
      </c>
    </row>
    <row r="472">
      <c r="A472" s="2" t="n">
        <v>44447</v>
      </c>
      <c r="B472" s="3" t="n">
        <v>1395.04242738736</v>
      </c>
      <c r="C472" s="4" t="n">
        <v>1.00901961</v>
      </c>
      <c r="D472" s="5" t="n">
        <v>0.39504243</v>
      </c>
      <c r="E472" s="5" t="n">
        <v>0.009019610000000001</v>
      </c>
    </row>
    <row r="473">
      <c r="A473" s="2" t="n">
        <v>44448</v>
      </c>
      <c r="B473" s="3" t="n">
        <v>1391.528482917863</v>
      </c>
      <c r="C473" s="4" t="n">
        <v>0.99748112</v>
      </c>
      <c r="D473" s="5" t="n">
        <v>0.39152848</v>
      </c>
      <c r="E473" s="5" t="n">
        <v>-0.00251888</v>
      </c>
    </row>
    <row r="474">
      <c r="A474" s="2" t="n">
        <v>44449</v>
      </c>
      <c r="B474" s="3" t="n">
        <v>1384.239948945321</v>
      </c>
      <c r="C474" s="4" t="n">
        <v>0.99476221</v>
      </c>
      <c r="D474" s="5" t="n">
        <v>0.38423995</v>
      </c>
      <c r="E474" s="5" t="n">
        <v>-0.00523779</v>
      </c>
    </row>
    <row r="475">
      <c r="A475" s="2" t="n">
        <v>44452</v>
      </c>
      <c r="B475" s="3" t="n">
        <v>1393.987725138595</v>
      </c>
      <c r="C475" s="4" t="n">
        <v>1.00704197</v>
      </c>
      <c r="D475" s="5" t="n">
        <v>0.39398773</v>
      </c>
      <c r="E475" s="5" t="n">
        <v>0.00704197</v>
      </c>
    </row>
    <row r="476">
      <c r="A476" s="2" t="n">
        <v>44453</v>
      </c>
      <c r="B476" s="3" t="n">
        <v>1386.51915710362</v>
      </c>
      <c r="C476" s="4" t="n">
        <v>0.9946423</v>
      </c>
      <c r="D476" s="5" t="n">
        <v>0.38651916</v>
      </c>
      <c r="E476" s="5" t="n">
        <v>-0.0053577</v>
      </c>
    </row>
    <row r="477">
      <c r="A477" s="2" t="n">
        <v>44454</v>
      </c>
      <c r="B477" s="3" t="n">
        <v>1404.640615857175</v>
      </c>
      <c r="C477" s="4" t="n">
        <v>1.01306975</v>
      </c>
      <c r="D477" s="5" t="n">
        <v>0.40464062</v>
      </c>
      <c r="E477" s="5" t="n">
        <v>0.01306975</v>
      </c>
    </row>
    <row r="478">
      <c r="A478" s="2" t="n">
        <v>44455</v>
      </c>
      <c r="B478" s="3" t="n">
        <v>1383.253923046694</v>
      </c>
      <c r="C478" s="4" t="n">
        <v>0.98477426</v>
      </c>
      <c r="D478" s="5" t="n">
        <v>0.38325392</v>
      </c>
      <c r="E478" s="5" t="n">
        <v>-0.01522574</v>
      </c>
    </row>
    <row r="479">
      <c r="A479" s="2" t="n">
        <v>44456</v>
      </c>
      <c r="B479" s="3" t="n">
        <v>1380.45524071435</v>
      </c>
      <c r="C479" s="4" t="n">
        <v>0.99797674</v>
      </c>
      <c r="D479" s="5" t="n">
        <v>0.38045524</v>
      </c>
      <c r="E479" s="5" t="n">
        <v>-0.00202326</v>
      </c>
    </row>
    <row r="480">
      <c r="A480" s="2" t="n">
        <v>44461</v>
      </c>
      <c r="B480" s="3" t="n">
        <v>1390.764231970062</v>
      </c>
      <c r="C480" s="4" t="n">
        <v>1.00746782</v>
      </c>
      <c r="D480" s="5" t="n">
        <v>0.39076423</v>
      </c>
      <c r="E480" s="5" t="n">
        <v>0.00746782</v>
      </c>
    </row>
    <row r="481">
      <c r="A481" s="2" t="n">
        <v>44462</v>
      </c>
      <c r="B481" s="3" t="n">
        <v>1391.096290838087</v>
      </c>
      <c r="C481" s="4" t="n">
        <v>1.00023876</v>
      </c>
      <c r="D481" s="5" t="n">
        <v>0.39109629</v>
      </c>
      <c r="E481" s="5" t="n">
        <v>0.00023876</v>
      </c>
    </row>
    <row r="482">
      <c r="A482" s="2" t="n">
        <v>44463</v>
      </c>
      <c r="B482" s="3" t="n">
        <v>1361.085196788433</v>
      </c>
      <c r="C482" s="4" t="n">
        <v>0.9784263</v>
      </c>
      <c r="D482" s="5" t="n">
        <v>0.3610852</v>
      </c>
      <c r="E482" s="5" t="n">
        <v>-0.0215737</v>
      </c>
    </row>
    <row r="483">
      <c r="A483" s="2" t="n">
        <v>44466</v>
      </c>
      <c r="B483" s="3" t="n">
        <v>1312.800753875772</v>
      </c>
      <c r="C483" s="4" t="n">
        <v>0.9645250399999999</v>
      </c>
      <c r="D483" s="5" t="n">
        <v>0.31280075</v>
      </c>
      <c r="E483" s="5" t="n">
        <v>-0.03547496</v>
      </c>
    </row>
    <row r="484">
      <c r="A484" s="2" t="n">
        <v>44467</v>
      </c>
      <c r="B484" s="3" t="n">
        <v>1319.185954182473</v>
      </c>
      <c r="C484" s="4" t="n">
        <v>1.0048638</v>
      </c>
      <c r="D484" s="5" t="n">
        <v>0.31918595</v>
      </c>
      <c r="E484" s="5" t="n">
        <v>0.0048638</v>
      </c>
    </row>
    <row r="485">
      <c r="A485" s="2" t="n">
        <v>44468</v>
      </c>
      <c r="B485" s="3" t="n">
        <v>1277.560479310935</v>
      </c>
      <c r="C485" s="4" t="n">
        <v>0.96844609</v>
      </c>
      <c r="D485" s="5" t="n">
        <v>0.27756048</v>
      </c>
      <c r="E485" s="5" t="n">
        <v>-0.03155391</v>
      </c>
    </row>
    <row r="486">
      <c r="A486" s="2" t="n">
        <v>44469</v>
      </c>
      <c r="B486" s="3" t="n">
        <v>1311.111172165173</v>
      </c>
      <c r="C486" s="4" t="n">
        <v>1.02626153</v>
      </c>
      <c r="D486" s="5" t="n">
        <v>0.31111117</v>
      </c>
      <c r="E486" s="5" t="n">
        <v>0.02626153</v>
      </c>
    </row>
    <row r="487">
      <c r="A487" s="2" t="n">
        <v>44477</v>
      </c>
      <c r="B487" s="3" t="n">
        <v>1323.060023166036</v>
      </c>
      <c r="C487" s="4" t="n">
        <v>1.00911353</v>
      </c>
      <c r="D487" s="5" t="n">
        <v>0.32306002</v>
      </c>
      <c r="E487" s="5" t="n">
        <v>0.00911353</v>
      </c>
    </row>
    <row r="488">
      <c r="A488" s="2" t="n">
        <v>44480</v>
      </c>
      <c r="B488" s="3" t="n">
        <v>1315.244853145796</v>
      </c>
      <c r="C488" s="4" t="n">
        <v>0.99409311</v>
      </c>
      <c r="D488" s="5" t="n">
        <v>0.31524485</v>
      </c>
      <c r="E488" s="5" t="n">
        <v>-0.00590689</v>
      </c>
    </row>
    <row r="489">
      <c r="A489" s="2" t="n">
        <v>44481</v>
      </c>
      <c r="B489" s="3" t="n">
        <v>1290.899079053884</v>
      </c>
      <c r="C489" s="4" t="n">
        <v>0.98148955</v>
      </c>
      <c r="D489" s="5" t="n">
        <v>0.29089908</v>
      </c>
      <c r="E489" s="5" t="n">
        <v>-0.01851045</v>
      </c>
    </row>
    <row r="490">
      <c r="A490" s="2" t="n">
        <v>44482</v>
      </c>
      <c r="B490" s="3" t="n">
        <v>1291.635420797567</v>
      </c>
      <c r="C490" s="4" t="n">
        <v>1.00057041</v>
      </c>
      <c r="D490" s="5" t="n">
        <v>0.29163542</v>
      </c>
      <c r="E490" s="5" t="n">
        <v>0.00057041</v>
      </c>
    </row>
    <row r="491">
      <c r="A491" s="2" t="n">
        <v>44483</v>
      </c>
      <c r="B491" s="3" t="n">
        <v>1303.879414187246</v>
      </c>
      <c r="C491" s="4" t="n">
        <v>1.00947945</v>
      </c>
      <c r="D491" s="5" t="n">
        <v>0.30387941</v>
      </c>
      <c r="E491" s="5" t="n">
        <v>0.00947945</v>
      </c>
    </row>
    <row r="492">
      <c r="A492" s="2" t="n">
        <v>44484</v>
      </c>
      <c r="B492" s="3" t="n">
        <v>1292.641134089631</v>
      </c>
      <c r="C492" s="4" t="n">
        <v>0.99138089</v>
      </c>
      <c r="D492" s="5" t="n">
        <v>0.29264113</v>
      </c>
      <c r="E492" s="5" t="n">
        <v>-0.008619109999999999</v>
      </c>
    </row>
    <row r="493">
      <c r="A493" s="2" t="n">
        <v>44487</v>
      </c>
      <c r="B493" s="3" t="n">
        <v>1308.750325210117</v>
      </c>
      <c r="C493" s="4" t="n">
        <v>1.01246223</v>
      </c>
      <c r="D493" s="5" t="n">
        <v>0.30875033</v>
      </c>
      <c r="E493" s="5" t="n">
        <v>0.01246223</v>
      </c>
    </row>
    <row r="494">
      <c r="A494" s="2" t="n">
        <v>44488</v>
      </c>
      <c r="B494" s="3" t="n">
        <v>1315.821856579815</v>
      </c>
      <c r="C494" s="4" t="n">
        <v>1.00540327</v>
      </c>
      <c r="D494" s="5" t="n">
        <v>0.31582186</v>
      </c>
      <c r="E494" s="5" t="n">
        <v>0.00540327</v>
      </c>
    </row>
    <row r="495">
      <c r="A495" s="2" t="n">
        <v>44489</v>
      </c>
      <c r="B495" s="3" t="n">
        <v>1317.983370301837</v>
      </c>
      <c r="C495" s="4" t="n">
        <v>1.00164271</v>
      </c>
      <c r="D495" s="5" t="n">
        <v>0.31798337</v>
      </c>
      <c r="E495" s="5" t="n">
        <v>0.00164271</v>
      </c>
    </row>
    <row r="496">
      <c r="A496" s="2" t="n">
        <v>44490</v>
      </c>
      <c r="B496" s="3" t="n">
        <v>1313.015166088316</v>
      </c>
      <c r="C496" s="4" t="n">
        <v>0.99623045</v>
      </c>
      <c r="D496" s="5" t="n">
        <v>0.31301517</v>
      </c>
      <c r="E496" s="5" t="n">
        <v>-0.00376955</v>
      </c>
    </row>
    <row r="497">
      <c r="A497" s="2" t="n">
        <v>44491</v>
      </c>
      <c r="B497" s="3" t="n">
        <v>1297.264354327285</v>
      </c>
      <c r="C497" s="4" t="n">
        <v>0.98800409</v>
      </c>
      <c r="D497" s="5" t="n">
        <v>0.29726435</v>
      </c>
      <c r="E497" s="5" t="n">
        <v>-0.01199591</v>
      </c>
    </row>
    <row r="498">
      <c r="A498" s="2" t="n">
        <v>44494</v>
      </c>
      <c r="B498" s="3" t="n">
        <v>1313.628474990006</v>
      </c>
      <c r="C498" s="4" t="n">
        <v>1.01261433</v>
      </c>
      <c r="D498" s="5" t="n">
        <v>0.31362847</v>
      </c>
      <c r="E498" s="5" t="n">
        <v>0.01261433</v>
      </c>
    </row>
    <row r="499">
      <c r="A499" s="2" t="n">
        <v>44495</v>
      </c>
      <c r="B499" s="3" t="n">
        <v>1311.677040481555</v>
      </c>
      <c r="C499" s="4" t="n">
        <v>0.99851447</v>
      </c>
      <c r="D499" s="5" t="n">
        <v>0.31167704</v>
      </c>
      <c r="E499" s="5" t="n">
        <v>-0.00148553</v>
      </c>
    </row>
    <row r="500">
      <c r="A500" s="2" t="n">
        <v>44496</v>
      </c>
      <c r="B500" s="3" t="n">
        <v>1296.499008957933</v>
      </c>
      <c r="C500" s="4" t="n">
        <v>0.98842853</v>
      </c>
      <c r="D500" s="5" t="n">
        <v>0.29649901</v>
      </c>
      <c r="E500" s="5" t="n">
        <v>-0.01157147</v>
      </c>
    </row>
    <row r="501">
      <c r="A501" s="2" t="n">
        <v>44497</v>
      </c>
      <c r="B501" s="3" t="n">
        <v>1268.580406738875</v>
      </c>
      <c r="C501" s="4" t="n">
        <v>0.97846616</v>
      </c>
      <c r="D501" s="5" t="n">
        <v>0.26858041</v>
      </c>
      <c r="E501" s="5" t="n">
        <v>-0.02153384</v>
      </c>
    </row>
    <row r="502">
      <c r="A502" s="2" t="n">
        <v>44498</v>
      </c>
      <c r="B502" s="3" t="n">
        <v>1288.972342030843</v>
      </c>
      <c r="C502" s="4" t="n">
        <v>1.01607461</v>
      </c>
      <c r="D502" s="5" t="n">
        <v>0.28897234</v>
      </c>
      <c r="E502" s="5" t="n">
        <v>0.01607461</v>
      </c>
    </row>
    <row r="503">
      <c r="A503" s="2" t="n">
        <v>44501</v>
      </c>
      <c r="B503" s="3" t="n">
        <v>1309.456638931504</v>
      </c>
      <c r="C503" s="4" t="n">
        <v>1.01589196</v>
      </c>
      <c r="D503" s="5" t="n">
        <v>0.30945664</v>
      </c>
      <c r="E503" s="5" t="n">
        <v>0.01589196</v>
      </c>
    </row>
    <row r="504">
      <c r="A504" s="2" t="n">
        <v>44502</v>
      </c>
      <c r="B504" s="3" t="n">
        <v>1293.335630169158</v>
      </c>
      <c r="C504" s="4" t="n">
        <v>0.98768878</v>
      </c>
      <c r="D504" s="5" t="n">
        <v>0.29333563</v>
      </c>
      <c r="E504" s="5" t="n">
        <v>-0.01231122</v>
      </c>
    </row>
    <row r="505">
      <c r="A505" s="2" t="n">
        <v>44503</v>
      </c>
      <c r="B505" s="3" t="n">
        <v>1298.465594212799</v>
      </c>
      <c r="C505" s="4" t="n">
        <v>1.00396646</v>
      </c>
      <c r="D505" s="5" t="n">
        <v>0.29846559</v>
      </c>
      <c r="E505" s="5" t="n">
        <v>0.00396646</v>
      </c>
    </row>
    <row r="506">
      <c r="A506" s="2" t="n">
        <v>44504</v>
      </c>
      <c r="B506" s="3" t="n">
        <v>1320.406884038623</v>
      </c>
      <c r="C506" s="4" t="n">
        <v>1.01689786</v>
      </c>
      <c r="D506" s="5" t="n">
        <v>0.32040688</v>
      </c>
      <c r="E506" s="5" t="n">
        <v>0.01689786</v>
      </c>
    </row>
    <row r="507">
      <c r="A507" s="2" t="n">
        <v>44505</v>
      </c>
      <c r="B507" s="3" t="n">
        <v>1310.161094393444</v>
      </c>
      <c r="C507" s="4" t="n">
        <v>0.99224043</v>
      </c>
      <c r="D507" s="5" t="n">
        <v>0.31016109</v>
      </c>
      <c r="E507" s="5" t="n">
        <v>-0.00775957</v>
      </c>
    </row>
    <row r="508">
      <c r="A508" s="2" t="n">
        <v>44508</v>
      </c>
      <c r="B508" s="3" t="n">
        <v>1319.565378322556</v>
      </c>
      <c r="C508" s="4" t="n">
        <v>1.00717796</v>
      </c>
      <c r="D508" s="5" t="n">
        <v>0.31956538</v>
      </c>
      <c r="E508" s="5" t="n">
        <v>0.00717796</v>
      </c>
    </row>
    <row r="509">
      <c r="A509" s="2" t="n">
        <v>44509</v>
      </c>
      <c r="B509" s="3" t="n">
        <v>1336.665546886315</v>
      </c>
      <c r="C509" s="4" t="n">
        <v>1.01295894</v>
      </c>
      <c r="D509" s="5" t="n">
        <v>0.33666555</v>
      </c>
      <c r="E509" s="5" t="n">
        <v>0.01295894</v>
      </c>
    </row>
    <row r="510">
      <c r="A510" s="2" t="n">
        <v>44510</v>
      </c>
      <c r="B510" s="3" t="n">
        <v>1343.685767805184</v>
      </c>
      <c r="C510" s="4" t="n">
        <v>1.00525204</v>
      </c>
      <c r="D510" s="5" t="n">
        <v>0.34368577</v>
      </c>
      <c r="E510" s="5" t="n">
        <v>0.00525204</v>
      </c>
    </row>
    <row r="511">
      <c r="A511" s="2" t="n">
        <v>44511</v>
      </c>
      <c r="B511" s="3" t="n">
        <v>1352.186434572911</v>
      </c>
      <c r="C511" s="4" t="n">
        <v>1.00632638</v>
      </c>
      <c r="D511" s="5" t="n">
        <v>0.35218643</v>
      </c>
      <c r="E511" s="5" t="n">
        <v>0.00632638</v>
      </c>
    </row>
    <row r="512">
      <c r="A512" s="2" t="n">
        <v>44512</v>
      </c>
      <c r="B512" s="3" t="n">
        <v>1366.863850401898</v>
      </c>
      <c r="C512" s="4" t="n">
        <v>1.01085458</v>
      </c>
      <c r="D512" s="5" t="n">
        <v>0.36686385</v>
      </c>
      <c r="E512" s="5" t="n">
        <v>0.01085458</v>
      </c>
    </row>
    <row r="513">
      <c r="A513" s="2" t="n">
        <v>44515</v>
      </c>
      <c r="B513" s="3" t="n">
        <v>1374.011017451987</v>
      </c>
      <c r="C513" s="4" t="n">
        <v>1.00522888</v>
      </c>
      <c r="D513" s="5" t="n">
        <v>0.37401102</v>
      </c>
      <c r="E513" s="5" t="n">
        <v>0.00522888</v>
      </c>
    </row>
    <row r="514">
      <c r="A514" s="2" t="n">
        <v>44516</v>
      </c>
      <c r="B514" s="3" t="n">
        <v>1362.111573656776</v>
      </c>
      <c r="C514" s="4" t="n">
        <v>0.99133963</v>
      </c>
      <c r="D514" s="5" t="n">
        <v>0.36211157</v>
      </c>
      <c r="E514" s="5" t="n">
        <v>-0.008660370000000001</v>
      </c>
    </row>
    <row r="515">
      <c r="A515" s="2" t="n">
        <v>44517</v>
      </c>
      <c r="B515" s="3" t="n">
        <v>1387.535549632469</v>
      </c>
      <c r="C515" s="4" t="n">
        <v>1.01866512</v>
      </c>
      <c r="D515" s="5" t="n">
        <v>0.38753555</v>
      </c>
      <c r="E515" s="5" t="n">
        <v>0.01866512</v>
      </c>
    </row>
    <row r="516">
      <c r="A516" s="2" t="n">
        <v>44518</v>
      </c>
      <c r="B516" s="3" t="n">
        <v>1381.996771350091</v>
      </c>
      <c r="C516" s="4" t="n">
        <v>0.99600819</v>
      </c>
      <c r="D516" s="5" t="n">
        <v>0.38199677</v>
      </c>
      <c r="E516" s="5" t="n">
        <v>-0.00399181</v>
      </c>
    </row>
    <row r="517">
      <c r="A517" s="2" t="n">
        <v>44519</v>
      </c>
      <c r="B517" s="3" t="n">
        <v>1396.798329910378</v>
      </c>
      <c r="C517" s="4" t="n">
        <v>1.01071027</v>
      </c>
      <c r="D517" s="5" t="n">
        <v>0.39679833</v>
      </c>
      <c r="E517" s="5" t="n">
        <v>0.01071027</v>
      </c>
    </row>
    <row r="518">
      <c r="A518" s="2" t="n">
        <v>44522</v>
      </c>
      <c r="B518" s="3" t="n">
        <v>1412.981272193154</v>
      </c>
      <c r="C518" s="4" t="n">
        <v>1.01158574</v>
      </c>
      <c r="D518" s="5" t="n">
        <v>0.41298127</v>
      </c>
      <c r="E518" s="5" t="n">
        <v>0.01158574</v>
      </c>
    </row>
    <row r="519">
      <c r="A519" s="2" t="n">
        <v>44523</v>
      </c>
      <c r="B519" s="3" t="n">
        <v>1415.680801173304</v>
      </c>
      <c r="C519" s="4" t="n">
        <v>1.00191052</v>
      </c>
      <c r="D519" s="5" t="n">
        <v>0.4156808</v>
      </c>
      <c r="E519" s="5" t="n">
        <v>0.00191052</v>
      </c>
    </row>
    <row r="520">
      <c r="A520" s="2" t="n">
        <v>44524</v>
      </c>
      <c r="B520" s="3" t="n">
        <v>1415.816791471065</v>
      </c>
      <c r="C520" s="4" t="n">
        <v>1.00009606</v>
      </c>
      <c r="D520" s="5" t="n">
        <v>0.41581679</v>
      </c>
      <c r="E520" s="5" t="n">
        <v>9.606e-05</v>
      </c>
    </row>
    <row r="521">
      <c r="A521" s="2" t="n">
        <v>44525</v>
      </c>
      <c r="B521" s="3" t="n">
        <v>1417.397310229888</v>
      </c>
      <c r="C521" s="4" t="n">
        <v>1.00111633</v>
      </c>
      <c r="D521" s="5" t="n">
        <v>0.41739731</v>
      </c>
      <c r="E521" s="5" t="n">
        <v>0.00111633</v>
      </c>
    </row>
    <row r="522">
      <c r="A522" s="2" t="n">
        <v>44526</v>
      </c>
      <c r="B522" s="3" t="n">
        <v>1419.57223553257</v>
      </c>
      <c r="C522" s="4" t="n">
        <v>1.00153445</v>
      </c>
      <c r="D522" s="5" t="n">
        <v>0.41957224</v>
      </c>
      <c r="E522" s="5" t="n">
        <v>0.00153445</v>
      </c>
    </row>
    <row r="523">
      <c r="A523" s="2" t="n">
        <v>44529</v>
      </c>
      <c r="B523" s="3" t="n">
        <v>1426.5894933987</v>
      </c>
      <c r="C523" s="4" t="n">
        <v>1.00494322</v>
      </c>
      <c r="D523" s="5" t="n">
        <v>0.42658949</v>
      </c>
      <c r="E523" s="5" t="n">
        <v>0.00494322</v>
      </c>
    </row>
    <row r="524">
      <c r="A524" s="2" t="n">
        <v>44530</v>
      </c>
      <c r="B524" s="3" t="n">
        <v>1437.875456869401</v>
      </c>
      <c r="C524" s="4" t="n">
        <v>1.00791115</v>
      </c>
      <c r="D524" s="5" t="n">
        <v>0.43787546</v>
      </c>
      <c r="E524" s="5" t="n">
        <v>0.00791115</v>
      </c>
    </row>
    <row r="525">
      <c r="A525" s="2" t="n">
        <v>44531</v>
      </c>
      <c r="B525" s="3" t="n">
        <v>1450.307802568394</v>
      </c>
      <c r="C525" s="4" t="n">
        <v>1.00864633</v>
      </c>
      <c r="D525" s="5" t="n">
        <v>0.4503078</v>
      </c>
      <c r="E525" s="5" t="n">
        <v>0.008646330000000001</v>
      </c>
    </row>
    <row r="526">
      <c r="A526" s="2" t="n">
        <v>44532</v>
      </c>
      <c r="B526" s="3" t="n">
        <v>1428.333768462418</v>
      </c>
      <c r="C526" s="4" t="n">
        <v>0.98484871</v>
      </c>
      <c r="D526" s="5" t="n">
        <v>0.42833377</v>
      </c>
      <c r="E526" s="5" t="n">
        <v>-0.01515129</v>
      </c>
    </row>
    <row r="527">
      <c r="A527" s="2" t="n">
        <v>44533</v>
      </c>
      <c r="B527" s="3" t="n">
        <v>1433.506636321619</v>
      </c>
      <c r="C527" s="4" t="n">
        <v>1.00362161</v>
      </c>
      <c r="D527" s="5" t="n">
        <v>0.43350664</v>
      </c>
      <c r="E527" s="5" t="n">
        <v>0.00362161</v>
      </c>
    </row>
    <row r="528">
      <c r="A528" s="2" t="n">
        <v>44536</v>
      </c>
      <c r="B528" s="3" t="n">
        <v>1411.625203978014</v>
      </c>
      <c r="C528" s="4" t="n">
        <v>0.98473573</v>
      </c>
      <c r="D528" s="5" t="n">
        <v>0.4116252</v>
      </c>
      <c r="E528" s="5" t="n">
        <v>-0.01526427</v>
      </c>
    </row>
    <row r="529">
      <c r="A529" s="2" t="n">
        <v>44537</v>
      </c>
      <c r="B529" s="3" t="n">
        <v>1392.863363973202</v>
      </c>
      <c r="C529" s="4" t="n">
        <v>0.98670905</v>
      </c>
      <c r="D529" s="5" t="n">
        <v>0.39286336</v>
      </c>
      <c r="E529" s="5" t="n">
        <v>-0.01329095</v>
      </c>
    </row>
    <row r="530">
      <c r="A530" s="2" t="n">
        <v>44538</v>
      </c>
      <c r="B530" s="3" t="n">
        <v>1413.737287919249</v>
      </c>
      <c r="C530" s="4" t="n">
        <v>1.01498634</v>
      </c>
      <c r="D530" s="5" t="n">
        <v>0.41373729</v>
      </c>
      <c r="E530" s="5" t="n">
        <v>0.01498634</v>
      </c>
    </row>
    <row r="531">
      <c r="A531" s="2" t="n">
        <v>44539</v>
      </c>
      <c r="B531" s="3" t="n">
        <v>1413.400055026588</v>
      </c>
      <c r="C531" s="4" t="n">
        <v>0.99976146</v>
      </c>
      <c r="D531" s="5" t="n">
        <v>0.41340006</v>
      </c>
      <c r="E531" s="5" t="n">
        <v>-0.00023854</v>
      </c>
    </row>
    <row r="532">
      <c r="A532" s="2" t="n">
        <v>44540</v>
      </c>
      <c r="B532" s="3" t="n">
        <v>1421.223704887179</v>
      </c>
      <c r="C532" s="4" t="n">
        <v>1.00553534</v>
      </c>
      <c r="D532" s="5" t="n">
        <v>0.4212237</v>
      </c>
      <c r="E532" s="5" t="n">
        <v>0.00553534</v>
      </c>
    </row>
    <row r="533">
      <c r="A533" s="2" t="n">
        <v>44543</v>
      </c>
      <c r="B533" s="3" t="n">
        <v>1429.335438668482</v>
      </c>
      <c r="C533" s="4" t="n">
        <v>1.00570757</v>
      </c>
      <c r="D533" s="5" t="n">
        <v>0.42933544</v>
      </c>
      <c r="E533" s="5" t="n">
        <v>0.00570757</v>
      </c>
    </row>
    <row r="534">
      <c r="A534" s="2" t="n">
        <v>44544</v>
      </c>
      <c r="B534" s="3" t="n">
        <v>1437.840413329191</v>
      </c>
      <c r="C534" s="4" t="n">
        <v>1.0059503</v>
      </c>
      <c r="D534" s="5" t="n">
        <v>0.43784041</v>
      </c>
      <c r="E534" s="5" t="n">
        <v>0.0059503</v>
      </c>
    </row>
    <row r="535">
      <c r="A535" s="2" t="n">
        <v>44545</v>
      </c>
      <c r="B535" s="3" t="n">
        <v>1441.041348035749</v>
      </c>
      <c r="C535" s="4" t="n">
        <v>1.00222621</v>
      </c>
      <c r="D535" s="5" t="n">
        <v>0.44104135</v>
      </c>
      <c r="E535" s="5" t="n">
        <v>0.00222621</v>
      </c>
    </row>
    <row r="536">
      <c r="A536" s="2" t="n">
        <v>44546</v>
      </c>
      <c r="B536" s="3" t="n">
        <v>1452.204418069548</v>
      </c>
      <c r="C536" s="4" t="n">
        <v>1.00774653</v>
      </c>
      <c r="D536" s="5" t="n">
        <v>0.45220442</v>
      </c>
      <c r="E536" s="5" t="n">
        <v>0.00774653</v>
      </c>
    </row>
    <row r="537">
      <c r="A537" s="2" t="n">
        <v>44547</v>
      </c>
      <c r="B537" s="3" t="n">
        <v>1441.196868323067</v>
      </c>
      <c r="C537" s="4" t="n">
        <v>0.99242011</v>
      </c>
      <c r="D537" s="5" t="n">
        <v>0.44119687</v>
      </c>
      <c r="E537" s="5" t="n">
        <v>-0.00757989</v>
      </c>
    </row>
    <row r="538">
      <c r="A538" s="2" t="n">
        <v>44550</v>
      </c>
      <c r="B538" s="3" t="n">
        <v>1424.466979480606</v>
      </c>
      <c r="C538" s="4" t="n">
        <v>0.9883916700000001</v>
      </c>
      <c r="D538" s="5" t="n">
        <v>0.42446698</v>
      </c>
      <c r="E538" s="5" t="n">
        <v>-0.01160833</v>
      </c>
    </row>
    <row r="539">
      <c r="A539" s="2" t="n">
        <v>44551</v>
      </c>
      <c r="B539" s="3" t="n">
        <v>1444.72777160589</v>
      </c>
      <c r="C539" s="4" t="n">
        <v>1.01422342</v>
      </c>
      <c r="D539" s="5" t="n">
        <v>0.44472777</v>
      </c>
      <c r="E539" s="5" t="n">
        <v>0.01422342</v>
      </c>
    </row>
    <row r="540">
      <c r="A540" s="2" t="n">
        <v>44552</v>
      </c>
      <c r="B540" s="3" t="n">
        <v>1450.818599418203</v>
      </c>
      <c r="C540" s="4" t="n">
        <v>1.0042159</v>
      </c>
      <c r="D540" s="5" t="n">
        <v>0.4508186</v>
      </c>
      <c r="E540" s="5" t="n">
        <v>0.0042159</v>
      </c>
    </row>
    <row r="541">
      <c r="A541" s="2" t="n">
        <v>44553</v>
      </c>
      <c r="B541" s="3" t="n">
        <v>1445.059444414139</v>
      </c>
      <c r="C541" s="4" t="n">
        <v>0.99603041</v>
      </c>
      <c r="D541" s="5" t="n">
        <v>0.44505944</v>
      </c>
      <c r="E541" s="5" t="n">
        <v>-0.00396959</v>
      </c>
    </row>
    <row r="542">
      <c r="A542" s="2" t="n">
        <v>44554</v>
      </c>
      <c r="B542" s="3" t="n">
        <v>1417.622707668014</v>
      </c>
      <c r="C542" s="4" t="n">
        <v>0.98101342</v>
      </c>
      <c r="D542" s="5" t="n">
        <v>0.41762271</v>
      </c>
      <c r="E542" s="5" t="n">
        <v>-0.01898658</v>
      </c>
    </row>
    <row r="543">
      <c r="A543" s="2" t="n">
        <v>44557</v>
      </c>
      <c r="B543" s="3" t="n">
        <v>1425.718453250737</v>
      </c>
      <c r="C543" s="4" t="n">
        <v>1.00571079</v>
      </c>
      <c r="D543" s="5" t="n">
        <v>0.42571845</v>
      </c>
      <c r="E543" s="5" t="n">
        <v>0.00571079</v>
      </c>
    </row>
    <row r="544">
      <c r="A544" s="2" t="n">
        <v>44558</v>
      </c>
      <c r="B544" s="3" t="n">
        <v>1437.56422036297</v>
      </c>
      <c r="C544" s="4" t="n">
        <v>1.00830863</v>
      </c>
      <c r="D544" s="5" t="n">
        <v>0.43756422</v>
      </c>
      <c r="E544" s="5" t="n">
        <v>0.008308629999999999</v>
      </c>
    </row>
    <row r="545">
      <c r="A545" s="2" t="n">
        <v>44559</v>
      </c>
      <c r="B545" s="3" t="n">
        <v>1438.880066020795</v>
      </c>
      <c r="C545" s="4" t="n">
        <v>1.00091533</v>
      </c>
      <c r="D545" s="5" t="n">
        <v>0.43888007</v>
      </c>
      <c r="E545" s="5" t="n">
        <v>0.00091533</v>
      </c>
    </row>
    <row r="546">
      <c r="A546" s="2" t="n">
        <v>44560</v>
      </c>
      <c r="B546" s="3" t="n">
        <v>1452.429596716094</v>
      </c>
      <c r="C546" s="4" t="n">
        <v>1.00941672</v>
      </c>
      <c r="D546" s="5" t="n">
        <v>0.4524296</v>
      </c>
      <c r="E546" s="5" t="n">
        <v>0.00941672</v>
      </c>
    </row>
    <row r="547">
      <c r="A547" s="2" t="n">
        <v>44561</v>
      </c>
      <c r="B547" s="3" t="n">
        <v>1459.043990148131</v>
      </c>
      <c r="C547" s="4" t="n">
        <v>1.00455402</v>
      </c>
      <c r="D547" s="5" t="n">
        <v>0.45904399</v>
      </c>
      <c r="E547" s="5" t="n">
        <v>0.00455402</v>
      </c>
    </row>
    <row r="548">
      <c r="A548" s="2" t="n">
        <v>44565</v>
      </c>
      <c r="B548" s="3" t="n">
        <v>1474.214779387134</v>
      </c>
      <c r="C548" s="4" t="n">
        <v>1.01039776</v>
      </c>
      <c r="D548" s="5" t="n">
        <v>0.47421478</v>
      </c>
      <c r="E548" s="5" t="n">
        <v>0.01039776</v>
      </c>
    </row>
    <row r="549">
      <c r="A549" s="2" t="n">
        <v>44566</v>
      </c>
      <c r="B549" s="3" t="n">
        <v>1450.263727841604</v>
      </c>
      <c r="C549" s="4" t="n">
        <v>0.98375335</v>
      </c>
      <c r="D549" s="5" t="n">
        <v>0.45026373</v>
      </c>
      <c r="E549" s="5" t="n">
        <v>-0.01624665</v>
      </c>
    </row>
    <row r="550">
      <c r="A550" s="2" t="n">
        <v>44567</v>
      </c>
      <c r="B550" s="3" t="n">
        <v>1464.25619134584</v>
      </c>
      <c r="C550" s="4" t="n">
        <v>1.00964822</v>
      </c>
      <c r="D550" s="5" t="n">
        <v>0.46425619</v>
      </c>
      <c r="E550" s="5" t="n">
        <v>0.009648220000000001</v>
      </c>
    </row>
    <row r="551">
      <c r="A551" s="2" t="n">
        <v>44568</v>
      </c>
      <c r="B551" s="3" t="n">
        <v>1432.997996943647</v>
      </c>
      <c r="C551" s="4" t="n">
        <v>0.97865251</v>
      </c>
      <c r="D551" s="5" t="n">
        <v>0.432998</v>
      </c>
      <c r="E551" s="5" t="n">
        <v>-0.02134749</v>
      </c>
    </row>
    <row r="552">
      <c r="A552" s="2" t="n">
        <v>44571</v>
      </c>
      <c r="B552" s="3" t="n">
        <v>1444.014169045151</v>
      </c>
      <c r="C552" s="4" t="n">
        <v>1.0076875</v>
      </c>
      <c r="D552" s="5" t="n">
        <v>0.44401417</v>
      </c>
      <c r="E552" s="5" t="n">
        <v>0.0076875</v>
      </c>
    </row>
    <row r="553">
      <c r="A553" s="2" t="n">
        <v>44572</v>
      </c>
      <c r="B553" s="3" t="n">
        <v>1438.833623812284</v>
      </c>
      <c r="C553" s="4" t="n">
        <v>0.9964124</v>
      </c>
      <c r="D553" s="5" t="n">
        <v>0.43883362</v>
      </c>
      <c r="E553" s="5" t="n">
        <v>-0.0035876</v>
      </c>
    </row>
    <row r="554">
      <c r="A554" s="2" t="n">
        <v>44573</v>
      </c>
      <c r="B554" s="3" t="n">
        <v>1461.029632438326</v>
      </c>
      <c r="C554" s="4" t="n">
        <v>1.01542639</v>
      </c>
      <c r="D554" s="5" t="n">
        <v>0.46102963</v>
      </c>
      <c r="E554" s="5" t="n">
        <v>0.01542639</v>
      </c>
    </row>
    <row r="555">
      <c r="A555" s="2" t="n">
        <v>44574</v>
      </c>
      <c r="B555" s="3" t="n">
        <v>1448.924578234981</v>
      </c>
      <c r="C555" s="4" t="n">
        <v>0.99171471</v>
      </c>
      <c r="D555" s="5" t="n">
        <v>0.44892458</v>
      </c>
      <c r="E555" s="5" t="n">
        <v>-0.008285290000000001</v>
      </c>
    </row>
    <row r="556">
      <c r="A556" s="2" t="n">
        <v>44575</v>
      </c>
      <c r="B556" s="3" t="n">
        <v>1449.347780125792</v>
      </c>
      <c r="C556" s="4" t="n">
        <v>1.00029208</v>
      </c>
      <c r="D556" s="5" t="n">
        <v>0.44934778</v>
      </c>
      <c r="E556" s="5" t="n">
        <v>0.00029208</v>
      </c>
    </row>
    <row r="557">
      <c r="A557" s="2" t="n">
        <v>44578</v>
      </c>
      <c r="B557" s="3" t="n">
        <v>1474.083088508787</v>
      </c>
      <c r="C557" s="4" t="n">
        <v>1.01706651</v>
      </c>
      <c r="D557" s="5" t="n">
        <v>0.47408309</v>
      </c>
      <c r="E557" s="5" t="n">
        <v>0.01706651</v>
      </c>
    </row>
    <row r="558">
      <c r="A558" s="2" t="n">
        <v>44579</v>
      </c>
      <c r="B558" s="3" t="n">
        <v>1448.420436981827</v>
      </c>
      <c r="C558" s="4" t="n">
        <v>0.9825907699999999</v>
      </c>
      <c r="D558" s="5" t="n">
        <v>0.44842044</v>
      </c>
      <c r="E558" s="5" t="n">
        <v>-0.01740923</v>
      </c>
    </row>
    <row r="559">
      <c r="A559" s="2" t="n">
        <v>44580</v>
      </c>
      <c r="B559" s="3" t="n">
        <v>1448.431459461352</v>
      </c>
      <c r="C559" s="4" t="n">
        <v>1.00000761</v>
      </c>
      <c r="D559" s="5" t="n">
        <v>0.44843146</v>
      </c>
      <c r="E559" s="5" t="n">
        <v>7.61e-06</v>
      </c>
    </row>
    <row r="560">
      <c r="A560" s="2" t="n">
        <v>44581</v>
      </c>
      <c r="B560" s="3" t="n">
        <v>1408.298349551226</v>
      </c>
      <c r="C560" s="4" t="n">
        <v>0.97229202</v>
      </c>
      <c r="D560" s="5" t="n">
        <v>0.40829835</v>
      </c>
      <c r="E560" s="5" t="n">
        <v>-0.02770798</v>
      </c>
    </row>
    <row r="561">
      <c r="A561" s="2" t="n">
        <v>44582</v>
      </c>
      <c r="B561" s="3" t="n">
        <v>1391.650009782171</v>
      </c>
      <c r="C561" s="4" t="n">
        <v>0.9881784</v>
      </c>
      <c r="D561" s="5" t="n">
        <v>0.39165001</v>
      </c>
      <c r="E561" s="5" t="n">
        <v>-0.0118216</v>
      </c>
    </row>
    <row r="562">
      <c r="A562" s="2" t="n">
        <v>44585</v>
      </c>
      <c r="B562" s="3" t="n">
        <v>1390.812139060782</v>
      </c>
      <c r="C562" s="4" t="n">
        <v>0.99939793</v>
      </c>
      <c r="D562" s="5" t="n">
        <v>0.39081214</v>
      </c>
      <c r="E562" s="5" t="n">
        <v>-0.00060207</v>
      </c>
    </row>
    <row r="563">
      <c r="A563" s="2" t="n">
        <v>44586</v>
      </c>
      <c r="B563" s="3" t="n">
        <v>1334.6930778715</v>
      </c>
      <c r="C563" s="4" t="n">
        <v>0.95965015</v>
      </c>
      <c r="D563" s="5" t="n">
        <v>0.33469308</v>
      </c>
      <c r="E563" s="5" t="n">
        <v>-0.04034985</v>
      </c>
    </row>
    <row r="564">
      <c r="A564" s="2" t="n">
        <v>44587</v>
      </c>
      <c r="B564" s="3" t="n">
        <v>1342.998672691132</v>
      </c>
      <c r="C564" s="4" t="n">
        <v>1.00622285</v>
      </c>
      <c r="D564" s="5" t="n">
        <v>0.34299867</v>
      </c>
      <c r="E564" s="5" t="n">
        <v>0.00622285</v>
      </c>
    </row>
    <row r="565">
      <c r="A565" s="2" t="n">
        <v>44588</v>
      </c>
      <c r="B565" s="3" t="n">
        <v>1302.51893336796</v>
      </c>
      <c r="C565" s="4" t="n">
        <v>0.96985869</v>
      </c>
      <c r="D565" s="5" t="n">
        <v>0.30251893</v>
      </c>
      <c r="E565" s="5" t="n">
        <v>-0.03014131</v>
      </c>
    </row>
    <row r="566">
      <c r="A566" s="2" t="n">
        <v>44589</v>
      </c>
      <c r="B566" s="3" t="n">
        <v>1322.225484746676</v>
      </c>
      <c r="C566" s="4" t="n">
        <v>1.01512957</v>
      </c>
      <c r="D566" s="5" t="n">
        <v>0.32222548</v>
      </c>
      <c r="E566" s="5" t="n">
        <v>0.01512957</v>
      </c>
    </row>
    <row r="567">
      <c r="A567" s="2" t="n">
        <v>44599</v>
      </c>
      <c r="B567" s="3" t="n">
        <v>1335.991782492097</v>
      </c>
      <c r="C567" s="4" t="n">
        <v>1.01041146</v>
      </c>
      <c r="D567" s="5" t="n">
        <v>0.33599178</v>
      </c>
      <c r="E567" s="5" t="n">
        <v>0.01041146</v>
      </c>
    </row>
    <row r="568">
      <c r="A568" s="2" t="n">
        <v>44600</v>
      </c>
      <c r="B568" s="3" t="n">
        <v>1354.18657441835</v>
      </c>
      <c r="C568" s="4" t="n">
        <v>1.01361894</v>
      </c>
      <c r="D568" s="5" t="n">
        <v>0.35418657</v>
      </c>
      <c r="E568" s="5" t="n">
        <v>0.01361894</v>
      </c>
    </row>
    <row r="569">
      <c r="A569" s="2" t="n">
        <v>44601</v>
      </c>
      <c r="B569" s="3" t="n">
        <v>1373.837554971975</v>
      </c>
      <c r="C569" s="4" t="n">
        <v>1.01451128</v>
      </c>
      <c r="D569" s="5" t="n">
        <v>0.37383755</v>
      </c>
      <c r="E569" s="5" t="n">
        <v>0.01451128</v>
      </c>
    </row>
    <row r="570">
      <c r="A570" s="2" t="n">
        <v>44602</v>
      </c>
      <c r="B570" s="3" t="n">
        <v>1366.51612735077</v>
      </c>
      <c r="C570" s="4" t="n">
        <v>0.99467082</v>
      </c>
      <c r="D570" s="5" t="n">
        <v>0.36651613</v>
      </c>
      <c r="E570" s="5" t="n">
        <v>-0.00532918</v>
      </c>
    </row>
    <row r="571">
      <c r="A571" s="2" t="n">
        <v>44603</v>
      </c>
      <c r="B571" s="3" t="n">
        <v>1335.943922938711</v>
      </c>
      <c r="C571" s="4" t="n">
        <v>0.97762763</v>
      </c>
      <c r="D571" s="5" t="n">
        <v>0.33594392</v>
      </c>
      <c r="E571" s="5" t="n">
        <v>-0.02237237</v>
      </c>
    </row>
    <row r="572">
      <c r="A572" s="2" t="n">
        <v>44606</v>
      </c>
      <c r="B572" s="3" t="n">
        <v>1339.517078633321</v>
      </c>
      <c r="C572" s="4" t="n">
        <v>1.00267463</v>
      </c>
      <c r="D572" s="5" t="n">
        <v>0.33951708</v>
      </c>
      <c r="E572" s="5" t="n">
        <v>0.00267463</v>
      </c>
    </row>
    <row r="573">
      <c r="A573" s="2" t="n">
        <v>44607</v>
      </c>
      <c r="B573" s="3" t="n">
        <v>1345.207869595016</v>
      </c>
      <c r="C573" s="4" t="n">
        <v>1.00424839</v>
      </c>
      <c r="D573" s="5" t="n">
        <v>0.34520787</v>
      </c>
      <c r="E573" s="5" t="n">
        <v>0.00424839</v>
      </c>
    </row>
    <row r="574">
      <c r="A574" s="2" t="n">
        <v>44608</v>
      </c>
      <c r="B574" s="3" t="n">
        <v>1363.343181872331</v>
      </c>
      <c r="C574" s="4" t="n">
        <v>1.01348142</v>
      </c>
      <c r="D574" s="5" t="n">
        <v>0.36334318</v>
      </c>
      <c r="E574" s="5" t="n">
        <v>0.01348142</v>
      </c>
    </row>
    <row r="575">
      <c r="A575" s="2" t="n">
        <v>44609</v>
      </c>
      <c r="B575" s="3" t="n">
        <v>1361.909721950615</v>
      </c>
      <c r="C575" s="4" t="n">
        <v>0.99894857</v>
      </c>
      <c r="D575" s="5" t="n">
        <v>0.36190972</v>
      </c>
      <c r="E575" s="5" t="n">
        <v>-0.00105143</v>
      </c>
    </row>
    <row r="576">
      <c r="A576" s="2" t="n">
        <v>44610</v>
      </c>
      <c r="B576" s="3" t="n">
        <v>1370.182996653132</v>
      </c>
      <c r="C576" s="4" t="n">
        <v>1.00607476</v>
      </c>
      <c r="D576" s="5" t="n">
        <v>0.370183</v>
      </c>
      <c r="E576" s="5" t="n">
        <v>0.00607476</v>
      </c>
    </row>
    <row r="577">
      <c r="A577" s="2" t="n">
        <v>44613</v>
      </c>
      <c r="B577" s="3" t="n">
        <v>1391.943571616309</v>
      </c>
      <c r="C577" s="4" t="n">
        <v>1.01588151</v>
      </c>
      <c r="D577" s="5" t="n">
        <v>0.39194357</v>
      </c>
      <c r="E577" s="5" t="n">
        <v>0.01588151</v>
      </c>
    </row>
    <row r="578">
      <c r="A578" s="2" t="n">
        <v>44614</v>
      </c>
      <c r="B578" s="3" t="n">
        <v>1379.421215743541</v>
      </c>
      <c r="C578" s="4" t="n">
        <v>0.99100369</v>
      </c>
      <c r="D578" s="5" t="n">
        <v>0.37942122</v>
      </c>
      <c r="E578" s="5" t="n">
        <v>-0.00899631</v>
      </c>
    </row>
    <row r="579">
      <c r="A579" s="2" t="n">
        <v>44615</v>
      </c>
      <c r="B579" s="3" t="n">
        <v>1403.371223482918</v>
      </c>
      <c r="C579" s="4" t="n">
        <v>1.01736236</v>
      </c>
      <c r="D579" s="5" t="n">
        <v>0.40337122</v>
      </c>
      <c r="E579" s="5" t="n">
        <v>0.01736236</v>
      </c>
    </row>
    <row r="580">
      <c r="A580" s="2" t="n">
        <v>44616</v>
      </c>
      <c r="B580" s="3" t="n">
        <v>1370.543816430026</v>
      </c>
      <c r="C580" s="4" t="n">
        <v>0.97660818</v>
      </c>
      <c r="D580" s="5" t="n">
        <v>0.37054382</v>
      </c>
      <c r="E580" s="5" t="n">
        <v>-0.02339182</v>
      </c>
    </row>
    <row r="581">
      <c r="A581" s="2" t="n">
        <v>44617</v>
      </c>
      <c r="B581" s="3" t="n">
        <v>1384.167871702507</v>
      </c>
      <c r="C581" s="4" t="n">
        <v>1.00994062</v>
      </c>
      <c r="D581" s="5" t="n">
        <v>0.38416787</v>
      </c>
      <c r="E581" s="5" t="n">
        <v>0.009940620000000001</v>
      </c>
    </row>
    <row r="582">
      <c r="A582" s="2" t="n">
        <v>44620</v>
      </c>
      <c r="B582" s="3" t="n">
        <v>1386.296029805249</v>
      </c>
      <c r="C582" s="4" t="n">
        <v>1.0015375</v>
      </c>
      <c r="D582" s="5" t="n">
        <v>0.38629603</v>
      </c>
      <c r="E582" s="5" t="n">
        <v>0.0015375</v>
      </c>
    </row>
    <row r="583">
      <c r="A583" s="2" t="n">
        <v>44621</v>
      </c>
      <c r="B583" s="3" t="n">
        <v>1397.381074666937</v>
      </c>
      <c r="C583" s="4" t="n">
        <v>1.00799616</v>
      </c>
      <c r="D583" s="5" t="n">
        <v>0.39738107</v>
      </c>
      <c r="E583" s="5" t="n">
        <v>0.00799616</v>
      </c>
    </row>
    <row r="584">
      <c r="A584" s="2" t="n">
        <v>44622</v>
      </c>
      <c r="B584" s="3" t="n">
        <v>1405.15471955912</v>
      </c>
      <c r="C584" s="4" t="n">
        <v>1.00556301</v>
      </c>
      <c r="D584" s="5" t="n">
        <v>0.40515472</v>
      </c>
      <c r="E584" s="5" t="n">
        <v>0.00556301</v>
      </c>
    </row>
    <row r="585">
      <c r="A585" s="2" t="n">
        <v>44623</v>
      </c>
      <c r="B585" s="3" t="n">
        <v>1399.48761816276</v>
      </c>
      <c r="C585" s="4" t="n">
        <v>0.99596692</v>
      </c>
      <c r="D585" s="5" t="n">
        <v>0.39948762</v>
      </c>
      <c r="E585" s="5" t="n">
        <v>-0.00403308</v>
      </c>
    </row>
    <row r="586">
      <c r="A586" s="2" t="n">
        <v>44624</v>
      </c>
      <c r="B586" s="3" t="n">
        <v>1381.608967912464</v>
      </c>
      <c r="C586" s="4" t="n">
        <v>0.98722486</v>
      </c>
      <c r="D586" s="5" t="n">
        <v>0.38160897</v>
      </c>
      <c r="E586" s="5" t="n">
        <v>-0.01277514</v>
      </c>
    </row>
    <row r="587">
      <c r="A587" s="2" t="n">
        <v>44627</v>
      </c>
      <c r="B587" s="3" t="n">
        <v>1365.033846572687</v>
      </c>
      <c r="C587" s="4" t="n">
        <v>0.98800303</v>
      </c>
      <c r="D587" s="5" t="n">
        <v>0.36503385</v>
      </c>
      <c r="E587" s="5" t="n">
        <v>-0.01199697</v>
      </c>
    </row>
    <row r="588">
      <c r="A588" s="2" t="n">
        <v>44628</v>
      </c>
      <c r="B588" s="3" t="n">
        <v>1323.679258918768</v>
      </c>
      <c r="C588" s="4" t="n">
        <v>0.96970435</v>
      </c>
      <c r="D588" s="5" t="n">
        <v>0.32367926</v>
      </c>
      <c r="E588" s="5" t="n">
        <v>-0.03029565</v>
      </c>
    </row>
    <row r="589">
      <c r="A589" s="2" t="n">
        <v>44629</v>
      </c>
      <c r="B589" s="3" t="n">
        <v>1311.012932379796</v>
      </c>
      <c r="C589" s="4" t="n">
        <v>0.99043097</v>
      </c>
      <c r="D589" s="5" t="n">
        <v>0.31101293</v>
      </c>
      <c r="E589" s="5" t="n">
        <v>-0.009569029999999999</v>
      </c>
    </row>
    <row r="590">
      <c r="A590" s="2" t="n">
        <v>44630</v>
      </c>
      <c r="B590" s="3" t="n">
        <v>1333.866378715748</v>
      </c>
      <c r="C590" s="4" t="n">
        <v>1.0174319</v>
      </c>
      <c r="D590" s="5" t="n">
        <v>0.33386638</v>
      </c>
      <c r="E590" s="5" t="n">
        <v>0.0174319</v>
      </c>
    </row>
    <row r="591">
      <c r="A591" s="2" t="n">
        <v>44631</v>
      </c>
      <c r="B591" s="3" t="n">
        <v>1341.970323915627</v>
      </c>
      <c r="C591" s="4" t="n">
        <v>1.00607553</v>
      </c>
      <c r="D591" s="5" t="n">
        <v>0.34197032</v>
      </c>
      <c r="E591" s="5" t="n">
        <v>0.00607553</v>
      </c>
    </row>
    <row r="592">
      <c r="A592" s="2" t="n">
        <v>44634</v>
      </c>
      <c r="B592" s="3" t="n">
        <v>1307.744873810921</v>
      </c>
      <c r="C592" s="4" t="n">
        <v>0.97449612</v>
      </c>
      <c r="D592" s="5" t="n">
        <v>0.30774487</v>
      </c>
      <c r="E592" s="5" t="n">
        <v>-0.02550388</v>
      </c>
    </row>
    <row r="593">
      <c r="A593" s="2" t="n">
        <v>44635</v>
      </c>
      <c r="B593" s="3" t="n">
        <v>1250.584470037237</v>
      </c>
      <c r="C593" s="4" t="n">
        <v>0.95629086</v>
      </c>
      <c r="D593" s="5" t="n">
        <v>0.25058447</v>
      </c>
      <c r="E593" s="5" t="n">
        <v>-0.04370914</v>
      </c>
    </row>
    <row r="594">
      <c r="A594" s="2" t="n">
        <v>44636</v>
      </c>
      <c r="B594" s="3" t="n">
        <v>1287.873397297232</v>
      </c>
      <c r="C594" s="4" t="n">
        <v>1.0298172</v>
      </c>
      <c r="D594" s="5" t="n">
        <v>0.2878734</v>
      </c>
      <c r="E594" s="5" t="n">
        <v>0.0298172</v>
      </c>
    </row>
    <row r="595">
      <c r="A595" s="2" t="n">
        <v>44637</v>
      </c>
      <c r="B595" s="3" t="n">
        <v>1308.80123697344</v>
      </c>
      <c r="C595" s="4" t="n">
        <v>1.01624992</v>
      </c>
      <c r="D595" s="5" t="n">
        <v>0.30880124</v>
      </c>
      <c r="E595" s="5" t="n">
        <v>0.01624992</v>
      </c>
    </row>
    <row r="596">
      <c r="A596" s="2" t="n">
        <v>44638</v>
      </c>
      <c r="B596" s="3" t="n">
        <v>1322.304204775357</v>
      </c>
      <c r="C596" s="4" t="n">
        <v>1.01031705</v>
      </c>
      <c r="D596" s="5" t="n">
        <v>0.3223042</v>
      </c>
      <c r="E596" s="5" t="n">
        <v>0.01031705</v>
      </c>
    </row>
    <row r="597">
      <c r="A597" s="2" t="n">
        <v>44641</v>
      </c>
      <c r="B597" s="3" t="n">
        <v>1342.492193314839</v>
      </c>
      <c r="C597" s="4" t="n">
        <v>1.01526728</v>
      </c>
      <c r="D597" s="5" t="n">
        <v>0.34249219</v>
      </c>
      <c r="E597" s="5" t="n">
        <v>0.01526728</v>
      </c>
    </row>
    <row r="598">
      <c r="A598" s="2" t="n">
        <v>44642</v>
      </c>
      <c r="B598" s="3" t="n">
        <v>1339.398970477144</v>
      </c>
      <c r="C598" s="4" t="n">
        <v>0.99769591</v>
      </c>
      <c r="D598" s="5" t="n">
        <v>0.33939897</v>
      </c>
      <c r="E598" s="5" t="n">
        <v>-0.00230409</v>
      </c>
    </row>
    <row r="599">
      <c r="A599" s="2" t="n">
        <v>44643</v>
      </c>
      <c r="B599" s="3" t="n">
        <v>1343.261582804165</v>
      </c>
      <c r="C599" s="4" t="n">
        <v>1.00288384</v>
      </c>
      <c r="D599" s="5" t="n">
        <v>0.34326158</v>
      </c>
      <c r="E599" s="5" t="n">
        <v>0.00288384</v>
      </c>
    </row>
    <row r="600">
      <c r="A600" s="2" t="n">
        <v>44644</v>
      </c>
      <c r="B600" s="3" t="n">
        <v>1328.397238185476</v>
      </c>
      <c r="C600" s="4" t="n">
        <v>0.98893414</v>
      </c>
      <c r="D600" s="5" t="n">
        <v>0.32839724</v>
      </c>
      <c r="E600" s="5" t="n">
        <v>-0.01106586</v>
      </c>
    </row>
    <row r="601">
      <c r="A601" s="2" t="n">
        <v>44645</v>
      </c>
      <c r="B601" s="3" t="n">
        <v>1323.79638748691</v>
      </c>
      <c r="C601" s="4" t="n">
        <v>0.99653654</v>
      </c>
      <c r="D601" s="5" t="n">
        <v>0.32379639</v>
      </c>
      <c r="E601" s="5" t="n">
        <v>-0.00346346</v>
      </c>
    </row>
    <row r="602">
      <c r="A602" s="2" t="n">
        <v>44648</v>
      </c>
      <c r="B602" s="3" t="n">
        <v>1317.995630858617</v>
      </c>
      <c r="C602" s="4" t="n">
        <v>0.99561809</v>
      </c>
      <c r="D602" s="5" t="n">
        <v>0.31799563</v>
      </c>
      <c r="E602" s="5" t="n">
        <v>-0.00438191</v>
      </c>
    </row>
    <row r="603">
      <c r="A603" s="2" t="n">
        <v>44649</v>
      </c>
      <c r="B603" s="3" t="n">
        <v>1308.14039760861</v>
      </c>
      <c r="C603" s="4" t="n">
        <v>0.9925225600000001</v>
      </c>
      <c r="D603" s="5" t="n">
        <v>0.3081404</v>
      </c>
      <c r="E603" s="5" t="n">
        <v>-0.00747744</v>
      </c>
    </row>
    <row r="604">
      <c r="A604" s="2" t="n">
        <v>44650</v>
      </c>
      <c r="B604" s="3" t="n">
        <v>1326.174159501963</v>
      </c>
      <c r="C604" s="4" t="n">
        <v>1.0137858</v>
      </c>
      <c r="D604" s="5" t="n">
        <v>0.32617416</v>
      </c>
      <c r="E604" s="5" t="n">
        <v>0.0137858</v>
      </c>
    </row>
    <row r="605">
      <c r="A605" s="2" t="n">
        <v>44651</v>
      </c>
      <c r="B605" s="3" t="n">
        <v>1323.768784596683</v>
      </c>
      <c r="C605" s="4" t="n">
        <v>0.99818623</v>
      </c>
      <c r="D605" s="5" t="n">
        <v>0.32376878</v>
      </c>
      <c r="E605" s="5" t="n">
        <v>-0.00181377</v>
      </c>
    </row>
    <row r="606">
      <c r="A606" s="2" t="n">
        <v>44652</v>
      </c>
      <c r="B606" s="3" t="n">
        <v>1316.302980167626</v>
      </c>
      <c r="C606" s="4" t="n">
        <v>0.99436019</v>
      </c>
      <c r="D606" s="5" t="n">
        <v>0.31630298</v>
      </c>
      <c r="E606" s="5" t="n">
        <v>-0.00563981</v>
      </c>
    </row>
    <row r="607">
      <c r="A607" s="2" t="n">
        <v>44657</v>
      </c>
      <c r="B607" s="3" t="n">
        <v>1327.959001013368</v>
      </c>
      <c r="C607" s="4" t="n">
        <v>1.00885512</v>
      </c>
      <c r="D607" s="5" t="n">
        <v>0.327959</v>
      </c>
      <c r="E607" s="5" t="n">
        <v>0.008855119999999999</v>
      </c>
    </row>
    <row r="608">
      <c r="A608" s="2" t="n">
        <v>44658</v>
      </c>
      <c r="B608" s="3" t="n">
        <v>1294.810010364832</v>
      </c>
      <c r="C608" s="4" t="n">
        <v>0.97503764</v>
      </c>
      <c r="D608" s="5" t="n">
        <v>0.29481001</v>
      </c>
      <c r="E608" s="5" t="n">
        <v>-0.02496236</v>
      </c>
    </row>
    <row r="609">
      <c r="A609" s="2" t="n">
        <v>44659</v>
      </c>
      <c r="B609" s="3" t="n">
        <v>1284.491138520131</v>
      </c>
      <c r="C609" s="4" t="n">
        <v>0.99203059</v>
      </c>
      <c r="D609" s="5" t="n">
        <v>0.28449114</v>
      </c>
      <c r="E609" s="5" t="n">
        <v>-0.00796941</v>
      </c>
    </row>
    <row r="610">
      <c r="A610" s="2" t="n">
        <v>44662</v>
      </c>
      <c r="B610" s="3" t="n">
        <v>1251.138362740101</v>
      </c>
      <c r="C610" s="4" t="n">
        <v>0.97403425</v>
      </c>
      <c r="D610" s="5" t="n">
        <v>0.25113836</v>
      </c>
      <c r="E610" s="5" t="n">
        <v>-0.02596575</v>
      </c>
    </row>
    <row r="611">
      <c r="A611" s="2" t="n">
        <v>44663</v>
      </c>
      <c r="B611" s="3" t="n">
        <v>1269.208779318062</v>
      </c>
      <c r="C611" s="4" t="n">
        <v>1.01444318</v>
      </c>
      <c r="D611" s="5" t="n">
        <v>0.26920878</v>
      </c>
      <c r="E611" s="5" t="n">
        <v>0.01444318</v>
      </c>
    </row>
    <row r="612">
      <c r="A612" s="2" t="n">
        <v>44664</v>
      </c>
      <c r="B612" s="3" t="n">
        <v>1244.503592352373</v>
      </c>
      <c r="C612" s="4" t="n">
        <v>0.98053497</v>
      </c>
      <c r="D612" s="5" t="n">
        <v>0.24450359</v>
      </c>
      <c r="E612" s="5" t="n">
        <v>-0.01946503</v>
      </c>
    </row>
    <row r="613">
      <c r="A613" s="2" t="n">
        <v>44665</v>
      </c>
      <c r="B613" s="3" t="n">
        <v>1254.889796202924</v>
      </c>
      <c r="C613" s="4" t="n">
        <v>1.00834566</v>
      </c>
      <c r="D613" s="5" t="n">
        <v>0.2548898</v>
      </c>
      <c r="E613" s="5" t="n">
        <v>0.00834566</v>
      </c>
    </row>
    <row r="614">
      <c r="A614" s="2" t="n">
        <v>44666</v>
      </c>
      <c r="B614" s="3" t="n">
        <v>1228.99278606546</v>
      </c>
      <c r="C614" s="4" t="n">
        <v>0.97936312</v>
      </c>
      <c r="D614" s="5" t="n">
        <v>0.22899279</v>
      </c>
      <c r="E614" s="5" t="n">
        <v>-0.02063688</v>
      </c>
    </row>
    <row r="615">
      <c r="A615" s="2" t="n">
        <v>44669</v>
      </c>
      <c r="B615" s="3" t="n">
        <v>1238.889102996118</v>
      </c>
      <c r="C615" s="4" t="n">
        <v>1.00805238</v>
      </c>
      <c r="D615" s="5" t="n">
        <v>0.2388891</v>
      </c>
      <c r="E615" s="5" t="n">
        <v>0.00805238</v>
      </c>
    </row>
    <row r="616">
      <c r="A616" s="2" t="n">
        <v>44670</v>
      </c>
      <c r="B616" s="3" t="n">
        <v>1248.238230945186</v>
      </c>
      <c r="C616" s="4" t="n">
        <v>1.00754638</v>
      </c>
      <c r="D616" s="5" t="n">
        <v>0.24823823</v>
      </c>
      <c r="E616" s="5" t="n">
        <v>0.00754638</v>
      </c>
    </row>
    <row r="617">
      <c r="A617" s="2" t="n">
        <v>44671</v>
      </c>
      <c r="B617" s="3" t="n">
        <v>1235.763250688443</v>
      </c>
      <c r="C617" s="4" t="n">
        <v>0.99000593</v>
      </c>
      <c r="D617" s="5" t="n">
        <v>0.23576325</v>
      </c>
      <c r="E617" s="5" t="n">
        <v>-0.009994070000000001</v>
      </c>
    </row>
    <row r="618">
      <c r="A618" s="2" t="n">
        <v>44672</v>
      </c>
      <c r="B618" s="3" t="n">
        <v>1187.864387421972</v>
      </c>
      <c r="C618" s="4" t="n">
        <v>0.96123945</v>
      </c>
      <c r="D618" s="5" t="n">
        <v>0.18786439</v>
      </c>
      <c r="E618" s="5" t="n">
        <v>-0.03876055</v>
      </c>
    </row>
    <row r="619">
      <c r="A619" s="2" t="n">
        <v>44673</v>
      </c>
      <c r="B619" s="3" t="n">
        <v>1172.101569544609</v>
      </c>
      <c r="C619" s="4" t="n">
        <v>0.98673012</v>
      </c>
      <c r="D619" s="5" t="n">
        <v>0.17210157</v>
      </c>
      <c r="E619" s="5" t="n">
        <v>-0.01326988</v>
      </c>
    </row>
    <row r="620">
      <c r="A620" s="2" t="n">
        <v>44676</v>
      </c>
      <c r="B620" s="3" t="n">
        <v>1087.872827025093</v>
      </c>
      <c r="C620" s="4" t="n">
        <v>0.9281387</v>
      </c>
      <c r="D620" s="5" t="n">
        <v>0.08787283</v>
      </c>
      <c r="E620" s="5" t="n">
        <v>-0.0718613</v>
      </c>
    </row>
    <row r="621">
      <c r="A621" s="2" t="n">
        <v>44677</v>
      </c>
      <c r="B621" s="3" t="n">
        <v>1049.459319506771</v>
      </c>
      <c r="C621" s="4" t="n">
        <v>0.96468934</v>
      </c>
      <c r="D621" s="5" t="n">
        <v>0.04945932</v>
      </c>
      <c r="E621" s="5" t="n">
        <v>-0.03531066</v>
      </c>
    </row>
    <row r="622">
      <c r="A622" s="2" t="n">
        <v>44678</v>
      </c>
      <c r="B622" s="3" t="n">
        <v>1080.869164682915</v>
      </c>
      <c r="C622" s="4" t="n">
        <v>1.02992955</v>
      </c>
      <c r="D622" s="5" t="n">
        <v>0.08086916</v>
      </c>
      <c r="E622" s="5" t="n">
        <v>0.02992955</v>
      </c>
    </row>
    <row r="623">
      <c r="A623" s="2" t="n">
        <v>44679</v>
      </c>
      <c r="B623" s="3" t="n">
        <v>1061.16672486225</v>
      </c>
      <c r="C623" s="4" t="n">
        <v>0.98177167</v>
      </c>
      <c r="D623" s="5" t="n">
        <v>0.06116672</v>
      </c>
      <c r="E623" s="5" t="n">
        <v>-0.01822833</v>
      </c>
    </row>
    <row r="624">
      <c r="A624" s="2" t="n">
        <v>44680</v>
      </c>
      <c r="B624" s="3" t="n">
        <v>1104.321786315589</v>
      </c>
      <c r="C624" s="4" t="n">
        <v>1.04066756</v>
      </c>
      <c r="D624" s="5" t="n">
        <v>0.10432179</v>
      </c>
      <c r="E624" s="5" t="n">
        <v>0.04066756</v>
      </c>
    </row>
    <row r="625">
      <c r="A625" s="2" t="n">
        <v>44686</v>
      </c>
      <c r="B625" s="3" t="n">
        <v>1125.02025520477</v>
      </c>
      <c r="C625" s="4" t="n">
        <v>1.01874315</v>
      </c>
      <c r="D625" s="5" t="n">
        <v>0.12502026</v>
      </c>
      <c r="E625" s="5" t="n">
        <v>0.01874315</v>
      </c>
    </row>
    <row r="626">
      <c r="A626" s="2" t="n">
        <v>44687</v>
      </c>
      <c r="B626" s="3" t="n">
        <v>1116.214642915864</v>
      </c>
      <c r="C626" s="4" t="n">
        <v>0.99217293</v>
      </c>
      <c r="D626" s="5" t="n">
        <v>0.11621464</v>
      </c>
      <c r="E626" s="5" t="n">
        <v>-0.00782707</v>
      </c>
    </row>
    <row r="627">
      <c r="A627" s="2" t="n">
        <v>44690</v>
      </c>
      <c r="B627" s="3" t="n">
        <v>1135.563676805636</v>
      </c>
      <c r="C627" s="4" t="n">
        <v>1.01733451</v>
      </c>
      <c r="D627" s="5" t="n">
        <v>0.13556368</v>
      </c>
      <c r="E627" s="5" t="n">
        <v>0.01733451</v>
      </c>
    </row>
    <row r="628">
      <c r="A628" s="2" t="n">
        <v>44691</v>
      </c>
      <c r="B628" s="3" t="n">
        <v>1154.980180467317</v>
      </c>
      <c r="C628" s="4" t="n">
        <v>1.01709856</v>
      </c>
      <c r="D628" s="5" t="n">
        <v>0.15498018</v>
      </c>
      <c r="E628" s="5" t="n">
        <v>0.01709856</v>
      </c>
    </row>
    <row r="629">
      <c r="A629" s="2" t="n">
        <v>44692</v>
      </c>
      <c r="B629" s="3" t="n">
        <v>1158.210879478319</v>
      </c>
      <c r="C629" s="4" t="n">
        <v>1.00279719</v>
      </c>
      <c r="D629" s="5" t="n">
        <v>0.15821088</v>
      </c>
      <c r="E629" s="5" t="n">
        <v>0.00279719</v>
      </c>
    </row>
    <row r="630">
      <c r="A630" s="2" t="n">
        <v>44693</v>
      </c>
      <c r="B630" s="3" t="n">
        <v>1167.078640002283</v>
      </c>
      <c r="C630" s="4" t="n">
        <v>1.00765643</v>
      </c>
      <c r="D630" s="5" t="n">
        <v>0.16707864</v>
      </c>
      <c r="E630" s="5" t="n">
        <v>0.00765643</v>
      </c>
    </row>
    <row r="631">
      <c r="A631" s="2" t="n">
        <v>44694</v>
      </c>
      <c r="B631" s="3" t="n">
        <v>1173.082641053416</v>
      </c>
      <c r="C631" s="4" t="n">
        <v>1.00514447</v>
      </c>
      <c r="D631" s="5" t="n">
        <v>0.17308264</v>
      </c>
      <c r="E631" s="5" t="n">
        <v>0.00514447</v>
      </c>
    </row>
    <row r="632">
      <c r="A632" s="2" t="n">
        <v>44697</v>
      </c>
      <c r="B632" s="3" t="n">
        <v>1175.818434003922</v>
      </c>
      <c r="C632" s="4" t="n">
        <v>1.00233214</v>
      </c>
      <c r="D632" s="5" t="n">
        <v>0.17581843</v>
      </c>
      <c r="E632" s="5" t="n">
        <v>0.00233214</v>
      </c>
    </row>
    <row r="633">
      <c r="A633" s="2" t="n">
        <v>44698</v>
      </c>
      <c r="B633" s="3" t="n">
        <v>1173.86970308051</v>
      </c>
      <c r="C633" s="4" t="n">
        <v>0.99834266</v>
      </c>
      <c r="D633" s="5" t="n">
        <v>0.1738697</v>
      </c>
      <c r="E633" s="5" t="n">
        <v>-0.00165734</v>
      </c>
    </row>
    <row r="634">
      <c r="A634" s="2" t="n">
        <v>44699</v>
      </c>
      <c r="B634" s="3" t="n">
        <v>1183.812684671724</v>
      </c>
      <c r="C634" s="4" t="n">
        <v>1.00847026</v>
      </c>
      <c r="D634" s="5" t="n">
        <v>0.18381268</v>
      </c>
      <c r="E634" s="5" t="n">
        <v>0.00847026</v>
      </c>
    </row>
    <row r="635">
      <c r="A635" s="2" t="n">
        <v>44700</v>
      </c>
      <c r="B635" s="3" t="n">
        <v>1192.46408247632</v>
      </c>
      <c r="C635" s="4" t="n">
        <v>1.00730808</v>
      </c>
      <c r="D635" s="5" t="n">
        <v>0.19246408</v>
      </c>
      <c r="E635" s="5" t="n">
        <v>0.00730808</v>
      </c>
    </row>
    <row r="636">
      <c r="A636" s="2" t="n">
        <v>44701</v>
      </c>
      <c r="B636" s="3" t="n">
        <v>1203.793814894977</v>
      </c>
      <c r="C636" s="4" t="n">
        <v>1.00950111</v>
      </c>
      <c r="D636" s="5" t="n">
        <v>0.20379381</v>
      </c>
      <c r="E636" s="5" t="n">
        <v>0.00950111</v>
      </c>
    </row>
    <row r="637">
      <c r="A637" s="2" t="n">
        <v>44704</v>
      </c>
      <c r="B637" s="3" t="n">
        <v>1222.597315042399</v>
      </c>
      <c r="C637" s="4" t="n">
        <v>1.0156202</v>
      </c>
      <c r="D637" s="5" t="n">
        <v>0.22259732</v>
      </c>
      <c r="E637" s="5" t="n">
        <v>0.0156202</v>
      </c>
    </row>
    <row r="638">
      <c r="A638" s="2" t="n">
        <v>44705</v>
      </c>
      <c r="B638" s="3" t="n">
        <v>1173.517209489686</v>
      </c>
      <c r="C638" s="4" t="n">
        <v>0.9598558700000001</v>
      </c>
      <c r="D638" s="5" t="n">
        <v>0.17351721</v>
      </c>
      <c r="E638" s="5" t="n">
        <v>-0.04014413</v>
      </c>
    </row>
    <row r="639">
      <c r="A639" s="2" t="n">
        <v>44706</v>
      </c>
      <c r="B639" s="3" t="n">
        <v>1195.976885453151</v>
      </c>
      <c r="C639" s="4" t="n">
        <v>1.01913877</v>
      </c>
      <c r="D639" s="5" t="n">
        <v>0.19597689</v>
      </c>
      <c r="E639" s="5" t="n">
        <v>0.01913877</v>
      </c>
    </row>
    <row r="640">
      <c r="A640" s="2" t="n">
        <v>44707</v>
      </c>
      <c r="B640" s="3" t="n">
        <v>1199.752727997753</v>
      </c>
      <c r="C640" s="4" t="n">
        <v>1.00315712</v>
      </c>
      <c r="D640" s="5" t="n">
        <v>0.19975273</v>
      </c>
      <c r="E640" s="5" t="n">
        <v>0.00315712</v>
      </c>
    </row>
    <row r="641">
      <c r="A641" s="2" t="n">
        <v>44708</v>
      </c>
      <c r="B641" s="3" t="n">
        <v>1201.743321731465</v>
      </c>
      <c r="C641" s="4" t="n">
        <v>1.00165917</v>
      </c>
      <c r="D641" s="5" t="n">
        <v>0.20174332</v>
      </c>
      <c r="E641" s="5" t="n">
        <v>0.00165917</v>
      </c>
    </row>
    <row r="642">
      <c r="A642" s="2" t="n">
        <v>44711</v>
      </c>
      <c r="B642" s="3" t="n">
        <v>1210.469408321788</v>
      </c>
      <c r="C642" s="4" t="n">
        <v>1.00726119</v>
      </c>
      <c r="D642" s="5" t="n">
        <v>0.21046941</v>
      </c>
      <c r="E642" s="5" t="n">
        <v>0.00726119</v>
      </c>
    </row>
    <row r="643">
      <c r="A643" s="2" t="n">
        <v>44712</v>
      </c>
      <c r="B643" s="3" t="n">
        <v>1221.007161860627</v>
      </c>
      <c r="C643" s="4" t="n">
        <v>1.00870551</v>
      </c>
      <c r="D643" s="5" t="n">
        <v>0.22100716</v>
      </c>
      <c r="E643" s="5" t="n">
        <v>0.00870551</v>
      </c>
    </row>
    <row r="644">
      <c r="A644" s="2" t="n">
        <v>44713</v>
      </c>
      <c r="B644" s="3" t="n">
        <v>1228.479359389066</v>
      </c>
      <c r="C644" s="4" t="n">
        <v>1.0061197</v>
      </c>
      <c r="D644" s="5" t="n">
        <v>0.22847936</v>
      </c>
      <c r="E644" s="5" t="n">
        <v>0.0061197</v>
      </c>
    </row>
    <row r="645">
      <c r="A645" s="2" t="n">
        <v>44714</v>
      </c>
      <c r="B645" s="3" t="n">
        <v>1239.310665344102</v>
      </c>
      <c r="C645" s="4" t="n">
        <v>1.00881684</v>
      </c>
      <c r="D645" s="5" t="n">
        <v>0.23931067</v>
      </c>
      <c r="E645" s="5" t="n">
        <v>0.008816839999999999</v>
      </c>
    </row>
    <row r="646">
      <c r="A646" s="2" t="n">
        <v>44718</v>
      </c>
      <c r="B646" s="3" t="n">
        <v>1258.645956586068</v>
      </c>
      <c r="C646" s="4" t="n">
        <v>1.01560165</v>
      </c>
      <c r="D646" s="5" t="n">
        <v>0.25864596</v>
      </c>
      <c r="E646" s="5" t="n">
        <v>0.01560165</v>
      </c>
    </row>
    <row r="647">
      <c r="A647" s="2" t="n">
        <v>44719</v>
      </c>
      <c r="B647" s="3" t="n">
        <v>1251.792780389971</v>
      </c>
      <c r="C647" s="4" t="n">
        <v>0.99455512</v>
      </c>
      <c r="D647" s="5" t="n">
        <v>0.25179278</v>
      </c>
      <c r="E647" s="5" t="n">
        <v>-0.00544488</v>
      </c>
    </row>
    <row r="648">
      <c r="A648" s="2" t="n">
        <v>44720</v>
      </c>
      <c r="B648" s="3" t="n">
        <v>1249.489757068465</v>
      </c>
      <c r="C648" s="4" t="n">
        <v>0.99816022</v>
      </c>
      <c r="D648" s="5" t="n">
        <v>0.24948976</v>
      </c>
      <c r="E648" s="5" t="n">
        <v>-0.00183978</v>
      </c>
    </row>
    <row r="649">
      <c r="A649" s="2" t="n">
        <v>44721</v>
      </c>
      <c r="B649" s="3" t="n">
        <v>1228.420835794982</v>
      </c>
      <c r="C649" s="4" t="n">
        <v>0.98313798</v>
      </c>
      <c r="D649" s="5" t="n">
        <v>0.22842084</v>
      </c>
      <c r="E649" s="5" t="n">
        <v>-0.01686202</v>
      </c>
    </row>
    <row r="650">
      <c r="A650" s="2" t="n">
        <v>44722</v>
      </c>
      <c r="B650" s="3" t="n">
        <v>1252.159577078385</v>
      </c>
      <c r="C650" s="4" t="n">
        <v>1.0193246</v>
      </c>
      <c r="D650" s="5" t="n">
        <v>0.25215958</v>
      </c>
      <c r="E650" s="5" t="n">
        <v>0.0193246</v>
      </c>
    </row>
    <row r="651">
      <c r="A651" s="2" t="n">
        <v>44725</v>
      </c>
      <c r="B651" s="3" t="n">
        <v>1260.581176659558</v>
      </c>
      <c r="C651" s="4" t="n">
        <v>1.00672566</v>
      </c>
      <c r="D651" s="5" t="n">
        <v>0.26058118</v>
      </c>
      <c r="E651" s="5" t="n">
        <v>0.00672566</v>
      </c>
    </row>
    <row r="652">
      <c r="A652" s="2" t="n">
        <v>44726</v>
      </c>
      <c r="B652" s="3" t="n">
        <v>1261.200538009087</v>
      </c>
      <c r="C652" s="4" t="n">
        <v>1.00049133</v>
      </c>
      <c r="D652" s="5" t="n">
        <v>0.26120054</v>
      </c>
      <c r="E652" s="5" t="n">
        <v>0.00049133</v>
      </c>
    </row>
    <row r="653">
      <c r="A653" s="2" t="n">
        <v>44727</v>
      </c>
      <c r="B653" s="3" t="n">
        <v>1254.000016225453</v>
      </c>
      <c r="C653" s="4" t="n">
        <v>0.99429074</v>
      </c>
      <c r="D653" s="5" t="n">
        <v>0.25400002</v>
      </c>
      <c r="E653" s="5" t="n">
        <v>-0.00570926</v>
      </c>
    </row>
    <row r="654">
      <c r="A654" s="2" t="n">
        <v>44728</v>
      </c>
      <c r="B654" s="3" t="n">
        <v>1265.253537771062</v>
      </c>
      <c r="C654" s="4" t="n">
        <v>1.0089741</v>
      </c>
      <c r="D654" s="5" t="n">
        <v>0.26525354</v>
      </c>
      <c r="E654" s="5" t="n">
        <v>0.0089741</v>
      </c>
    </row>
    <row r="655">
      <c r="A655" s="2" t="n">
        <v>44729</v>
      </c>
      <c r="B655" s="3" t="n">
        <v>1272.068079452678</v>
      </c>
      <c r="C655" s="4" t="n">
        <v>1.00538591</v>
      </c>
      <c r="D655" s="5" t="n">
        <v>0.27206808</v>
      </c>
      <c r="E655" s="5" t="n">
        <v>0.00538591</v>
      </c>
    </row>
    <row r="656">
      <c r="A656" s="2" t="n">
        <v>44732</v>
      </c>
      <c r="B656" s="3" t="n">
        <v>1285.70288108978</v>
      </c>
      <c r="C656" s="4" t="n">
        <v>1.01071861</v>
      </c>
      <c r="D656" s="5" t="n">
        <v>0.28570288</v>
      </c>
      <c r="E656" s="5" t="n">
        <v>0.01071861</v>
      </c>
    </row>
    <row r="657">
      <c r="A657" s="2" t="n">
        <v>44733</v>
      </c>
      <c r="B657" s="3" t="n">
        <v>1278.927355476725</v>
      </c>
      <c r="C657" s="4" t="n">
        <v>0.9947301</v>
      </c>
      <c r="D657" s="5" t="n">
        <v>0.27892736</v>
      </c>
      <c r="E657" s="5" t="n">
        <v>-0.0052699</v>
      </c>
    </row>
    <row r="658">
      <c r="A658" s="2" t="n">
        <v>44734</v>
      </c>
      <c r="B658" s="3" t="n">
        <v>1268.161204316313</v>
      </c>
      <c r="C658" s="4" t="n">
        <v>0.99158189</v>
      </c>
      <c r="D658" s="5" t="n">
        <v>0.2681612</v>
      </c>
      <c r="E658" s="5" t="n">
        <v>-0.008418109999999999</v>
      </c>
    </row>
    <row r="659">
      <c r="A659" s="2" t="n">
        <v>44735</v>
      </c>
      <c r="B659" s="3" t="n">
        <v>1291.583533042657</v>
      </c>
      <c r="C659" s="4" t="n">
        <v>1.01846952</v>
      </c>
      <c r="D659" s="5" t="n">
        <v>0.29158353</v>
      </c>
      <c r="E659" s="5" t="n">
        <v>0.01846952</v>
      </c>
    </row>
    <row r="660">
      <c r="A660" s="2" t="n">
        <v>44736</v>
      </c>
      <c r="B660" s="3" t="n">
        <v>1304.603418342506</v>
      </c>
      <c r="C660" s="4" t="n">
        <v>1.01008056</v>
      </c>
      <c r="D660" s="5" t="n">
        <v>0.30460342</v>
      </c>
      <c r="E660" s="5" t="n">
        <v>0.01008056</v>
      </c>
    </row>
    <row r="661">
      <c r="A661" s="2" t="n">
        <v>44739</v>
      </c>
      <c r="B661" s="3" t="n">
        <v>1316.356355709738</v>
      </c>
      <c r="C661" s="4" t="n">
        <v>1.00900882</v>
      </c>
      <c r="D661" s="5" t="n">
        <v>0.31635636</v>
      </c>
      <c r="E661" s="5" t="n">
        <v>0.009008820000000001</v>
      </c>
    </row>
    <row r="662">
      <c r="A662" s="2" t="n">
        <v>44740</v>
      </c>
      <c r="B662" s="3" t="n">
        <v>1334.134933014318</v>
      </c>
      <c r="C662" s="4" t="n">
        <v>1.0135059</v>
      </c>
      <c r="D662" s="5" t="n">
        <v>0.33413493</v>
      </c>
      <c r="E662" s="5" t="n">
        <v>0.0135059</v>
      </c>
    </row>
    <row r="663">
      <c r="A663" s="2" t="n">
        <v>44741</v>
      </c>
      <c r="B663" s="3" t="n">
        <v>1302.372021966655</v>
      </c>
      <c r="C663" s="4" t="n">
        <v>0.97619213</v>
      </c>
      <c r="D663" s="5" t="n">
        <v>0.30237202</v>
      </c>
      <c r="E663" s="5" t="n">
        <v>-0.02380787</v>
      </c>
    </row>
    <row r="664">
      <c r="A664" s="2" t="n">
        <v>44742</v>
      </c>
      <c r="B664" s="3" t="n">
        <v>1310.88674791419</v>
      </c>
      <c r="C664" s="4" t="n">
        <v>1.00653786</v>
      </c>
      <c r="D664" s="5" t="n">
        <v>0.31088675</v>
      </c>
      <c r="E664" s="5" t="n">
        <v>0.00653786</v>
      </c>
    </row>
    <row r="665">
      <c r="A665" s="2" t="n">
        <v>44743</v>
      </c>
      <c r="B665" s="3" t="n">
        <v>1310.604317364351</v>
      </c>
      <c r="C665" s="4" t="n">
        <v>0.99978455</v>
      </c>
      <c r="D665" s="5" t="n">
        <v>0.31060432</v>
      </c>
      <c r="E665" s="5" t="n">
        <v>-0.00021545</v>
      </c>
    </row>
    <row r="666">
      <c r="A666" s="2" t="n">
        <v>44746</v>
      </c>
      <c r="B666" s="3" t="n">
        <v>1318.802475020545</v>
      </c>
      <c r="C666" s="4" t="n">
        <v>1.00625525</v>
      </c>
      <c r="D666" s="5" t="n">
        <v>0.31880248</v>
      </c>
      <c r="E666" s="5" t="n">
        <v>0.00625525</v>
      </c>
    </row>
    <row r="667">
      <c r="A667" s="2" t="n">
        <v>44747</v>
      </c>
      <c r="B667" s="3" t="n">
        <v>1308.569833864761</v>
      </c>
      <c r="C667" s="4" t="n">
        <v>0.9922409599999999</v>
      </c>
      <c r="D667" s="5" t="n">
        <v>0.30856983</v>
      </c>
      <c r="E667" s="5" t="n">
        <v>-0.00775904</v>
      </c>
    </row>
    <row r="668">
      <c r="A668" s="2" t="n">
        <v>44748</v>
      </c>
      <c r="B668" s="3" t="n">
        <v>1300.621358236995</v>
      </c>
      <c r="C668" s="4" t="n">
        <v>0.99392583</v>
      </c>
      <c r="D668" s="5" t="n">
        <v>0.30062136</v>
      </c>
      <c r="E668" s="5" t="n">
        <v>-0.00607417</v>
      </c>
    </row>
    <row r="669">
      <c r="A669" s="2" t="n">
        <v>44749</v>
      </c>
      <c r="B669" s="3" t="n">
        <v>1311.845512459163</v>
      </c>
      <c r="C669" s="4" t="n">
        <v>1.00862984</v>
      </c>
      <c r="D669" s="5" t="n">
        <v>0.31184551</v>
      </c>
      <c r="E669" s="5" t="n">
        <v>0.00862984</v>
      </c>
    </row>
    <row r="670">
      <c r="A670" s="2" t="n">
        <v>44750</v>
      </c>
      <c r="B670" s="3" t="n">
        <v>1312.436748113173</v>
      </c>
      <c r="C670" s="4" t="n">
        <v>1.00045069</v>
      </c>
      <c r="D670" s="5" t="n">
        <v>0.31243675</v>
      </c>
      <c r="E670" s="5" t="n">
        <v>0.00045069</v>
      </c>
    </row>
    <row r="671">
      <c r="A671" s="2" t="n">
        <v>44753</v>
      </c>
      <c r="B671" s="3" t="n">
        <v>1305.793272040429</v>
      </c>
      <c r="C671" s="4" t="n">
        <v>0.99493806</v>
      </c>
      <c r="D671" s="5" t="n">
        <v>0.30579327</v>
      </c>
      <c r="E671" s="5" t="n">
        <v>-0.00506194</v>
      </c>
    </row>
    <row r="672">
      <c r="A672" s="2" t="n">
        <v>44754</v>
      </c>
      <c r="B672" s="3" t="n">
        <v>1285.082463632644</v>
      </c>
      <c r="C672" s="4" t="n">
        <v>0.98413929</v>
      </c>
      <c r="D672" s="5" t="n">
        <v>0.28508246</v>
      </c>
      <c r="E672" s="5" t="n">
        <v>-0.01586071</v>
      </c>
    </row>
    <row r="673">
      <c r="A673" s="2" t="n">
        <v>44755</v>
      </c>
      <c r="B673" s="3" t="n">
        <v>1304.448103774129</v>
      </c>
      <c r="C673" s="4" t="n">
        <v>1.01506957</v>
      </c>
      <c r="D673" s="5" t="n">
        <v>0.3044481</v>
      </c>
      <c r="E673" s="5" t="n">
        <v>0.01506957</v>
      </c>
    </row>
    <row r="674">
      <c r="A674" s="2" t="n">
        <v>44756</v>
      </c>
      <c r="B674" s="3" t="n">
        <v>1313.279869660732</v>
      </c>
      <c r="C674" s="4" t="n">
        <v>1.0067705</v>
      </c>
      <c r="D674" s="5" t="n">
        <v>0.31327987</v>
      </c>
      <c r="E674" s="5" t="n">
        <v>0.0067705</v>
      </c>
    </row>
    <row r="675">
      <c r="A675" s="2" t="n">
        <v>44757</v>
      </c>
      <c r="B675" s="3" t="n">
        <v>1292.908587509723</v>
      </c>
      <c r="C675" s="4" t="n">
        <v>0.98448824</v>
      </c>
      <c r="D675" s="5" t="n">
        <v>0.29290859</v>
      </c>
      <c r="E675" s="5" t="n">
        <v>-0.01551176</v>
      </c>
    </row>
    <row r="676">
      <c r="A676" s="2" t="n">
        <v>44760</v>
      </c>
      <c r="B676" s="3" t="n">
        <v>1326.035129324493</v>
      </c>
      <c r="C676" s="4" t="n">
        <v>1.02562172</v>
      </c>
      <c r="D676" s="5" t="n">
        <v>0.32603513</v>
      </c>
      <c r="E676" s="5" t="n">
        <v>0.02562172</v>
      </c>
    </row>
    <row r="677">
      <c r="A677" s="2" t="n">
        <v>44761</v>
      </c>
      <c r="B677" s="3" t="n">
        <v>1339.614007516153</v>
      </c>
      <c r="C677" s="4" t="n">
        <v>1.01024021</v>
      </c>
      <c r="D677" s="5" t="n">
        <v>0.33961401</v>
      </c>
      <c r="E677" s="5" t="n">
        <v>0.01024021</v>
      </c>
    </row>
    <row r="678">
      <c r="A678" s="2" t="n">
        <v>44762</v>
      </c>
      <c r="B678" s="3" t="n">
        <v>1350.446434492151</v>
      </c>
      <c r="C678" s="4" t="n">
        <v>1.00808623</v>
      </c>
      <c r="D678" s="5" t="n">
        <v>0.35044643</v>
      </c>
      <c r="E678" s="5" t="n">
        <v>0.00808623</v>
      </c>
    </row>
    <row r="679">
      <c r="A679" s="2" t="n">
        <v>44763</v>
      </c>
      <c r="B679" s="3" t="n">
        <v>1345.609202886121</v>
      </c>
      <c r="C679" s="4" t="n">
        <v>0.9964180500000001</v>
      </c>
      <c r="D679" s="5" t="n">
        <v>0.3456092</v>
      </c>
      <c r="E679" s="5" t="n">
        <v>-0.00358195</v>
      </c>
    </row>
    <row r="680">
      <c r="A680" s="2" t="n">
        <v>44764</v>
      </c>
      <c r="B680" s="3" t="n">
        <v>1344.055979639322</v>
      </c>
      <c r="C680" s="4" t="n">
        <v>0.99884571</v>
      </c>
      <c r="D680" s="5" t="n">
        <v>0.34405598</v>
      </c>
      <c r="E680" s="5" t="n">
        <v>-0.00115429</v>
      </c>
    </row>
    <row r="681">
      <c r="A681" s="2" t="n">
        <v>44767</v>
      </c>
      <c r="B681" s="3" t="n">
        <v>1329.453698497487</v>
      </c>
      <c r="C681" s="4" t="n">
        <v>0.98913566</v>
      </c>
      <c r="D681" s="5" t="n">
        <v>0.3294537</v>
      </c>
      <c r="E681" s="5" t="n">
        <v>-0.01086434</v>
      </c>
    </row>
    <row r="682">
      <c r="A682" s="2" t="n">
        <v>44768</v>
      </c>
      <c r="B682" s="3" t="n">
        <v>1344.619654275689</v>
      </c>
      <c r="C682" s="4" t="n">
        <v>1.01140766</v>
      </c>
      <c r="D682" s="5" t="n">
        <v>0.34461965</v>
      </c>
      <c r="E682" s="5" t="n">
        <v>0.01140766</v>
      </c>
    </row>
    <row r="683">
      <c r="A683" s="2" t="n">
        <v>44769</v>
      </c>
      <c r="B683" s="3" t="n">
        <v>1359.767157728411</v>
      </c>
      <c r="C683" s="4" t="n">
        <v>1.01126527</v>
      </c>
      <c r="D683" s="5" t="n">
        <v>0.35976716</v>
      </c>
      <c r="E683" s="5" t="n">
        <v>0.01126527</v>
      </c>
    </row>
    <row r="684">
      <c r="A684" s="2" t="n">
        <v>44770</v>
      </c>
      <c r="B684" s="3" t="n">
        <v>1369.758740401071</v>
      </c>
      <c r="C684" s="4" t="n">
        <v>1.00734801</v>
      </c>
      <c r="D684" s="5" t="n">
        <v>0.36975874</v>
      </c>
      <c r="E684" s="5" t="n">
        <v>0.00734801</v>
      </c>
    </row>
    <row r="685">
      <c r="A685" s="2" t="n">
        <v>44771</v>
      </c>
      <c r="B685" s="3" t="n">
        <v>1367.143692897009</v>
      </c>
      <c r="C685" s="4" t="n">
        <v>0.99809087</v>
      </c>
      <c r="D685" s="5" t="n">
        <v>0.36714369</v>
      </c>
      <c r="E685" s="5" t="n">
        <v>-0.00190913</v>
      </c>
    </row>
    <row r="686">
      <c r="A686" s="2" t="n">
        <v>44774</v>
      </c>
      <c r="B686" s="3" t="n">
        <v>1374.31397876602</v>
      </c>
      <c r="C686" s="4" t="n">
        <v>1.00524472</v>
      </c>
      <c r="D686" s="5" t="n">
        <v>0.37431398</v>
      </c>
      <c r="E686" s="5" t="n">
        <v>0.00524472</v>
      </c>
    </row>
    <row r="687">
      <c r="A687" s="2" t="n">
        <v>44775</v>
      </c>
      <c r="B687" s="3" t="n">
        <v>1321.10313896162</v>
      </c>
      <c r="C687" s="4" t="n">
        <v>0.96128189</v>
      </c>
      <c r="D687" s="5" t="n">
        <v>0.32110314</v>
      </c>
      <c r="E687" s="5" t="n">
        <v>-0.03871811</v>
      </c>
    </row>
    <row r="688">
      <c r="A688" s="2" t="n">
        <v>44776</v>
      </c>
      <c r="B688" s="3" t="n">
        <v>1312.136798746456</v>
      </c>
      <c r="C688" s="4" t="n">
        <v>0.99321299</v>
      </c>
      <c r="D688" s="5" t="n">
        <v>0.3121368</v>
      </c>
      <c r="E688" s="5" t="n">
        <v>-0.00678701</v>
      </c>
    </row>
    <row r="689">
      <c r="A689" s="2" t="n">
        <v>44777</v>
      </c>
      <c r="B689" s="3" t="n">
        <v>1330.447615287491</v>
      </c>
      <c r="C689" s="4" t="n">
        <v>1.01395496</v>
      </c>
      <c r="D689" s="5" t="n">
        <v>0.33044762</v>
      </c>
      <c r="E689" s="5" t="n">
        <v>0.01395496</v>
      </c>
    </row>
    <row r="690">
      <c r="A690" s="2" t="n">
        <v>44778</v>
      </c>
      <c r="B690" s="3" t="n">
        <v>1338.703362047777</v>
      </c>
      <c r="C690" s="4" t="n">
        <v>1.00620524</v>
      </c>
      <c r="D690" s="5" t="n">
        <v>0.33870336</v>
      </c>
      <c r="E690" s="5" t="n">
        <v>0.00620524</v>
      </c>
    </row>
    <row r="691">
      <c r="A691" s="2" t="n">
        <v>44781</v>
      </c>
      <c r="B691" s="3" t="n">
        <v>1364.524044915383</v>
      </c>
      <c r="C691" s="4" t="n">
        <v>1.01928783</v>
      </c>
      <c r="D691" s="5" t="n">
        <v>0.36452404</v>
      </c>
      <c r="E691" s="5" t="n">
        <v>0.01928783</v>
      </c>
    </row>
    <row r="692">
      <c r="A692" s="2" t="n">
        <v>44782</v>
      </c>
      <c r="B692" s="3" t="n">
        <v>1369.772236361216</v>
      </c>
      <c r="C692" s="4" t="n">
        <v>1.00384617</v>
      </c>
      <c r="D692" s="5" t="n">
        <v>0.36977224</v>
      </c>
      <c r="E692" s="5" t="n">
        <v>0.00384617</v>
      </c>
    </row>
    <row r="693">
      <c r="A693" s="2" t="n">
        <v>44783</v>
      </c>
      <c r="B693" s="3" t="n">
        <v>1380.686910285879</v>
      </c>
      <c r="C693" s="4" t="n">
        <v>1.00796824</v>
      </c>
      <c r="D693" s="5" t="n">
        <v>0.38068691</v>
      </c>
      <c r="E693" s="5" t="n">
        <v>0.00796824</v>
      </c>
    </row>
    <row r="694">
      <c r="A694" s="2" t="n">
        <v>44784</v>
      </c>
      <c r="B694" s="3" t="n">
        <v>1392.323974681747</v>
      </c>
      <c r="C694" s="4" t="n">
        <v>1.00842846</v>
      </c>
      <c r="D694" s="5" t="n">
        <v>0.39232397</v>
      </c>
      <c r="E694" s="5" t="n">
        <v>0.00842846</v>
      </c>
    </row>
    <row r="695">
      <c r="A695" s="2" t="n">
        <v>44785</v>
      </c>
      <c r="B695" s="3" t="n">
        <v>1384.64295493386</v>
      </c>
      <c r="C695" s="4" t="n">
        <v>0.99448331</v>
      </c>
      <c r="D695" s="5" t="n">
        <v>0.38464295</v>
      </c>
      <c r="E695" s="5" t="n">
        <v>-0.00551669</v>
      </c>
    </row>
    <row r="696">
      <c r="A696" s="2" t="n">
        <v>44788</v>
      </c>
      <c r="B696" s="3" t="n">
        <v>1396.45474858593</v>
      </c>
      <c r="C696" s="4" t="n">
        <v>1.00853057</v>
      </c>
      <c r="D696" s="5" t="n">
        <v>0.39645475</v>
      </c>
      <c r="E696" s="5" t="n">
        <v>0.008530569999999999</v>
      </c>
    </row>
    <row r="697">
      <c r="A697" s="2" t="n">
        <v>44789</v>
      </c>
      <c r="B697" s="3" t="n">
        <v>1411.966121067703</v>
      </c>
      <c r="C697" s="4" t="n">
        <v>1.01110768</v>
      </c>
      <c r="D697" s="5" t="n">
        <v>0.41196612</v>
      </c>
      <c r="E697" s="5" t="n">
        <v>0.01110768</v>
      </c>
    </row>
    <row r="698">
      <c r="A698" s="2" t="n">
        <v>44790</v>
      </c>
      <c r="B698" s="3" t="n">
        <v>1412.563495694204</v>
      </c>
      <c r="C698" s="4" t="n">
        <v>1.00042308</v>
      </c>
      <c r="D698" s="5" t="n">
        <v>0.4125635</v>
      </c>
      <c r="E698" s="5" t="n">
        <v>0.00042308</v>
      </c>
    </row>
    <row r="699">
      <c r="A699" s="2" t="n">
        <v>44791</v>
      </c>
      <c r="B699" s="3" t="n">
        <v>1421.85738658595</v>
      </c>
      <c r="C699" s="4" t="n">
        <v>1.00657945</v>
      </c>
      <c r="D699" s="5" t="n">
        <v>0.42185739</v>
      </c>
      <c r="E699" s="5" t="n">
        <v>0.00657945</v>
      </c>
    </row>
    <row r="700">
      <c r="A700" s="2" t="n">
        <v>44792</v>
      </c>
      <c r="B700" s="3" t="n">
        <v>1399.530173322999</v>
      </c>
      <c r="C700" s="4" t="n">
        <v>0.98429715</v>
      </c>
      <c r="D700" s="5" t="n">
        <v>0.39953017</v>
      </c>
      <c r="E700" s="5" t="n">
        <v>-0.01570285</v>
      </c>
    </row>
    <row r="701">
      <c r="A701" s="2" t="n">
        <v>44795</v>
      </c>
      <c r="B701" s="3" t="n">
        <v>1405.148405264881</v>
      </c>
      <c r="C701" s="4" t="n">
        <v>1.00401437</v>
      </c>
      <c r="D701" s="5" t="n">
        <v>0.40514841</v>
      </c>
      <c r="E701" s="5" t="n">
        <v>0.00401437</v>
      </c>
    </row>
    <row r="702">
      <c r="A702" s="2" t="n">
        <v>44796</v>
      </c>
      <c r="B702" s="3" t="n">
        <v>1416.345653516368</v>
      </c>
      <c r="C702" s="4" t="n">
        <v>1.00796873</v>
      </c>
      <c r="D702" s="5" t="n">
        <v>0.41634565</v>
      </c>
      <c r="E702" s="5" t="n">
        <v>0.00796873</v>
      </c>
    </row>
    <row r="703">
      <c r="A703" s="2" t="n">
        <v>44797</v>
      </c>
      <c r="B703" s="3" t="n">
        <v>1372.954927142393</v>
      </c>
      <c r="C703" s="4" t="n">
        <v>0.96936431</v>
      </c>
      <c r="D703" s="5" t="n">
        <v>0.37295493</v>
      </c>
      <c r="E703" s="5" t="n">
        <v>-0.03063569</v>
      </c>
    </row>
    <row r="704">
      <c r="A704" s="2" t="n">
        <v>44798</v>
      </c>
      <c r="B704" s="3" t="n">
        <v>1360.410938180105</v>
      </c>
      <c r="C704" s="4" t="n">
        <v>0.9908635099999999</v>
      </c>
      <c r="D704" s="5" t="n">
        <v>0.36041094</v>
      </c>
      <c r="E704" s="5" t="n">
        <v>-0.009136490000000001</v>
      </c>
    </row>
    <row r="705">
      <c r="A705" s="2" t="n">
        <v>44799</v>
      </c>
      <c r="B705" s="3" t="n">
        <v>1352.175622545285</v>
      </c>
      <c r="C705" s="4" t="n">
        <v>0.99394645</v>
      </c>
      <c r="D705" s="5" t="n">
        <v>0.35217562</v>
      </c>
      <c r="E705" s="5" t="n">
        <v>-0.00605355</v>
      </c>
    </row>
    <row r="706">
      <c r="A706" s="2" t="n">
        <v>44802</v>
      </c>
      <c r="B706" s="3" t="n">
        <v>1365.905843686466</v>
      </c>
      <c r="C706" s="4" t="n">
        <v>1.01015417</v>
      </c>
      <c r="D706" s="5" t="n">
        <v>0.36590584</v>
      </c>
      <c r="E706" s="5" t="n">
        <v>0.01015417</v>
      </c>
    </row>
    <row r="707">
      <c r="A707" s="2" t="n">
        <v>44803</v>
      </c>
      <c r="B707" s="3" t="n">
        <v>1354.737091124752</v>
      </c>
      <c r="C707" s="4" t="n">
        <v>0.99182319</v>
      </c>
      <c r="D707" s="5" t="n">
        <v>0.35473709</v>
      </c>
      <c r="E707" s="5" t="n">
        <v>-0.00817681</v>
      </c>
    </row>
    <row r="708">
      <c r="A708" s="2" t="n">
        <v>44804</v>
      </c>
      <c r="B708" s="3" t="n">
        <v>1310.114964027848</v>
      </c>
      <c r="C708" s="4" t="n">
        <v>0.96706215</v>
      </c>
      <c r="D708" s="5" t="n">
        <v>0.31011496</v>
      </c>
      <c r="E708" s="5" t="n">
        <v>-0.03293785</v>
      </c>
    </row>
    <row r="709">
      <c r="A709" s="2" t="n">
        <v>44805</v>
      </c>
      <c r="B709" s="3" t="n">
        <v>1305.901555696637</v>
      </c>
      <c r="C709" s="4" t="n">
        <v>0.99678394</v>
      </c>
      <c r="D709" s="5" t="n">
        <v>0.30590156</v>
      </c>
      <c r="E709" s="5" t="n">
        <v>-0.00321606</v>
      </c>
    </row>
    <row r="710">
      <c r="A710" s="2" t="n">
        <v>44806</v>
      </c>
      <c r="B710" s="3" t="n">
        <v>1327.286908159616</v>
      </c>
      <c r="C710" s="4" t="n">
        <v>1.01637593</v>
      </c>
      <c r="D710" s="5" t="n">
        <v>0.32728691</v>
      </c>
      <c r="E710" s="5" t="n">
        <v>0.01637593</v>
      </c>
    </row>
    <row r="711">
      <c r="A711" s="2" t="n">
        <v>44809</v>
      </c>
      <c r="B711" s="3" t="n">
        <v>1333.17420869658</v>
      </c>
      <c r="C711" s="4" t="n">
        <v>1.00443559</v>
      </c>
      <c r="D711" s="5" t="n">
        <v>0.33317421</v>
      </c>
      <c r="E711" s="5" t="n">
        <v>0.00443559</v>
      </c>
    </row>
    <row r="712">
      <c r="A712" s="2" t="n">
        <v>44810</v>
      </c>
      <c r="B712" s="3" t="n">
        <v>1354.137559892066</v>
      </c>
      <c r="C712" s="4" t="n">
        <v>1.01572439</v>
      </c>
      <c r="D712" s="5" t="n">
        <v>0.35413756</v>
      </c>
      <c r="E712" s="5" t="n">
        <v>0.01572439</v>
      </c>
    </row>
    <row r="713">
      <c r="A713" s="2" t="n">
        <v>44811</v>
      </c>
      <c r="B713" s="3" t="n">
        <v>1363.087705011422</v>
      </c>
      <c r="C713" s="4" t="n">
        <v>1.00660948</v>
      </c>
      <c r="D713" s="5" t="n">
        <v>0.36308771</v>
      </c>
      <c r="E713" s="5" t="n">
        <v>0.00660948</v>
      </c>
    </row>
    <row r="714">
      <c r="A714" s="2" t="n">
        <v>44812</v>
      </c>
      <c r="B714" s="3" t="n">
        <v>1348.102218661821</v>
      </c>
      <c r="C714" s="4" t="n">
        <v>0.98900622</v>
      </c>
      <c r="D714" s="5" t="n">
        <v>0.34810222</v>
      </c>
      <c r="E714" s="5" t="n">
        <v>-0.01099378</v>
      </c>
    </row>
    <row r="715">
      <c r="A715" s="2" t="n">
        <v>44813</v>
      </c>
      <c r="B715" s="3" t="n">
        <v>1340.764983602443</v>
      </c>
      <c r="C715" s="4" t="n">
        <v>0.9945573599999999</v>
      </c>
      <c r="D715" s="5" t="n">
        <v>0.34076498</v>
      </c>
      <c r="E715" s="5" t="n">
        <v>-0.00544264</v>
      </c>
    </row>
    <row r="716">
      <c r="A716" s="2" t="n">
        <v>44817</v>
      </c>
      <c r="B716" s="3" t="n">
        <v>1342.934408384161</v>
      </c>
      <c r="C716" s="4" t="n">
        <v>1.00161805</v>
      </c>
      <c r="D716" s="5" t="n">
        <v>0.34293441</v>
      </c>
      <c r="E716" s="5" t="n">
        <v>0.00161805</v>
      </c>
    </row>
    <row r="717">
      <c r="A717" s="2" t="n">
        <v>44818</v>
      </c>
      <c r="B717" s="3" t="n">
        <v>1330.30158555662</v>
      </c>
      <c r="C717" s="4" t="n">
        <v>0.99059312</v>
      </c>
      <c r="D717" s="5" t="n">
        <v>0.33030159</v>
      </c>
      <c r="E717" s="5" t="n">
        <v>-0.009406879999999999</v>
      </c>
    </row>
    <row r="718">
      <c r="A718" s="2" t="n">
        <v>44819</v>
      </c>
      <c r="B718" s="3" t="n">
        <v>1294.461052541093</v>
      </c>
      <c r="C718" s="4" t="n">
        <v>0.97305834</v>
      </c>
      <c r="D718" s="5" t="n">
        <v>0.29446105</v>
      </c>
      <c r="E718" s="5" t="n">
        <v>-0.02694166</v>
      </c>
    </row>
    <row r="719">
      <c r="A719" s="2" t="n">
        <v>44820</v>
      </c>
      <c r="B719" s="3" t="n">
        <v>1267.501765261188</v>
      </c>
      <c r="C719" s="4" t="n">
        <v>0.9791733500000001</v>
      </c>
      <c r="D719" s="5" t="n">
        <v>0.26750177</v>
      </c>
      <c r="E719" s="5" t="n">
        <v>-0.02082665</v>
      </c>
    </row>
    <row r="720">
      <c r="A720" s="2" t="n">
        <v>44823</v>
      </c>
      <c r="B720" s="3" t="n">
        <v>1253.573593963298</v>
      </c>
      <c r="C720" s="4" t="n">
        <v>0.98901132</v>
      </c>
      <c r="D720" s="5" t="n">
        <v>0.25357359</v>
      </c>
      <c r="E720" s="5" t="n">
        <v>-0.01098868</v>
      </c>
    </row>
    <row r="721">
      <c r="A721" s="2" t="n">
        <v>44824</v>
      </c>
      <c r="B721" s="3" t="n">
        <v>1276.738342798938</v>
      </c>
      <c r="C721" s="4" t="n">
        <v>1.01847897</v>
      </c>
      <c r="D721" s="5" t="n">
        <v>0.27673834</v>
      </c>
      <c r="E721" s="5" t="n">
        <v>0.01847897</v>
      </c>
    </row>
    <row r="722">
      <c r="A722" s="2" t="n">
        <v>44825</v>
      </c>
      <c r="B722" s="3" t="n">
        <v>1279.930699351272</v>
      </c>
      <c r="C722" s="4" t="n">
        <v>1.0025004</v>
      </c>
      <c r="D722" s="5" t="n">
        <v>0.2799307</v>
      </c>
      <c r="E722" s="5" t="n">
        <v>0.0025004</v>
      </c>
    </row>
    <row r="723">
      <c r="A723" s="2" t="n">
        <v>44826</v>
      </c>
      <c r="B723" s="3" t="n">
        <v>1277.185107208787</v>
      </c>
      <c r="C723" s="4" t="n">
        <v>0.99785489</v>
      </c>
      <c r="D723" s="5" t="n">
        <v>0.27718511</v>
      </c>
      <c r="E723" s="5" t="n">
        <v>-0.00214511</v>
      </c>
    </row>
    <row r="724">
      <c r="A724" s="2" t="n">
        <v>44827</v>
      </c>
      <c r="B724" s="3" t="n">
        <v>1248.373305496732</v>
      </c>
      <c r="C724" s="4" t="n">
        <v>0.97744117</v>
      </c>
      <c r="D724" s="5" t="n">
        <v>0.24837331</v>
      </c>
      <c r="E724" s="5" t="n">
        <v>-0.02255883</v>
      </c>
    </row>
    <row r="725">
      <c r="A725" s="2" t="n">
        <v>44830</v>
      </c>
      <c r="B725" s="3" t="n">
        <v>1230.216964141588</v>
      </c>
      <c r="C725" s="4" t="n">
        <v>0.985456</v>
      </c>
      <c r="D725" s="5" t="n">
        <v>0.23021696</v>
      </c>
      <c r="E725" s="5" t="n">
        <v>-0.014544</v>
      </c>
    </row>
    <row r="726">
      <c r="A726" s="2" t="n">
        <v>44831</v>
      </c>
      <c r="B726" s="3" t="n">
        <v>1257.464769032628</v>
      </c>
      <c r="C726" s="4" t="n">
        <v>1.02214878</v>
      </c>
      <c r="D726" s="5" t="n">
        <v>0.25746477</v>
      </c>
      <c r="E726" s="5" t="n">
        <v>0.02214878</v>
      </c>
    </row>
    <row r="727">
      <c r="A727" s="2" t="n">
        <v>44832</v>
      </c>
      <c r="B727" s="3" t="n">
        <v>1220.775493122904</v>
      </c>
      <c r="C727" s="4" t="n">
        <v>0.97082282</v>
      </c>
      <c r="D727" s="5" t="n">
        <v>0.22077549</v>
      </c>
      <c r="E727" s="5" t="n">
        <v>-0.02917718</v>
      </c>
    </row>
    <row r="728">
      <c r="A728" s="2" t="n">
        <v>44833</v>
      </c>
      <c r="B728" s="3" t="n">
        <v>1214.977053685669</v>
      </c>
      <c r="C728" s="4" t="n">
        <v>0.9952502</v>
      </c>
      <c r="D728" s="5" t="n">
        <v>0.21497705</v>
      </c>
      <c r="E728" s="5" t="n">
        <v>-0.0047498</v>
      </c>
    </row>
    <row r="729">
      <c r="A729" s="2" t="n">
        <v>44834</v>
      </c>
      <c r="B729" s="3" t="n">
        <v>1198.99483242929</v>
      </c>
      <c r="C729" s="4" t="n">
        <v>0.98684566</v>
      </c>
      <c r="D729" s="5" t="n">
        <v>0.19899483</v>
      </c>
      <c r="E729" s="5" t="n">
        <v>-0.01315434</v>
      </c>
    </row>
    <row r="730">
      <c r="A730" s="2" t="n">
        <v>44844</v>
      </c>
      <c r="B730" s="3" t="n">
        <v>1179.779789204571</v>
      </c>
      <c r="C730" s="4" t="n">
        <v>0.98397404</v>
      </c>
      <c r="D730" s="5" t="n">
        <v>0.17977979</v>
      </c>
      <c r="E730" s="5" t="n">
        <v>-0.01602596</v>
      </c>
    </row>
    <row r="731">
      <c r="A731" s="2" t="n">
        <v>44845</v>
      </c>
      <c r="B731" s="3" t="n">
        <v>1192.078745753273</v>
      </c>
      <c r="C731" s="4" t="n">
        <v>1.01042479</v>
      </c>
      <c r="D731" s="5" t="n">
        <v>0.19207875</v>
      </c>
      <c r="E731" s="5" t="n">
        <v>0.01042479</v>
      </c>
    </row>
    <row r="732">
      <c r="A732" s="2" t="n">
        <v>44846</v>
      </c>
      <c r="B732" s="3" t="n">
        <v>1226.180172888626</v>
      </c>
      <c r="C732" s="4" t="n">
        <v>1.02860669</v>
      </c>
      <c r="D732" s="5" t="n">
        <v>0.22618017</v>
      </c>
      <c r="E732" s="5" t="n">
        <v>0.02860669</v>
      </c>
    </row>
    <row r="733">
      <c r="A733" s="2" t="n">
        <v>44847</v>
      </c>
      <c r="B733" s="3" t="n">
        <v>1236.730288405168</v>
      </c>
      <c r="C733" s="4" t="n">
        <v>1.00860405</v>
      </c>
      <c r="D733" s="5" t="n">
        <v>0.23673029</v>
      </c>
      <c r="E733" s="5" t="n">
        <v>0.00860405</v>
      </c>
    </row>
    <row r="734">
      <c r="A734" s="2" t="n">
        <v>44848</v>
      </c>
      <c r="B734" s="3" t="n">
        <v>1261.448655904585</v>
      </c>
      <c r="C734" s="4" t="n">
        <v>1.01998687</v>
      </c>
      <c r="D734" s="5" t="n">
        <v>0.26144866</v>
      </c>
      <c r="E734" s="5" t="n">
        <v>0.01998687</v>
      </c>
    </row>
    <row r="735">
      <c r="A735" s="2" t="n">
        <v>44851</v>
      </c>
      <c r="B735" s="3" t="n">
        <v>1279.935602234923</v>
      </c>
      <c r="C735" s="4" t="n">
        <v>1.01465533</v>
      </c>
      <c r="D735" s="5" t="n">
        <v>0.2799356</v>
      </c>
      <c r="E735" s="5" t="n">
        <v>0.01465533</v>
      </c>
    </row>
    <row r="736">
      <c r="A736" s="2" t="n">
        <v>44852</v>
      </c>
      <c r="B736" s="3" t="n">
        <v>1285.688221601744</v>
      </c>
      <c r="C736" s="4" t="n">
        <v>1.00449446</v>
      </c>
      <c r="D736" s="5" t="n">
        <v>0.28568822</v>
      </c>
      <c r="E736" s="5" t="n">
        <v>0.00449446</v>
      </c>
    </row>
    <row r="737">
      <c r="A737" s="2" t="n">
        <v>44853</v>
      </c>
      <c r="B737" s="3" t="n">
        <v>1277.189218183492</v>
      </c>
      <c r="C737" s="4" t="n">
        <v>0.99338953</v>
      </c>
      <c r="D737" s="5" t="n">
        <v>0.27718922</v>
      </c>
      <c r="E737" s="5" t="n">
        <v>-0.00661047</v>
      </c>
    </row>
    <row r="738">
      <c r="A738" s="2" t="n">
        <v>44854</v>
      </c>
      <c r="B738" s="3" t="n">
        <v>1270.370866910867</v>
      </c>
      <c r="C738" s="4" t="n">
        <v>0.99466144</v>
      </c>
      <c r="D738" s="5" t="n">
        <v>0.27037087</v>
      </c>
      <c r="E738" s="5" t="n">
        <v>-0.00533856</v>
      </c>
    </row>
    <row r="739">
      <c r="A739" s="2" t="n">
        <v>44855</v>
      </c>
      <c r="B739" s="3" t="n">
        <v>1273.259817299309</v>
      </c>
      <c r="C739" s="4" t="n">
        <v>1.0022741</v>
      </c>
      <c r="D739" s="5" t="n">
        <v>0.27325982</v>
      </c>
      <c r="E739" s="5" t="n">
        <v>0.0022741</v>
      </c>
    </row>
    <row r="740">
      <c r="A740" s="2" t="n">
        <v>44858</v>
      </c>
      <c r="B740" s="3" t="n">
        <v>1260.628545142576</v>
      </c>
      <c r="C740" s="4" t="n">
        <v>0.99007958</v>
      </c>
      <c r="D740" s="5" t="n">
        <v>0.26062855</v>
      </c>
      <c r="E740" s="5" t="n">
        <v>-0.009920419999999999</v>
      </c>
    </row>
    <row r="741">
      <c r="A741" s="2" t="n">
        <v>44859</v>
      </c>
      <c r="B741" s="3" t="n">
        <v>1261.065302508326</v>
      </c>
      <c r="C741" s="4" t="n">
        <v>1.00034646</v>
      </c>
      <c r="D741" s="5" t="n">
        <v>0.2610653</v>
      </c>
      <c r="E741" s="5" t="n">
        <v>0.00034646</v>
      </c>
    </row>
    <row r="742">
      <c r="A742" s="2" t="n">
        <v>44860</v>
      </c>
      <c r="B742" s="3" t="n">
        <v>1282.508583018708</v>
      </c>
      <c r="C742" s="4" t="n">
        <v>1.0170041</v>
      </c>
      <c r="D742" s="5" t="n">
        <v>0.28250858</v>
      </c>
      <c r="E742" s="5" t="n">
        <v>0.0170041</v>
      </c>
    </row>
    <row r="743">
      <c r="A743" s="2" t="n">
        <v>44861</v>
      </c>
      <c r="B743" s="3" t="n">
        <v>1275.352377501751</v>
      </c>
      <c r="C743" s="4" t="n">
        <v>0.9944201499999999</v>
      </c>
      <c r="D743" s="5" t="n">
        <v>0.27535238</v>
      </c>
      <c r="E743" s="5" t="n">
        <v>-0.00557985</v>
      </c>
    </row>
    <row r="744">
      <c r="A744" s="2" t="n">
        <v>44862</v>
      </c>
      <c r="B744" s="3" t="n">
        <v>1230.731611116574</v>
      </c>
      <c r="C744" s="4" t="n">
        <v>0.96501299</v>
      </c>
      <c r="D744" s="5" t="n">
        <v>0.23073161</v>
      </c>
      <c r="E744" s="5" t="n">
        <v>-0.03498701</v>
      </c>
    </row>
    <row r="745">
      <c r="A745" s="2" t="n">
        <v>44865</v>
      </c>
      <c r="B745" s="3" t="n">
        <v>1244.828287917142</v>
      </c>
      <c r="C745" s="4" t="n">
        <v>1.0114539</v>
      </c>
      <c r="D745" s="5" t="n">
        <v>0.24482829</v>
      </c>
      <c r="E745" s="5" t="n">
        <v>0.0114539</v>
      </c>
    </row>
    <row r="746">
      <c r="A746" s="2" t="n">
        <v>44866</v>
      </c>
      <c r="B746" s="3" t="n">
        <v>1274.295813355585</v>
      </c>
      <c r="C746" s="4" t="n">
        <v>1.02367196</v>
      </c>
      <c r="D746" s="5" t="n">
        <v>0.27429581</v>
      </c>
      <c r="E746" s="5" t="n">
        <v>0.02367196</v>
      </c>
    </row>
    <row r="747">
      <c r="A747" s="2" t="n">
        <v>44867</v>
      </c>
      <c r="B747" s="3" t="n">
        <v>1290.642441820436</v>
      </c>
      <c r="C747" s="4" t="n">
        <v>1.01282797</v>
      </c>
      <c r="D747" s="5" t="n">
        <v>0.29064244</v>
      </c>
      <c r="E747" s="5" t="n">
        <v>0.01282797</v>
      </c>
    </row>
    <row r="748">
      <c r="A748" s="2" t="n">
        <v>44868</v>
      </c>
      <c r="B748" s="3" t="n">
        <v>1297.760205822832</v>
      </c>
      <c r="C748" s="4" t="n">
        <v>1.0055149</v>
      </c>
      <c r="D748" s="5" t="n">
        <v>0.29776021</v>
      </c>
      <c r="E748" s="5" t="n">
        <v>0.0055149</v>
      </c>
    </row>
    <row r="749">
      <c r="A749" s="2" t="n">
        <v>44869</v>
      </c>
      <c r="B749" s="3" t="n">
        <v>1318.137519776243</v>
      </c>
      <c r="C749" s="4" t="n">
        <v>1.01570191</v>
      </c>
      <c r="D749" s="5" t="n">
        <v>0.31813752</v>
      </c>
      <c r="E749" s="5" t="n">
        <v>0.01570191</v>
      </c>
    </row>
    <row r="750">
      <c r="A750" s="2" t="n">
        <v>44872</v>
      </c>
      <c r="B750" s="3" t="n">
        <v>1327.125925886348</v>
      </c>
      <c r="C750" s="4" t="n">
        <v>1.00681902</v>
      </c>
      <c r="D750" s="5" t="n">
        <v>0.32712593</v>
      </c>
      <c r="E750" s="5" t="n">
        <v>0.00681902</v>
      </c>
    </row>
    <row r="751">
      <c r="A751" s="2" t="n">
        <v>44873</v>
      </c>
      <c r="B751" s="3" t="n">
        <v>1326.393710699259</v>
      </c>
      <c r="C751" s="4" t="n">
        <v>0.99944827</v>
      </c>
      <c r="D751" s="5" t="n">
        <v>0.32639371</v>
      </c>
      <c r="E751" s="5" t="n">
        <v>-0.00055173</v>
      </c>
    </row>
    <row r="752">
      <c r="A752" s="2" t="n">
        <v>44874</v>
      </c>
      <c r="B752" s="3" t="n">
        <v>1328.898366471046</v>
      </c>
      <c r="C752" s="4" t="n">
        <v>1.00188832</v>
      </c>
      <c r="D752" s="5" t="n">
        <v>0.32889837</v>
      </c>
      <c r="E752" s="5" t="n">
        <v>0.00188832</v>
      </c>
    </row>
    <row r="753">
      <c r="A753" s="2" t="n">
        <v>44875</v>
      </c>
      <c r="B753" s="3" t="n">
        <v>1323.695862256149</v>
      </c>
      <c r="C753" s="4" t="n">
        <v>0.9960850999999999</v>
      </c>
      <c r="D753" s="5" t="n">
        <v>0.32369586</v>
      </c>
      <c r="E753" s="5" t="n">
        <v>-0.0039149</v>
      </c>
    </row>
    <row r="754">
      <c r="A754" s="2" t="n">
        <v>44876</v>
      </c>
      <c r="B754" s="3" t="n">
        <v>1323.065902158342</v>
      </c>
      <c r="C754" s="4" t="n">
        <v>0.99952409</v>
      </c>
      <c r="D754" s="5" t="n">
        <v>0.3230659</v>
      </c>
      <c r="E754" s="5" t="n">
        <v>-0.00047591</v>
      </c>
    </row>
    <row r="755">
      <c r="A755" s="2" t="n">
        <v>44879</v>
      </c>
      <c r="B755" s="3" t="n">
        <v>1318.752641164011</v>
      </c>
      <c r="C755" s="4" t="n">
        <v>0.99673995</v>
      </c>
      <c r="D755" s="5" t="n">
        <v>0.31875264</v>
      </c>
      <c r="E755" s="5" t="n">
        <v>-0.00326005</v>
      </c>
    </row>
    <row r="756">
      <c r="A756" s="2" t="n">
        <v>44880</v>
      </c>
      <c r="B756" s="3" t="n">
        <v>1343.203185507935</v>
      </c>
      <c r="C756" s="4" t="n">
        <v>1.01854066</v>
      </c>
      <c r="D756" s="5" t="n">
        <v>0.34320319</v>
      </c>
      <c r="E756" s="5" t="n">
        <v>0.01854066</v>
      </c>
    </row>
    <row r="757">
      <c r="A757" s="2" t="n">
        <v>44881</v>
      </c>
      <c r="B757" s="3" t="n">
        <v>1338.476265449686</v>
      </c>
      <c r="C757" s="4" t="n">
        <v>0.99648086</v>
      </c>
      <c r="D757" s="5" t="n">
        <v>0.33847627</v>
      </c>
      <c r="E757" s="5" t="n">
        <v>-0.00351914</v>
      </c>
    </row>
    <row r="758">
      <c r="A758" s="2" t="n">
        <v>44882</v>
      </c>
      <c r="B758" s="3" t="n">
        <v>1344.530180213553</v>
      </c>
      <c r="C758" s="4" t="n">
        <v>1.00452299</v>
      </c>
      <c r="D758" s="5" t="n">
        <v>0.34453018</v>
      </c>
      <c r="E758" s="5" t="n">
        <v>0.00452299</v>
      </c>
    </row>
    <row r="759">
      <c r="A759" s="2" t="n">
        <v>44883</v>
      </c>
      <c r="B759" s="3" t="n">
        <v>1336.110705334452</v>
      </c>
      <c r="C759" s="4" t="n">
        <v>0.99373798</v>
      </c>
      <c r="D759" s="5" t="n">
        <v>0.33611071</v>
      </c>
      <c r="E759" s="5" t="n">
        <v>-0.00626202</v>
      </c>
    </row>
    <row r="760">
      <c r="A760" s="2" t="n">
        <v>44886</v>
      </c>
      <c r="B760" s="3" t="n">
        <v>1344.902220247803</v>
      </c>
      <c r="C760" s="4" t="n">
        <v>1.00657993</v>
      </c>
      <c r="D760" s="5" t="n">
        <v>0.34490222</v>
      </c>
      <c r="E760" s="5" t="n">
        <v>0.00657993</v>
      </c>
    </row>
    <row r="761">
      <c r="A761" s="2" t="n">
        <v>44887</v>
      </c>
      <c r="B761" s="3" t="n">
        <v>1326.084751852762</v>
      </c>
      <c r="C761" s="4" t="n">
        <v>0.9860082999999999</v>
      </c>
      <c r="D761" s="5" t="n">
        <v>0.32608475</v>
      </c>
      <c r="E761" s="5" t="n">
        <v>-0.0139917</v>
      </c>
    </row>
    <row r="762">
      <c r="A762" s="2" t="n">
        <v>44888</v>
      </c>
      <c r="B762" s="3" t="n">
        <v>1318.201350394015</v>
      </c>
      <c r="C762" s="4" t="n">
        <v>0.99405513</v>
      </c>
      <c r="D762" s="5" t="n">
        <v>0.31820135</v>
      </c>
      <c r="E762" s="5" t="n">
        <v>-0.00594487</v>
      </c>
    </row>
    <row r="763">
      <c r="A763" s="2" t="n">
        <v>44889</v>
      </c>
      <c r="B763" s="3" t="n">
        <v>1324.656595588908</v>
      </c>
      <c r="C763" s="4" t="n">
        <v>1.00489701</v>
      </c>
      <c r="D763" s="5" t="n">
        <v>0.3246566</v>
      </c>
      <c r="E763" s="5" t="n">
        <v>0.00489701</v>
      </c>
    </row>
    <row r="764">
      <c r="A764" s="2" t="n">
        <v>44890</v>
      </c>
      <c r="B764" s="3" t="n">
        <v>1308.584113224517</v>
      </c>
      <c r="C764" s="4" t="n">
        <v>0.98786668</v>
      </c>
      <c r="D764" s="5" t="n">
        <v>0.30858411</v>
      </c>
      <c r="E764" s="5" t="n">
        <v>-0.01213332</v>
      </c>
    </row>
    <row r="765">
      <c r="A765" s="2" t="n">
        <v>44893</v>
      </c>
      <c r="B765" s="3" t="n">
        <v>1304.916714646318</v>
      </c>
      <c r="C765" s="4" t="n">
        <v>0.9971974300000001</v>
      </c>
      <c r="D765" s="5" t="n">
        <v>0.30491671</v>
      </c>
      <c r="E765" s="5" t="n">
        <v>-0.00280257</v>
      </c>
    </row>
    <row r="766">
      <c r="A766" s="2" t="n">
        <v>44894</v>
      </c>
      <c r="B766" s="3" t="n">
        <v>1325.290170525416</v>
      </c>
      <c r="C766" s="4" t="n">
        <v>1.01561284</v>
      </c>
      <c r="D766" s="5" t="n">
        <v>0.32529017</v>
      </c>
      <c r="E766" s="5" t="n">
        <v>0.01561284</v>
      </c>
    </row>
    <row r="767">
      <c r="A767" s="2" t="n">
        <v>44895</v>
      </c>
      <c r="B767" s="3" t="n">
        <v>1326.139071891245</v>
      </c>
      <c r="C767" s="4" t="n">
        <v>1.00064054</v>
      </c>
      <c r="D767" s="5" t="n">
        <v>0.32613907</v>
      </c>
      <c r="E767" s="5" t="n">
        <v>0.00064054</v>
      </c>
    </row>
    <row r="768">
      <c r="A768" s="2" t="n">
        <v>44896</v>
      </c>
      <c r="B768" s="3" t="n">
        <v>1334.128582389324</v>
      </c>
      <c r="C768" s="4" t="n">
        <v>1.00602464</v>
      </c>
      <c r="D768" s="5" t="n">
        <v>0.33412858</v>
      </c>
      <c r="E768" s="5" t="n">
        <v>0.00602464</v>
      </c>
    </row>
    <row r="769">
      <c r="A769" s="2" t="n">
        <v>44897</v>
      </c>
      <c r="B769" s="3" t="n">
        <v>1343.5519461466</v>
      </c>
      <c r="C769" s="4" t="n">
        <v>1.00706331</v>
      </c>
      <c r="D769" s="5" t="n">
        <v>0.34355195</v>
      </c>
      <c r="E769" s="5" t="n">
        <v>0.00706331</v>
      </c>
    </row>
    <row r="770">
      <c r="A770" s="2" t="n">
        <v>44900</v>
      </c>
      <c r="B770" s="3" t="n">
        <v>1349.205518687349</v>
      </c>
      <c r="C770" s="4" t="n">
        <v>1.00420793</v>
      </c>
      <c r="D770" s="5" t="n">
        <v>0.34920552</v>
      </c>
      <c r="E770" s="5" t="n">
        <v>0.00420793</v>
      </c>
    </row>
    <row r="771">
      <c r="A771" s="2" t="n">
        <v>44901</v>
      </c>
      <c r="B771" s="3" t="n">
        <v>1340.370529681383</v>
      </c>
      <c r="C771" s="4" t="n">
        <v>0.99345171</v>
      </c>
      <c r="D771" s="5" t="n">
        <v>0.34037053</v>
      </c>
      <c r="E771" s="5" t="n">
        <v>-0.00654829</v>
      </c>
    </row>
    <row r="772">
      <c r="A772" s="2" t="n">
        <v>44902</v>
      </c>
      <c r="B772" s="3" t="n">
        <v>1341.46143044808</v>
      </c>
      <c r="C772" s="4" t="n">
        <v>1.00081388</v>
      </c>
      <c r="D772" s="5" t="n">
        <v>0.34146143</v>
      </c>
      <c r="E772" s="5" t="n">
        <v>0.00081388</v>
      </c>
    </row>
    <row r="773">
      <c r="A773" s="2" t="n">
        <v>44903</v>
      </c>
      <c r="B773" s="3" t="n">
        <v>1336.846736054267</v>
      </c>
      <c r="C773" s="4" t="n">
        <v>0.99655995</v>
      </c>
      <c r="D773" s="5" t="n">
        <v>0.33684674</v>
      </c>
      <c r="E773" s="5" t="n">
        <v>-0.00344005</v>
      </c>
    </row>
    <row r="774">
      <c r="A774" s="2" t="n">
        <v>44904</v>
      </c>
      <c r="B774" s="3" t="n">
        <v>1333.306632212522</v>
      </c>
      <c r="C774" s="4" t="n">
        <v>0.9973519</v>
      </c>
      <c r="D774" s="5" t="n">
        <v>0.33330663</v>
      </c>
      <c r="E774" s="5" t="n">
        <v>-0.0026481</v>
      </c>
    </row>
    <row r="775">
      <c r="A775" s="2" t="n">
        <v>44907</v>
      </c>
      <c r="B775" s="3" t="n">
        <v>1332.398330402394</v>
      </c>
      <c r="C775" s="4" t="n">
        <v>0.99931876</v>
      </c>
      <c r="D775" s="5" t="n">
        <v>0.33239833</v>
      </c>
      <c r="E775" s="5" t="n">
        <v>-0.0006812399999999999</v>
      </c>
    </row>
    <row r="776">
      <c r="A776" s="2" t="n">
        <v>44908</v>
      </c>
      <c r="B776" s="3" t="n">
        <v>1326.874606644044</v>
      </c>
      <c r="C776" s="4" t="n">
        <v>0.9958543</v>
      </c>
      <c r="D776" s="5" t="n">
        <v>0.32687461</v>
      </c>
      <c r="E776" s="5" t="n">
        <v>-0.0041457</v>
      </c>
    </row>
    <row r="777">
      <c r="A777" s="2" t="n">
        <v>44909</v>
      </c>
      <c r="B777" s="3" t="n">
        <v>1322.551065350771</v>
      </c>
      <c r="C777" s="4" t="n">
        <v>0.99674156</v>
      </c>
      <c r="D777" s="5" t="n">
        <v>0.32255107</v>
      </c>
      <c r="E777" s="5" t="n">
        <v>-0.00325844</v>
      </c>
    </row>
    <row r="778">
      <c r="A778" s="2" t="n">
        <v>44910</v>
      </c>
      <c r="B778" s="3" t="n">
        <v>1330.087252282374</v>
      </c>
      <c r="C778" s="4" t="n">
        <v>1.00569822</v>
      </c>
      <c r="D778" s="5" t="n">
        <v>0.33008725</v>
      </c>
      <c r="E778" s="5" t="n">
        <v>0.00569822</v>
      </c>
    </row>
    <row r="779">
      <c r="A779" s="2" t="n">
        <v>44911</v>
      </c>
      <c r="B779" s="3" t="n">
        <v>1314.968230290916</v>
      </c>
      <c r="C779" s="4" t="n">
        <v>0.98863306</v>
      </c>
      <c r="D779" s="5" t="n">
        <v>0.31496823</v>
      </c>
      <c r="E779" s="5" t="n">
        <v>-0.01136694</v>
      </c>
    </row>
    <row r="780">
      <c r="A780" s="2" t="n">
        <v>44914</v>
      </c>
      <c r="B780" s="3" t="n">
        <v>1288.972294604237</v>
      </c>
      <c r="C780" s="4" t="n">
        <v>0.98023075</v>
      </c>
      <c r="D780" s="5" t="n">
        <v>0.28897229</v>
      </c>
      <c r="E780" s="5" t="n">
        <v>-0.01976925</v>
      </c>
    </row>
    <row r="781">
      <c r="A781" s="2" t="n">
        <v>44915</v>
      </c>
      <c r="B781" s="3" t="n">
        <v>1284.883506919354</v>
      </c>
      <c r="C781" s="4" t="n">
        <v>0.9968278699999999</v>
      </c>
      <c r="D781" s="5" t="n">
        <v>0.28488351</v>
      </c>
      <c r="E781" s="5" t="n">
        <v>-0.00317213</v>
      </c>
    </row>
    <row r="782">
      <c r="A782" s="2" t="n">
        <v>44916</v>
      </c>
      <c r="B782" s="3" t="n">
        <v>1274.911590266328</v>
      </c>
      <c r="C782" s="4" t="n">
        <v>0.99223905</v>
      </c>
      <c r="D782" s="5" t="n">
        <v>0.27491159</v>
      </c>
      <c r="E782" s="5" t="n">
        <v>-0.00776095</v>
      </c>
    </row>
    <row r="783">
      <c r="A783" s="2" t="n">
        <v>44917</v>
      </c>
      <c r="B783" s="3" t="n">
        <v>1255.770717854981</v>
      </c>
      <c r="C783" s="4" t="n">
        <v>0.98498651</v>
      </c>
      <c r="D783" s="5" t="n">
        <v>0.25577072</v>
      </c>
      <c r="E783" s="5" t="n">
        <v>-0.01501349</v>
      </c>
    </row>
    <row r="784">
      <c r="A784" s="2" t="n">
        <v>44918</v>
      </c>
      <c r="B784" s="3" t="n">
        <v>1250.53640179111</v>
      </c>
      <c r="C784" s="4" t="n">
        <v>0.99583179</v>
      </c>
      <c r="D784" s="5" t="n">
        <v>0.2505364</v>
      </c>
      <c r="E784" s="5" t="n">
        <v>-0.00416821</v>
      </c>
    </row>
    <row r="785">
      <c r="A785" s="2" t="n">
        <v>44921</v>
      </c>
      <c r="B785" s="3" t="n">
        <v>1274.214170570899</v>
      </c>
      <c r="C785" s="4" t="n">
        <v>1.01893409</v>
      </c>
      <c r="D785" s="5" t="n">
        <v>0.27421417</v>
      </c>
      <c r="E785" s="5" t="n">
        <v>0.01893409</v>
      </c>
    </row>
    <row r="786">
      <c r="A786" s="2" t="n">
        <v>44922</v>
      </c>
      <c r="B786" s="3" t="n">
        <v>1279.23077724472</v>
      </c>
      <c r="C786" s="4" t="n">
        <v>1.00393702</v>
      </c>
      <c r="D786" s="5" t="n">
        <v>0.27923078</v>
      </c>
      <c r="E786" s="5" t="n">
        <v>0.00393702</v>
      </c>
    </row>
    <row r="787">
      <c r="A787" s="2" t="n">
        <v>44923</v>
      </c>
      <c r="B787" s="3" t="n">
        <v>1264.246379612387</v>
      </c>
      <c r="C787" s="4" t="n">
        <v>0.9882864</v>
      </c>
      <c r="D787" s="5" t="n">
        <v>0.26424638</v>
      </c>
      <c r="E787" s="5" t="n">
        <v>-0.0117136</v>
      </c>
    </row>
    <row r="788">
      <c r="A788" s="2" t="n">
        <v>44924</v>
      </c>
      <c r="B788" s="3" t="n">
        <v>1258.411124022648</v>
      </c>
      <c r="C788" s="4" t="n">
        <v>0.9953843999999999</v>
      </c>
      <c r="D788" s="5" t="n">
        <v>0.25841112</v>
      </c>
      <c r="E788" s="5" t="n">
        <v>-0.0046156</v>
      </c>
    </row>
    <row r="789">
      <c r="A789" s="2" t="n">
        <v>44925</v>
      </c>
      <c r="B789" s="3" t="n">
        <v>1267.960979528853</v>
      </c>
      <c r="C789" s="4" t="n">
        <v>1.00758882</v>
      </c>
      <c r="D789" s="5" t="n">
        <v>0.26796098</v>
      </c>
      <c r="E789" s="5" t="n">
        <v>0.00758882</v>
      </c>
    </row>
    <row r="790">
      <c r="A790" s="2" t="n">
        <v>44929</v>
      </c>
      <c r="B790" s="3" t="n">
        <v>1297.859499426143</v>
      </c>
      <c r="C790" s="4" t="n">
        <v>1.02358</v>
      </c>
      <c r="D790" s="5" t="n">
        <v>0.2978595</v>
      </c>
      <c r="E790" s="5" t="n">
        <v>0.02358</v>
      </c>
    </row>
    <row r="791">
      <c r="A791" s="2" t="n">
        <v>44930</v>
      </c>
      <c r="B791" s="3" t="n">
        <v>1303.738919765899</v>
      </c>
      <c r="C791" s="4" t="n">
        <v>1.00453009</v>
      </c>
      <c r="D791" s="5" t="n">
        <v>0.30373892</v>
      </c>
      <c r="E791" s="5" t="n">
        <v>0.00453009</v>
      </c>
    </row>
    <row r="792">
      <c r="A792" s="2" t="n">
        <v>44931</v>
      </c>
      <c r="B792" s="3" t="n">
        <v>1309.416846172761</v>
      </c>
      <c r="C792" s="4" t="n">
        <v>1.00435511</v>
      </c>
      <c r="D792" s="5" t="n">
        <v>0.30941685</v>
      </c>
      <c r="E792" s="5" t="n">
        <v>0.00435511</v>
      </c>
    </row>
    <row r="793">
      <c r="A793" s="2" t="n">
        <v>44932</v>
      </c>
      <c r="B793" s="3" t="n">
        <v>1307.480755518178</v>
      </c>
      <c r="C793" s="4" t="n">
        <v>0.9985214100000001</v>
      </c>
      <c r="D793" s="5" t="n">
        <v>0.30748076</v>
      </c>
      <c r="E793" s="5" t="n">
        <v>-0.00147859</v>
      </c>
    </row>
    <row r="794">
      <c r="A794" s="2" t="n">
        <v>44935</v>
      </c>
      <c r="B794" s="3" t="n">
        <v>1315.243765606377</v>
      </c>
      <c r="C794" s="4" t="n">
        <v>1.00593738</v>
      </c>
      <c r="D794" s="5" t="n">
        <v>0.31524377</v>
      </c>
      <c r="E794" s="5" t="n">
        <v>0.00593738</v>
      </c>
    </row>
    <row r="795">
      <c r="A795" s="2" t="n">
        <v>44936</v>
      </c>
      <c r="B795" s="3" t="n">
        <v>1313.590241144256</v>
      </c>
      <c r="C795" s="4" t="n">
        <v>0.9987428</v>
      </c>
      <c r="D795" s="5" t="n">
        <v>0.31359024</v>
      </c>
      <c r="E795" s="5" t="n">
        <v>-0.0012572</v>
      </c>
    </row>
    <row r="796">
      <c r="A796" s="2" t="n">
        <v>44937</v>
      </c>
      <c r="B796" s="3" t="n">
        <v>1303.527942858555</v>
      </c>
      <c r="C796" s="4" t="n">
        <v>0.99233985</v>
      </c>
      <c r="D796" s="5" t="n">
        <v>0.30352794</v>
      </c>
      <c r="E796" s="5" t="n">
        <v>-0.00766015</v>
      </c>
    </row>
    <row r="797">
      <c r="A797" s="2" t="n">
        <v>44938</v>
      </c>
      <c r="B797" s="3" t="n">
        <v>1303.904336552056</v>
      </c>
      <c r="C797" s="4" t="n">
        <v>1.00028875</v>
      </c>
      <c r="D797" s="5" t="n">
        <v>0.30390434</v>
      </c>
      <c r="E797" s="5" t="n">
        <v>0.00028875</v>
      </c>
    </row>
    <row r="798">
      <c r="A798" s="2" t="n">
        <v>44939</v>
      </c>
      <c r="B798" s="3" t="n">
        <v>1304.484000263913</v>
      </c>
      <c r="C798" s="4" t="n">
        <v>1.00044456</v>
      </c>
      <c r="D798" s="5" t="n">
        <v>0.304484</v>
      </c>
      <c r="E798" s="5" t="n">
        <v>0.00044456</v>
      </c>
    </row>
    <row r="799">
      <c r="A799" s="2" t="n">
        <v>44942</v>
      </c>
      <c r="B799" s="3" t="n">
        <v>1314.332789241706</v>
      </c>
      <c r="C799" s="4" t="n">
        <v>1.00754995</v>
      </c>
      <c r="D799" s="5" t="n">
        <v>0.31433279</v>
      </c>
      <c r="E799" s="5" t="n">
        <v>0.00754995</v>
      </c>
    </row>
    <row r="800">
      <c r="A800" s="2" t="n">
        <v>44943</v>
      </c>
      <c r="B800" s="3" t="n">
        <v>1311.497273968851</v>
      </c>
      <c r="C800" s="4" t="n">
        <v>0.99784262</v>
      </c>
      <c r="D800" s="5" t="n">
        <v>0.31149727</v>
      </c>
      <c r="E800" s="5" t="n">
        <v>-0.00215738</v>
      </c>
    </row>
    <row r="801">
      <c r="A801" s="2" t="n">
        <v>44944</v>
      </c>
      <c r="B801" s="3" t="n">
        <v>1316.762909293891</v>
      </c>
      <c r="C801" s="4" t="n">
        <v>1.00401498</v>
      </c>
      <c r="D801" s="5" t="n">
        <v>0.31676291</v>
      </c>
      <c r="E801" s="5" t="n">
        <v>0.00401498</v>
      </c>
    </row>
    <row r="802">
      <c r="A802" s="2" t="n">
        <v>44945</v>
      </c>
      <c r="B802" s="3" t="n">
        <v>1321.894676709766</v>
      </c>
      <c r="C802" s="4" t="n">
        <v>1.00389726</v>
      </c>
      <c r="D802" s="5" t="n">
        <v>0.32189468</v>
      </c>
      <c r="E802" s="5" t="n">
        <v>0.00389726</v>
      </c>
    </row>
    <row r="803">
      <c r="A803" s="2" t="n">
        <v>44946</v>
      </c>
      <c r="B803" s="3" t="n">
        <v>1333.090714834148</v>
      </c>
      <c r="C803" s="4" t="n">
        <v>1.00846969</v>
      </c>
      <c r="D803" s="5" t="n">
        <v>0.33309071</v>
      </c>
      <c r="E803" s="5" t="n">
        <v>0.00846969</v>
      </c>
    </row>
    <row r="804">
      <c r="A804" s="2" t="n">
        <v>44956</v>
      </c>
      <c r="B804" s="3" t="n">
        <v>1353.946492478699</v>
      </c>
      <c r="C804" s="4" t="n">
        <v>1.01564468</v>
      </c>
      <c r="D804" s="5" t="n">
        <v>0.35394649</v>
      </c>
      <c r="E804" s="5" t="n">
        <v>0.01564468</v>
      </c>
    </row>
    <row r="805">
      <c r="A805" s="2" t="n">
        <v>44957</v>
      </c>
      <c r="B805" s="3" t="n">
        <v>1360.876329113828</v>
      </c>
      <c r="C805" s="4" t="n">
        <v>1.00511825</v>
      </c>
      <c r="D805" s="5" t="n">
        <v>0.36087633</v>
      </c>
      <c r="E805" s="5" t="n">
        <v>0.00511825</v>
      </c>
    </row>
    <row r="806">
      <c r="A806" s="2" t="n">
        <v>44958</v>
      </c>
      <c r="B806" s="3" t="n">
        <v>1383.078468464025</v>
      </c>
      <c r="C806" s="4" t="n">
        <v>1.01631459</v>
      </c>
      <c r="D806" s="5" t="n">
        <v>0.38307847</v>
      </c>
      <c r="E806" s="5" t="n">
        <v>0.01631459</v>
      </c>
    </row>
    <row r="807">
      <c r="A807" s="2" t="n">
        <v>44959</v>
      </c>
      <c r="B807" s="3" t="n">
        <v>1386.742796558374</v>
      </c>
      <c r="C807" s="4" t="n">
        <v>1.0026494</v>
      </c>
      <c r="D807" s="5" t="n">
        <v>0.3867428</v>
      </c>
      <c r="E807" s="5" t="n">
        <v>0.0026494</v>
      </c>
    </row>
    <row r="808">
      <c r="A808" s="2" t="n">
        <v>44960</v>
      </c>
      <c r="B808" s="3" t="n">
        <v>1387.7042114718</v>
      </c>
      <c r="C808" s="4" t="n">
        <v>1.00069329</v>
      </c>
      <c r="D808" s="5" t="n">
        <v>0.38770421</v>
      </c>
      <c r="E808" s="5" t="n">
        <v>0.0006932900000000001</v>
      </c>
    </row>
    <row r="809">
      <c r="A809" s="2" t="n">
        <v>44963</v>
      </c>
      <c r="B809" s="3" t="n">
        <v>1388.133525523703</v>
      </c>
      <c r="C809" s="4" t="n">
        <v>1.00030937</v>
      </c>
      <c r="D809" s="5" t="n">
        <v>0.38813353</v>
      </c>
      <c r="E809" s="5" t="n">
        <v>0.00030937</v>
      </c>
    </row>
    <row r="810">
      <c r="A810" s="2" t="n">
        <v>44964</v>
      </c>
      <c r="B810" s="3" t="n">
        <v>1399.161843825267</v>
      </c>
      <c r="C810" s="4" t="n">
        <v>1.00794471</v>
      </c>
      <c r="D810" s="5" t="n">
        <v>0.39916184</v>
      </c>
      <c r="E810" s="5" t="n">
        <v>0.007944710000000001</v>
      </c>
    </row>
    <row r="811">
      <c r="A811" s="2" t="n">
        <v>44965</v>
      </c>
      <c r="B811" s="3" t="n">
        <v>1393.718656520997</v>
      </c>
      <c r="C811" s="4" t="n">
        <v>0.99610968</v>
      </c>
      <c r="D811" s="5" t="n">
        <v>0.39371866</v>
      </c>
      <c r="E811" s="5" t="n">
        <v>-0.00389032</v>
      </c>
    </row>
    <row r="812">
      <c r="A812" s="2" t="n">
        <v>44966</v>
      </c>
      <c r="B812" s="3" t="n">
        <v>1409.240933251454</v>
      </c>
      <c r="C812" s="4" t="n">
        <v>1.01113731</v>
      </c>
      <c r="D812" s="5" t="n">
        <v>0.40924093</v>
      </c>
      <c r="E812" s="5" t="n">
        <v>0.01113731</v>
      </c>
    </row>
    <row r="813">
      <c r="A813" s="2" t="n">
        <v>44967</v>
      </c>
      <c r="B813" s="3" t="n">
        <v>1406.724198053579</v>
      </c>
      <c r="C813" s="4" t="n">
        <v>0.99821412</v>
      </c>
      <c r="D813" s="5" t="n">
        <v>0.4067242</v>
      </c>
      <c r="E813" s="5" t="n">
        <v>-0.00178588</v>
      </c>
    </row>
    <row r="814">
      <c r="A814" s="2" t="n">
        <v>44970</v>
      </c>
      <c r="B814" s="3" t="n">
        <v>1420.23880843291</v>
      </c>
      <c r="C814" s="4" t="n">
        <v>1.00960715</v>
      </c>
      <c r="D814" s="5" t="n">
        <v>0.42023881</v>
      </c>
      <c r="E814" s="5" t="n">
        <v>0.00960715</v>
      </c>
    </row>
    <row r="815">
      <c r="A815" s="2" t="n">
        <v>44971</v>
      </c>
      <c r="B815" s="3" t="n">
        <v>1420.245739198295</v>
      </c>
      <c r="C815" s="4" t="n">
        <v>1.00000488</v>
      </c>
      <c r="D815" s="5" t="n">
        <v>0.42024574</v>
      </c>
      <c r="E815" s="5" t="n">
        <v>4.88e-06</v>
      </c>
    </row>
    <row r="816">
      <c r="A816" s="2" t="n">
        <v>44972</v>
      </c>
      <c r="B816" s="3" t="n">
        <v>1425.846733915056</v>
      </c>
      <c r="C816" s="4" t="n">
        <v>1.00394368</v>
      </c>
      <c r="D816" s="5" t="n">
        <v>0.42584673</v>
      </c>
      <c r="E816" s="5" t="n">
        <v>0.00394368</v>
      </c>
    </row>
    <row r="817">
      <c r="A817" s="2" t="n">
        <v>44973</v>
      </c>
      <c r="B817" s="3" t="n">
        <v>1391.781929404363</v>
      </c>
      <c r="C817" s="4" t="n">
        <v>0.97610907</v>
      </c>
      <c r="D817" s="5" t="n">
        <v>0.39178193</v>
      </c>
      <c r="E817" s="5" t="n">
        <v>-0.02389093</v>
      </c>
    </row>
    <row r="818">
      <c r="A818" s="2" t="n">
        <v>44974</v>
      </c>
      <c r="B818" s="3" t="n">
        <v>1384.381490858057</v>
      </c>
      <c r="C818" s="4" t="n">
        <v>0.99468276</v>
      </c>
      <c r="D818" s="5" t="n">
        <v>0.38438149</v>
      </c>
      <c r="E818" s="5" t="n">
        <v>-0.00531724</v>
      </c>
    </row>
    <row r="819">
      <c r="A819" s="2" t="n">
        <v>44977</v>
      </c>
      <c r="B819" s="3" t="n">
        <v>1399.191507140552</v>
      </c>
      <c r="C819" s="4" t="n">
        <v>1.01069793</v>
      </c>
      <c r="D819" s="5" t="n">
        <v>0.39919151</v>
      </c>
      <c r="E819" s="5" t="n">
        <v>0.01069793</v>
      </c>
    </row>
    <row r="820">
      <c r="A820" s="2" t="n">
        <v>44978</v>
      </c>
      <c r="B820" s="3" t="n">
        <v>1405.08915531081</v>
      </c>
      <c r="C820" s="4" t="n">
        <v>1.00421504</v>
      </c>
      <c r="D820" s="5" t="n">
        <v>0.40508916</v>
      </c>
      <c r="E820" s="5" t="n">
        <v>0.00421504</v>
      </c>
    </row>
    <row r="821">
      <c r="A821" s="2" t="n">
        <v>44979</v>
      </c>
      <c r="B821" s="3" t="n">
        <v>1406.202674415503</v>
      </c>
      <c r="C821" s="4" t="n">
        <v>1.00079249</v>
      </c>
      <c r="D821" s="5" t="n">
        <v>0.40620267</v>
      </c>
      <c r="E821" s="5" t="n">
        <v>0.00079249</v>
      </c>
    </row>
    <row r="822">
      <c r="A822" s="2" t="n">
        <v>44980</v>
      </c>
      <c r="B822" s="3" t="n">
        <v>1402.980501607347</v>
      </c>
      <c r="C822" s="4" t="n">
        <v>0.9977085999999999</v>
      </c>
      <c r="D822" s="5" t="n">
        <v>0.4029805</v>
      </c>
      <c r="E822" s="5" t="n">
        <v>-0.0022914</v>
      </c>
    </row>
    <row r="823">
      <c r="A823" s="2" t="n">
        <v>44981</v>
      </c>
      <c r="B823" s="3" t="n">
        <v>1400.440279140942</v>
      </c>
      <c r="C823" s="4" t="n">
        <v>0.9981894100000001</v>
      </c>
      <c r="D823" s="5" t="n">
        <v>0.40044028</v>
      </c>
      <c r="E823" s="5" t="n">
        <v>-0.00181059</v>
      </c>
    </row>
    <row r="824">
      <c r="A824" s="2" t="n">
        <v>44984</v>
      </c>
      <c r="B824" s="3" t="n">
        <v>1389.069348276845</v>
      </c>
      <c r="C824" s="4" t="n">
        <v>0.99188046</v>
      </c>
      <c r="D824" s="5" t="n">
        <v>0.38906935</v>
      </c>
      <c r="E824" s="5" t="n">
        <v>-0.00811954</v>
      </c>
    </row>
    <row r="825">
      <c r="A825" s="2" t="n">
        <v>44985</v>
      </c>
      <c r="B825" s="3" t="n">
        <v>1401.140305350597</v>
      </c>
      <c r="C825" s="4" t="n">
        <v>1.00868996</v>
      </c>
      <c r="D825" s="5" t="n">
        <v>0.40114031</v>
      </c>
      <c r="E825" s="5" t="n">
        <v>0.00868996</v>
      </c>
    </row>
    <row r="826">
      <c r="A826" s="2" t="n">
        <v>44986</v>
      </c>
      <c r="B826" s="3" t="n">
        <v>1412.657230295682</v>
      </c>
      <c r="C826" s="4" t="n">
        <v>1.00821968</v>
      </c>
      <c r="D826" s="5" t="n">
        <v>0.41265723</v>
      </c>
      <c r="E826" s="5" t="n">
        <v>0.00821968</v>
      </c>
    </row>
    <row r="827">
      <c r="A827" s="2" t="n">
        <v>44987</v>
      </c>
      <c r="B827" s="3" t="n">
        <v>1405.812468091158</v>
      </c>
      <c r="C827" s="4" t="n">
        <v>0.99515469</v>
      </c>
      <c r="D827" s="5" t="n">
        <v>0.40581247</v>
      </c>
      <c r="E827" s="5" t="n">
        <v>-0.00484531</v>
      </c>
    </row>
    <row r="828">
      <c r="A828" s="2" t="n">
        <v>44988</v>
      </c>
      <c r="B828" s="3" t="n">
        <v>1403.913974585499</v>
      </c>
      <c r="C828" s="4" t="n">
        <v>0.9986495399999999</v>
      </c>
      <c r="D828" s="5" t="n">
        <v>0.40391397</v>
      </c>
      <c r="E828" s="5" t="n">
        <v>-0.00135046</v>
      </c>
    </row>
    <row r="829">
      <c r="A829" s="2" t="n">
        <v>44991</v>
      </c>
      <c r="B829" s="3" t="n">
        <v>1406.079554008717</v>
      </c>
      <c r="C829" s="4" t="n">
        <v>1.00154253</v>
      </c>
      <c r="D829" s="5" t="n">
        <v>0.40607955</v>
      </c>
      <c r="E829" s="5" t="n">
        <v>0.00154253</v>
      </c>
    </row>
    <row r="830">
      <c r="A830" s="2" t="n">
        <v>44992</v>
      </c>
      <c r="B830" s="3" t="n">
        <v>1377.766314285331</v>
      </c>
      <c r="C830" s="4" t="n">
        <v>0.9798637</v>
      </c>
      <c r="D830" s="5" t="n">
        <v>0.37776631</v>
      </c>
      <c r="E830" s="5" t="n">
        <v>-0.0201363</v>
      </c>
    </row>
    <row r="831">
      <c r="A831" s="2" t="n">
        <v>44993</v>
      </c>
      <c r="B831" s="3" t="n">
        <v>1389.458562779556</v>
      </c>
      <c r="C831" s="4" t="n">
        <v>1.00848638</v>
      </c>
      <c r="D831" s="5" t="n">
        <v>0.38945856</v>
      </c>
      <c r="E831" s="5" t="n">
        <v>0.00848638</v>
      </c>
    </row>
    <row r="832">
      <c r="A832" s="2" t="n">
        <v>44994</v>
      </c>
      <c r="B832" s="3" t="n">
        <v>1391.103042566948</v>
      </c>
      <c r="C832" s="4" t="n">
        <v>1.00118354</v>
      </c>
      <c r="D832" s="5" t="n">
        <v>0.39110304</v>
      </c>
      <c r="E832" s="5" t="n">
        <v>0.00118354</v>
      </c>
    </row>
    <row r="833">
      <c r="A833" s="2" t="n">
        <v>44995</v>
      </c>
      <c r="B833" s="3" t="n">
        <v>1372.139233759036</v>
      </c>
      <c r="C833" s="4" t="n">
        <v>0.98636779</v>
      </c>
      <c r="D833" s="5" t="n">
        <v>0.37213923</v>
      </c>
      <c r="E833" s="5" t="n">
        <v>-0.01363221</v>
      </c>
    </row>
    <row r="834">
      <c r="A834" s="2" t="n">
        <v>44998</v>
      </c>
      <c r="B834" s="3" t="n">
        <v>1374.450272984887</v>
      </c>
      <c r="C834" s="4" t="n">
        <v>1.00168426</v>
      </c>
      <c r="D834" s="5" t="n">
        <v>0.37445027</v>
      </c>
      <c r="E834" s="5" t="n">
        <v>0.00168426</v>
      </c>
    </row>
    <row r="835">
      <c r="A835" s="2" t="n">
        <v>44999</v>
      </c>
      <c r="B835" s="3" t="n">
        <v>1356.498358057388</v>
      </c>
      <c r="C835" s="4" t="n">
        <v>0.98693884</v>
      </c>
      <c r="D835" s="5" t="n">
        <v>0.35649836</v>
      </c>
      <c r="E835" s="5" t="n">
        <v>-0.01306116</v>
      </c>
    </row>
    <row r="836">
      <c r="A836" s="2" t="n">
        <v>45000</v>
      </c>
      <c r="B836" s="3" t="n">
        <v>1367.690893834637</v>
      </c>
      <c r="C836" s="4" t="n">
        <v>1.00825105</v>
      </c>
      <c r="D836" s="5" t="n">
        <v>0.36769089</v>
      </c>
      <c r="E836" s="5" t="n">
        <v>0.008251049999999999</v>
      </c>
    </row>
    <row r="837">
      <c r="A837" s="2" t="n">
        <v>45001</v>
      </c>
      <c r="B837" s="3" t="n">
        <v>1346.117224890377</v>
      </c>
      <c r="C837" s="4" t="n">
        <v>0.98422621</v>
      </c>
      <c r="D837" s="5" t="n">
        <v>0.34611722</v>
      </c>
      <c r="E837" s="5" t="n">
        <v>-0.01577379</v>
      </c>
    </row>
    <row r="838">
      <c r="A838" s="2" t="n">
        <v>45002</v>
      </c>
      <c r="B838" s="3" t="n">
        <v>1356.035928127915</v>
      </c>
      <c r="C838" s="4" t="n">
        <v>1.00736838</v>
      </c>
      <c r="D838" s="5" t="n">
        <v>0.35603593</v>
      </c>
      <c r="E838" s="5" t="n">
        <v>0.00736838</v>
      </c>
    </row>
    <row r="839">
      <c r="A839" s="2" t="n">
        <v>45005</v>
      </c>
      <c r="B839" s="3" t="n">
        <v>1353.220973825792</v>
      </c>
      <c r="C839" s="4" t="n">
        <v>0.99792413</v>
      </c>
      <c r="D839" s="5" t="n">
        <v>0.35322097</v>
      </c>
      <c r="E839" s="5" t="n">
        <v>-0.00207587</v>
      </c>
    </row>
    <row r="840">
      <c r="A840" s="2" t="n">
        <v>45006</v>
      </c>
      <c r="B840" s="3" t="n">
        <v>1373.529099285239</v>
      </c>
      <c r="C840" s="4" t="n">
        <v>1.01500725</v>
      </c>
      <c r="D840" s="5" t="n">
        <v>0.3735291</v>
      </c>
      <c r="E840" s="5" t="n">
        <v>0.01500725</v>
      </c>
    </row>
    <row r="841">
      <c r="A841" s="2" t="n">
        <v>45007</v>
      </c>
      <c r="B841" s="3" t="n">
        <v>1381.771867174706</v>
      </c>
      <c r="C841" s="4" t="n">
        <v>1.00600116</v>
      </c>
      <c r="D841" s="5" t="n">
        <v>0.38177187</v>
      </c>
      <c r="E841" s="5" t="n">
        <v>0.00600116</v>
      </c>
    </row>
    <row r="842">
      <c r="A842" s="2" t="n">
        <v>45008</v>
      </c>
      <c r="B842" s="3" t="n">
        <v>1379.136206426663</v>
      </c>
      <c r="C842" s="4" t="n">
        <v>0.99809255</v>
      </c>
      <c r="D842" s="5" t="n">
        <v>0.37913621</v>
      </c>
      <c r="E842" s="5" t="n">
        <v>-0.00190745</v>
      </c>
    </row>
    <row r="843">
      <c r="A843" s="2" t="n">
        <v>45009</v>
      </c>
      <c r="B843" s="3" t="n">
        <v>1382.995774265797</v>
      </c>
      <c r="C843" s="4" t="n">
        <v>1.00279854</v>
      </c>
      <c r="D843" s="5" t="n">
        <v>0.38299577</v>
      </c>
      <c r="E843" s="5" t="n">
        <v>0.00279854</v>
      </c>
    </row>
    <row r="844">
      <c r="A844" s="2" t="n">
        <v>45012</v>
      </c>
      <c r="B844" s="3" t="n">
        <v>1385.694552219699</v>
      </c>
      <c r="C844" s="4" t="n">
        <v>1.0019514</v>
      </c>
      <c r="D844" s="5" t="n">
        <v>0.38569455</v>
      </c>
      <c r="E844" s="5" t="n">
        <v>0.0019514</v>
      </c>
    </row>
    <row r="845">
      <c r="A845" s="2" t="n">
        <v>45013</v>
      </c>
      <c r="B845" s="3" t="n">
        <v>1372.649249567574</v>
      </c>
      <c r="C845" s="4" t="n">
        <v>0.9905857300000001</v>
      </c>
      <c r="D845" s="5" t="n">
        <v>0.37264925</v>
      </c>
      <c r="E845" s="5" t="n">
        <v>-0.009414270000000001</v>
      </c>
    </row>
    <row r="846">
      <c r="A846" s="2" t="n">
        <v>45014</v>
      </c>
      <c r="B846" s="3" t="n">
        <v>1367.870769273487</v>
      </c>
      <c r="C846" s="4" t="n">
        <v>0.99651879</v>
      </c>
      <c r="D846" s="5" t="n">
        <v>0.36787077</v>
      </c>
      <c r="E846" s="5" t="n">
        <v>-0.00348121</v>
      </c>
    </row>
    <row r="847">
      <c r="A847" s="2" t="n">
        <v>45015</v>
      </c>
      <c r="B847" s="3" t="n">
        <v>1359.296326071127</v>
      </c>
      <c r="C847" s="4" t="n">
        <v>0.99373154</v>
      </c>
      <c r="D847" s="5" t="n">
        <v>0.35929633</v>
      </c>
      <c r="E847" s="5" t="n">
        <v>-0.00626846</v>
      </c>
    </row>
    <row r="848">
      <c r="A848" s="2" t="n">
        <v>45016</v>
      </c>
      <c r="B848" s="3" t="n">
        <v>1375.411055875965</v>
      </c>
      <c r="C848" s="4" t="n">
        <v>1.0118552</v>
      </c>
      <c r="D848" s="5" t="n">
        <v>0.37541106</v>
      </c>
      <c r="E848" s="5" t="n">
        <v>0.0118552</v>
      </c>
    </row>
    <row r="849">
      <c r="A849" s="2" t="n">
        <v>45019</v>
      </c>
      <c r="B849" s="3" t="n">
        <v>1389.055876272225</v>
      </c>
      <c r="C849" s="4" t="n">
        <v>1.00992054</v>
      </c>
      <c r="D849" s="5" t="n">
        <v>0.38905588</v>
      </c>
      <c r="E849" s="5" t="n">
        <v>0.00992054</v>
      </c>
    </row>
    <row r="850">
      <c r="A850" s="2" t="n">
        <v>45020</v>
      </c>
      <c r="B850" s="3" t="n">
        <v>1373.1827180573</v>
      </c>
      <c r="C850" s="4" t="n">
        <v>0.9885727</v>
      </c>
      <c r="D850" s="5" t="n">
        <v>0.37318272</v>
      </c>
      <c r="E850" s="5" t="n">
        <v>-0.0114273</v>
      </c>
    </row>
    <row r="851">
      <c r="A851" s="2" t="n">
        <v>45022</v>
      </c>
      <c r="B851" s="3" t="n">
        <v>1370.361047280927</v>
      </c>
      <c r="C851" s="4" t="n">
        <v>0.99794516</v>
      </c>
      <c r="D851" s="5" t="n">
        <v>0.37036105</v>
      </c>
      <c r="E851" s="5" t="n">
        <v>-0.00205484</v>
      </c>
    </row>
    <row r="852">
      <c r="A852" s="2" t="n">
        <v>45023</v>
      </c>
      <c r="B852" s="3" t="n">
        <v>1383.968595444321</v>
      </c>
      <c r="C852" s="4" t="n">
        <v>1.0099299</v>
      </c>
      <c r="D852" s="5" t="n">
        <v>0.3839686</v>
      </c>
      <c r="E852" s="5" t="n">
        <v>0.0099299</v>
      </c>
    </row>
    <row r="853">
      <c r="A853" s="2" t="n">
        <v>45026</v>
      </c>
      <c r="B853" s="3" t="n">
        <v>1364.874326725125</v>
      </c>
      <c r="C853" s="4" t="n">
        <v>0.98620325</v>
      </c>
      <c r="D853" s="5" t="n">
        <v>0.36487433</v>
      </c>
      <c r="E853" s="5" t="n">
        <v>-0.01379675</v>
      </c>
    </row>
    <row r="854">
      <c r="A854" s="2" t="n">
        <v>45027</v>
      </c>
      <c r="B854" s="3" t="n">
        <v>1369.126046740306</v>
      </c>
      <c r="C854" s="4" t="n">
        <v>1.0031151</v>
      </c>
      <c r="D854" s="5" t="n">
        <v>0.36912605</v>
      </c>
      <c r="E854" s="5" t="n">
        <v>0.0031151</v>
      </c>
    </row>
    <row r="855">
      <c r="A855" s="2" t="n">
        <v>45028</v>
      </c>
      <c r="B855" s="3" t="n">
        <v>1383.503403652252</v>
      </c>
      <c r="C855" s="4" t="n">
        <v>1.01050112</v>
      </c>
      <c r="D855" s="5" t="n">
        <v>0.3835034</v>
      </c>
      <c r="E855" s="5" t="n">
        <v>0.01050112</v>
      </c>
    </row>
    <row r="856">
      <c r="A856" s="2" t="n">
        <v>45029</v>
      </c>
      <c r="B856" s="3" t="n">
        <v>1375.871099600494</v>
      </c>
      <c r="C856" s="4" t="n">
        <v>0.99448335</v>
      </c>
      <c r="D856" s="5" t="n">
        <v>0.3758711</v>
      </c>
      <c r="E856" s="5" t="n">
        <v>-0.00551665</v>
      </c>
    </row>
    <row r="857">
      <c r="A857" s="2" t="n">
        <v>45030</v>
      </c>
      <c r="B857" s="3" t="n">
        <v>1378.138892899121</v>
      </c>
      <c r="C857" s="4" t="n">
        <v>1.00164826</v>
      </c>
      <c r="D857" s="5" t="n">
        <v>0.37813889</v>
      </c>
      <c r="E857" s="5" t="n">
        <v>0.00164826</v>
      </c>
    </row>
    <row r="858">
      <c r="A858" s="2" t="n">
        <v>45033</v>
      </c>
      <c r="B858" s="3" t="n">
        <v>1374.47805986958</v>
      </c>
      <c r="C858" s="4" t="n">
        <v>0.99734364</v>
      </c>
      <c r="D858" s="5" t="n">
        <v>0.37447806</v>
      </c>
      <c r="E858" s="5" t="n">
        <v>-0.00265636</v>
      </c>
    </row>
    <row r="859">
      <c r="A859" s="2" t="n">
        <v>45034</v>
      </c>
      <c r="B859" s="3" t="n">
        <v>1366.750263149672</v>
      </c>
      <c r="C859" s="4" t="n">
        <v>0.99437765</v>
      </c>
      <c r="D859" s="5" t="n">
        <v>0.36675026</v>
      </c>
      <c r="E859" s="5" t="n">
        <v>-0.00562235</v>
      </c>
    </row>
    <row r="860">
      <c r="A860" s="2" t="n">
        <v>45035</v>
      </c>
      <c r="B860" s="3" t="n">
        <v>1364.971123329623</v>
      </c>
      <c r="C860" s="4" t="n">
        <v>0.99869827</v>
      </c>
      <c r="D860" s="5" t="n">
        <v>0.36497112</v>
      </c>
      <c r="E860" s="5" t="n">
        <v>-0.00130173</v>
      </c>
    </row>
    <row r="861">
      <c r="A861" s="2" t="n">
        <v>45036</v>
      </c>
      <c r="B861" s="3" t="n">
        <v>1361.962494928713</v>
      </c>
      <c r="C861" s="4" t="n">
        <v>0.9977958300000001</v>
      </c>
      <c r="D861" s="5" t="n">
        <v>0.36196249</v>
      </c>
      <c r="E861" s="5" t="n">
        <v>-0.00220417</v>
      </c>
    </row>
    <row r="862">
      <c r="A862" s="2" t="n">
        <v>45037</v>
      </c>
      <c r="B862" s="3" t="n">
        <v>1325.800947008111</v>
      </c>
      <c r="C862" s="4" t="n">
        <v>0.97344894</v>
      </c>
      <c r="D862" s="5" t="n">
        <v>0.32580095</v>
      </c>
      <c r="E862" s="5" t="n">
        <v>-0.02655106</v>
      </c>
    </row>
    <row r="863">
      <c r="A863" s="2" t="n">
        <v>45040</v>
      </c>
      <c r="B863" s="3" t="n">
        <v>1323.856845531456</v>
      </c>
      <c r="C863" s="4" t="n">
        <v>0.99853364</v>
      </c>
      <c r="D863" s="5" t="n">
        <v>0.32385685</v>
      </c>
      <c r="E863" s="5" t="n">
        <v>-0.00146636</v>
      </c>
    </row>
    <row r="864">
      <c r="A864" s="2" t="n">
        <v>45041</v>
      </c>
      <c r="B864" s="3" t="n">
        <v>1298.060210755136</v>
      </c>
      <c r="C864" s="4" t="n">
        <v>0.98051403</v>
      </c>
      <c r="D864" s="5" t="n">
        <v>0.29806021</v>
      </c>
      <c r="E864" s="5" t="n">
        <v>-0.01948597</v>
      </c>
    </row>
    <row r="865">
      <c r="A865" s="2" t="n">
        <v>45042</v>
      </c>
      <c r="B865" s="3" t="n">
        <v>1312.977129279071</v>
      </c>
      <c r="C865" s="4" t="n">
        <v>1.0114917</v>
      </c>
      <c r="D865" s="5" t="n">
        <v>0.31297713</v>
      </c>
      <c r="E865" s="5" t="n">
        <v>0.0114917</v>
      </c>
    </row>
    <row r="866">
      <c r="A866" s="2" t="n">
        <v>45043</v>
      </c>
      <c r="B866" s="3" t="n">
        <v>1305.768254610307</v>
      </c>
      <c r="C866" s="4" t="n">
        <v>0.99450952</v>
      </c>
      <c r="D866" s="5" t="n">
        <v>0.30576825</v>
      </c>
      <c r="E866" s="5" t="n">
        <v>-0.00549048</v>
      </c>
    </row>
    <row r="867">
      <c r="A867" s="2" t="n">
        <v>45044</v>
      </c>
      <c r="B867" s="3" t="n">
        <v>1334.18753026863</v>
      </c>
      <c r="C867" s="4" t="n">
        <v>1.02176441</v>
      </c>
      <c r="D867" s="5" t="n">
        <v>0.33418753</v>
      </c>
      <c r="E867" s="5" t="n">
        <v>0.02176441</v>
      </c>
    </row>
    <row r="868">
      <c r="A868" s="2" t="n">
        <v>45050</v>
      </c>
      <c r="B868" s="3" t="n">
        <v>1344.339923545207</v>
      </c>
      <c r="C868" s="4" t="n">
        <v>1.00760942</v>
      </c>
      <c r="D868" s="5" t="n">
        <v>0.34433992</v>
      </c>
      <c r="E868" s="5" t="n">
        <v>0.00760942</v>
      </c>
    </row>
    <row r="869">
      <c r="A869" s="2" t="n">
        <v>45051</v>
      </c>
      <c r="B869" s="3" t="n">
        <v>1332.443980552348</v>
      </c>
      <c r="C869" s="4" t="n">
        <v>0.99115109</v>
      </c>
      <c r="D869" s="5" t="n">
        <v>0.33244398</v>
      </c>
      <c r="E869" s="5" t="n">
        <v>-0.00884891</v>
      </c>
    </row>
    <row r="870">
      <c r="A870" s="2" t="n">
        <v>45054</v>
      </c>
      <c r="B870" s="3" t="n">
        <v>1339.402829134061</v>
      </c>
      <c r="C870" s="4" t="n">
        <v>1.00522262</v>
      </c>
      <c r="D870" s="5" t="n">
        <v>0.33940283</v>
      </c>
      <c r="E870" s="5" t="n">
        <v>0.00522262</v>
      </c>
    </row>
    <row r="871">
      <c r="A871" s="2" t="n">
        <v>45055</v>
      </c>
      <c r="B871" s="3" t="n">
        <v>1317.423764469102</v>
      </c>
      <c r="C871" s="4" t="n">
        <v>0.9835904</v>
      </c>
      <c r="D871" s="5" t="n">
        <v>0.31742376</v>
      </c>
      <c r="E871" s="5" t="n">
        <v>-0.0164096</v>
      </c>
    </row>
    <row r="872">
      <c r="A872" s="2" t="n">
        <v>45056</v>
      </c>
      <c r="B872" s="3" t="n">
        <v>1325.52735661249</v>
      </c>
      <c r="C872" s="4" t="n">
        <v>1.00615109</v>
      </c>
      <c r="D872" s="5" t="n">
        <v>0.32552736</v>
      </c>
      <c r="E872" s="5" t="n">
        <v>0.00615109</v>
      </c>
    </row>
    <row r="873">
      <c r="A873" s="2" t="n">
        <v>45057</v>
      </c>
      <c r="B873" s="3" t="n">
        <v>1333.6999883166</v>
      </c>
      <c r="C873" s="4" t="n">
        <v>1.00616557</v>
      </c>
      <c r="D873" s="5" t="n">
        <v>0.33369999</v>
      </c>
      <c r="E873" s="5" t="n">
        <v>0.00616557</v>
      </c>
    </row>
    <row r="874">
      <c r="A874" s="2" t="n">
        <v>45058</v>
      </c>
      <c r="B874" s="3" t="n">
        <v>1319.78695007148</v>
      </c>
      <c r="C874" s="4" t="n">
        <v>0.98956809</v>
      </c>
      <c r="D874" s="5" t="n">
        <v>0.31978695</v>
      </c>
      <c r="E874" s="5" t="n">
        <v>-0.01043191</v>
      </c>
    </row>
    <row r="875">
      <c r="A875" s="2" t="n">
        <v>45061</v>
      </c>
      <c r="B875" s="3" t="n">
        <v>1329.369527179864</v>
      </c>
      <c r="C875" s="4" t="n">
        <v>1.0072607</v>
      </c>
      <c r="D875" s="5" t="n">
        <v>0.32936953</v>
      </c>
      <c r="E875" s="5" t="n">
        <v>0.0072607</v>
      </c>
    </row>
    <row r="876">
      <c r="A876" s="2" t="n">
        <v>45062</v>
      </c>
      <c r="B876" s="3" t="n">
        <v>1318.935691278192</v>
      </c>
      <c r="C876" s="4" t="n">
        <v>0.99215129</v>
      </c>
      <c r="D876" s="5" t="n">
        <v>0.31893569</v>
      </c>
      <c r="E876" s="5" t="n">
        <v>-0.00784871</v>
      </c>
    </row>
    <row r="877">
      <c r="A877" s="2" t="n">
        <v>45063</v>
      </c>
      <c r="B877" s="3" t="n">
        <v>1332.833066059409</v>
      </c>
      <c r="C877" s="4" t="n">
        <v>1.01053681</v>
      </c>
      <c r="D877" s="5" t="n">
        <v>0.33283307</v>
      </c>
      <c r="E877" s="5" t="n">
        <v>0.01053681</v>
      </c>
    </row>
    <row r="878">
      <c r="A878" s="2" t="n">
        <v>45064</v>
      </c>
      <c r="B878" s="3" t="n">
        <v>1342.405819676445</v>
      </c>
      <c r="C878" s="4" t="n">
        <v>1.00718226</v>
      </c>
      <c r="D878" s="5" t="n">
        <v>0.34240582</v>
      </c>
      <c r="E878" s="5" t="n">
        <v>0.00718226</v>
      </c>
    </row>
    <row r="879">
      <c r="A879" s="2" t="n">
        <v>45065</v>
      </c>
      <c r="B879" s="3" t="n">
        <v>1341.627371965672</v>
      </c>
      <c r="C879" s="4" t="n">
        <v>0.99942011</v>
      </c>
      <c r="D879" s="5" t="n">
        <v>0.34162737</v>
      </c>
      <c r="E879" s="5" t="n">
        <v>-0.00057989</v>
      </c>
    </row>
    <row r="880">
      <c r="A880" s="2" t="n">
        <v>45068</v>
      </c>
      <c r="B880" s="3" t="n">
        <v>1346.433403202623</v>
      </c>
      <c r="C880" s="4" t="n">
        <v>1.00358224</v>
      </c>
      <c r="D880" s="5" t="n">
        <v>0.3464334</v>
      </c>
      <c r="E880" s="5" t="n">
        <v>0.00358224</v>
      </c>
    </row>
    <row r="881">
      <c r="A881" s="2" t="n">
        <v>45069</v>
      </c>
      <c r="B881" s="3" t="n">
        <v>1332.996805698703</v>
      </c>
      <c r="C881" s="4" t="n">
        <v>0.9900206</v>
      </c>
      <c r="D881" s="5" t="n">
        <v>0.33299681</v>
      </c>
      <c r="E881" s="5" t="n">
        <v>-0.009979399999999999</v>
      </c>
    </row>
    <row r="882">
      <c r="A882" s="2" t="n">
        <v>45070</v>
      </c>
      <c r="B882" s="3" t="n">
        <v>1336.004406401496</v>
      </c>
      <c r="C882" s="4" t="n">
        <v>1.00225627</v>
      </c>
      <c r="D882" s="5" t="n">
        <v>0.33600441</v>
      </c>
      <c r="E882" s="5" t="n">
        <v>0.00225627</v>
      </c>
    </row>
    <row r="883">
      <c r="A883" s="2" t="n">
        <v>45071</v>
      </c>
      <c r="B883" s="3" t="n">
        <v>1335.765315052927</v>
      </c>
      <c r="C883" s="4" t="n">
        <v>0.99982104</v>
      </c>
      <c r="D883" s="5" t="n">
        <v>0.33576532</v>
      </c>
      <c r="E883" s="5" t="n">
        <v>-0.00017896</v>
      </c>
    </row>
    <row r="884">
      <c r="A884" s="2" t="n">
        <v>45072</v>
      </c>
      <c r="B884" s="3" t="n">
        <v>1344.951132686789</v>
      </c>
      <c r="C884" s="4" t="n">
        <v>1.00687682</v>
      </c>
      <c r="D884" s="5" t="n">
        <v>0.34495113</v>
      </c>
      <c r="E884" s="5" t="n">
        <v>0.00687682</v>
      </c>
    </row>
    <row r="885">
      <c r="A885" s="2" t="n">
        <v>45075</v>
      </c>
      <c r="B885" s="3" t="n">
        <v>1340.895378748127</v>
      </c>
      <c r="C885" s="4" t="n">
        <v>0.99698446</v>
      </c>
      <c r="D885" s="5" t="n">
        <v>0.34089538</v>
      </c>
      <c r="E885" s="5" t="n">
        <v>-0.00301554</v>
      </c>
    </row>
    <row r="886">
      <c r="A886" s="2" t="n">
        <v>45076</v>
      </c>
      <c r="B886" s="3" t="n">
        <v>1349.637842301166</v>
      </c>
      <c r="C886" s="4" t="n">
        <v>1.00651987</v>
      </c>
      <c r="D886" s="5" t="n">
        <v>0.34963784</v>
      </c>
      <c r="E886" s="5" t="n">
        <v>0.00651987</v>
      </c>
    </row>
    <row r="887">
      <c r="A887" s="2" t="n">
        <v>45077</v>
      </c>
      <c r="B887" s="3" t="n">
        <v>1347.273519736266</v>
      </c>
      <c r="C887" s="4" t="n">
        <v>0.99824818</v>
      </c>
      <c r="D887" s="5" t="n">
        <v>0.34727352</v>
      </c>
      <c r="E887" s="5" t="n">
        <v>-0.00175182</v>
      </c>
    </row>
    <row r="888">
      <c r="A888" s="2" t="n">
        <v>45078</v>
      </c>
      <c r="B888" s="3" t="n">
        <v>1352.354492361247</v>
      </c>
      <c r="C888" s="4" t="n">
        <v>1.0037713</v>
      </c>
      <c r="D888" s="5" t="n">
        <v>0.35235449</v>
      </c>
      <c r="E888" s="5" t="n">
        <v>0.0037713</v>
      </c>
    </row>
    <row r="889">
      <c r="A889" s="2" t="n">
        <v>45079</v>
      </c>
      <c r="B889" s="3" t="n">
        <v>1359.278790785945</v>
      </c>
      <c r="C889" s="4" t="n">
        <v>1.00512018</v>
      </c>
      <c r="D889" s="5" t="n">
        <v>0.35927879</v>
      </c>
      <c r="E889" s="5" t="n">
        <v>0.00512018</v>
      </c>
    </row>
    <row r="890">
      <c r="A890" s="2" t="n">
        <v>45082</v>
      </c>
      <c r="B890" s="3" t="n">
        <v>1367.50151675341</v>
      </c>
      <c r="C890" s="4" t="n">
        <v>1.00604933</v>
      </c>
      <c r="D890" s="5" t="n">
        <v>0.36750152</v>
      </c>
      <c r="E890" s="5" t="n">
        <v>0.00604933</v>
      </c>
    </row>
    <row r="891">
      <c r="A891" s="2" t="n">
        <v>45083</v>
      </c>
      <c r="B891" s="3" t="n">
        <v>1341.242082552968</v>
      </c>
      <c r="C891" s="4" t="n">
        <v>0.98079751</v>
      </c>
      <c r="D891" s="5" t="n">
        <v>0.34124208</v>
      </c>
      <c r="E891" s="5" t="n">
        <v>-0.01920249</v>
      </c>
    </row>
    <row r="892">
      <c r="A892" s="2" t="n">
        <v>45084</v>
      </c>
      <c r="B892" s="3" t="n">
        <v>1350.289712681666</v>
      </c>
      <c r="C892" s="4" t="n">
        <v>1.00674571</v>
      </c>
      <c r="D892" s="5" t="n">
        <v>0.35028971</v>
      </c>
      <c r="E892" s="5" t="n">
        <v>0.00674571</v>
      </c>
    </row>
    <row r="893">
      <c r="A893" s="2" t="n">
        <v>45085</v>
      </c>
      <c r="B893" s="3" t="n">
        <v>1342.73527383192</v>
      </c>
      <c r="C893" s="4" t="n">
        <v>0.99440532</v>
      </c>
      <c r="D893" s="5" t="n">
        <v>0.34273527</v>
      </c>
      <c r="E893" s="5" t="n">
        <v>-0.00559468</v>
      </c>
    </row>
    <row r="894">
      <c r="A894" s="2" t="n">
        <v>45086</v>
      </c>
      <c r="B894" s="3" t="n">
        <v>1350.615720017276</v>
      </c>
      <c r="C894" s="4" t="n">
        <v>1.00586895</v>
      </c>
      <c r="D894" s="5" t="n">
        <v>0.35061572</v>
      </c>
      <c r="E894" s="5" t="n">
        <v>0.00586895</v>
      </c>
    </row>
    <row r="895">
      <c r="A895" s="2" t="n">
        <v>45089</v>
      </c>
      <c r="B895" s="3" t="n">
        <v>1361.133720973854</v>
      </c>
      <c r="C895" s="4" t="n">
        <v>1.00778756</v>
      </c>
      <c r="D895" s="5" t="n">
        <v>0.36113372</v>
      </c>
      <c r="E895" s="5" t="n">
        <v>0.00778756</v>
      </c>
    </row>
    <row r="896">
      <c r="A896" s="2" t="n">
        <v>45090</v>
      </c>
      <c r="B896" s="3" t="n">
        <v>1367.389028769985</v>
      </c>
      <c r="C896" s="4" t="n">
        <v>1.00459566</v>
      </c>
      <c r="D896" s="5" t="n">
        <v>0.36738903</v>
      </c>
      <c r="E896" s="5" t="n">
        <v>0.00459566</v>
      </c>
    </row>
    <row r="897">
      <c r="A897" s="2" t="n">
        <v>45091</v>
      </c>
      <c r="B897" s="3" t="n">
        <v>1370.287004708108</v>
      </c>
      <c r="C897" s="4" t="n">
        <v>1.00211935</v>
      </c>
      <c r="D897" s="5" t="n">
        <v>0.370287</v>
      </c>
      <c r="E897" s="5" t="n">
        <v>0.00211935</v>
      </c>
    </row>
    <row r="898">
      <c r="A898" s="2" t="n">
        <v>45092</v>
      </c>
      <c r="B898" s="3" t="n">
        <v>1373.366012201948</v>
      </c>
      <c r="C898" s="4" t="n">
        <v>1.00224698</v>
      </c>
      <c r="D898" s="5" t="n">
        <v>0.37336601</v>
      </c>
      <c r="E898" s="5" t="n">
        <v>0.00224698</v>
      </c>
    </row>
    <row r="899">
      <c r="A899" s="2" t="n">
        <v>45093</v>
      </c>
      <c r="B899" s="3" t="n">
        <v>1385.06726916349</v>
      </c>
      <c r="C899" s="4" t="n">
        <v>1.00852013</v>
      </c>
      <c r="D899" s="5" t="n">
        <v>0.38506727</v>
      </c>
      <c r="E899" s="5" t="n">
        <v>0.008520130000000001</v>
      </c>
    </row>
    <row r="900">
      <c r="A900" s="2" t="n">
        <v>45096</v>
      </c>
      <c r="B900" s="3" t="n">
        <v>1391.11160577141</v>
      </c>
      <c r="C900" s="4" t="n">
        <v>1.00436393</v>
      </c>
      <c r="D900" s="5" t="n">
        <v>0.39111161</v>
      </c>
      <c r="E900" s="5" t="n">
        <v>0.00436393</v>
      </c>
    </row>
    <row r="901">
      <c r="A901" s="2" t="n">
        <v>45097</v>
      </c>
      <c r="B901" s="3" t="n">
        <v>1387.091780119793</v>
      </c>
      <c r="C901" s="4" t="n">
        <v>0.99711035</v>
      </c>
      <c r="D901" s="5" t="n">
        <v>0.38709178</v>
      </c>
      <c r="E901" s="5" t="n">
        <v>-0.00288965</v>
      </c>
    </row>
    <row r="902">
      <c r="A902" s="2" t="n">
        <v>45098</v>
      </c>
      <c r="B902" s="3" t="n">
        <v>1364.727907412689</v>
      </c>
      <c r="C902" s="4" t="n">
        <v>0.98387715</v>
      </c>
      <c r="D902" s="5" t="n">
        <v>0.36472791</v>
      </c>
      <c r="E902" s="5" t="n">
        <v>-0.01612285</v>
      </c>
    </row>
    <row r="903">
      <c r="A903" s="2" t="n">
        <v>45103</v>
      </c>
      <c r="B903" s="3" t="n">
        <v>1335.384333136966</v>
      </c>
      <c r="C903" s="4" t="n">
        <v>0.9784985899999999</v>
      </c>
      <c r="D903" s="5" t="n">
        <v>0.33538433</v>
      </c>
      <c r="E903" s="5" t="n">
        <v>-0.02150141</v>
      </c>
    </row>
    <row r="904">
      <c r="A904" s="2" t="n">
        <v>45104</v>
      </c>
      <c r="B904" s="3" t="n">
        <v>1358.531845106033</v>
      </c>
      <c r="C904" s="4" t="n">
        <v>1.01733397</v>
      </c>
      <c r="D904" s="5" t="n">
        <v>0.35853185</v>
      </c>
      <c r="E904" s="5" t="n">
        <v>0.01733397</v>
      </c>
    </row>
    <row r="905">
      <c r="A905" s="2" t="n">
        <v>45105</v>
      </c>
      <c r="B905" s="3" t="n">
        <v>1351.231094970433</v>
      </c>
      <c r="C905" s="4" t="n">
        <v>0.994626</v>
      </c>
      <c r="D905" s="5" t="n">
        <v>0.35123109</v>
      </c>
      <c r="E905" s="5" t="n">
        <v>-0.005374</v>
      </c>
    </row>
    <row r="906">
      <c r="A906" s="2" t="n">
        <v>45106</v>
      </c>
      <c r="B906" s="3" t="n">
        <v>1366.986395488544</v>
      </c>
      <c r="C906" s="4" t="n">
        <v>1.01165996</v>
      </c>
      <c r="D906" s="5" t="n">
        <v>0.3669864</v>
      </c>
      <c r="E906" s="5" t="n">
        <v>0.01165996</v>
      </c>
    </row>
    <row r="907">
      <c r="A907" s="2" t="n">
        <v>45107</v>
      </c>
      <c r="B907" s="3" t="n">
        <v>1381.742193436006</v>
      </c>
      <c r="C907" s="4" t="n">
        <v>1.0107944</v>
      </c>
      <c r="D907" s="5" t="n">
        <v>0.38174219</v>
      </c>
      <c r="E907" s="5" t="n">
        <v>0.0107944</v>
      </c>
    </row>
    <row r="908">
      <c r="A908" s="2" t="n">
        <v>45110</v>
      </c>
      <c r="B908" s="3" t="n">
        <v>1382.132494153385</v>
      </c>
      <c r="C908" s="4" t="n">
        <v>1.00028247</v>
      </c>
      <c r="D908" s="5" t="n">
        <v>0.38213249</v>
      </c>
      <c r="E908" s="5" t="n">
        <v>0.00028247</v>
      </c>
    </row>
    <row r="909">
      <c r="A909" s="2" t="n">
        <v>45111</v>
      </c>
      <c r="B909" s="3" t="n">
        <v>1390.277483869381</v>
      </c>
      <c r="C909" s="4" t="n">
        <v>1.00589306</v>
      </c>
      <c r="D909" s="5" t="n">
        <v>0.39027748</v>
      </c>
      <c r="E909" s="5" t="n">
        <v>0.00589306</v>
      </c>
    </row>
    <row r="910">
      <c r="A910" s="2" t="n">
        <v>45112</v>
      </c>
      <c r="B910" s="3" t="n">
        <v>1380.07149856862</v>
      </c>
      <c r="C910" s="4" t="n">
        <v>0.99265903</v>
      </c>
      <c r="D910" s="5" t="n">
        <v>0.3800715</v>
      </c>
      <c r="E910" s="5" t="n">
        <v>-0.00734097</v>
      </c>
    </row>
    <row r="911">
      <c r="A911" s="2" t="n">
        <v>45113</v>
      </c>
      <c r="B911" s="3" t="n">
        <v>1381.072671437257</v>
      </c>
      <c r="C911" s="4" t="n">
        <v>1.00072545</v>
      </c>
      <c r="D911" s="5" t="n">
        <v>0.38107267</v>
      </c>
      <c r="E911" s="5" t="n">
        <v>0.00072545</v>
      </c>
    </row>
    <row r="912">
      <c r="A912" s="2" t="n">
        <v>45114</v>
      </c>
      <c r="B912" s="3" t="n">
        <v>1371.919584685853</v>
      </c>
      <c r="C912" s="4" t="n">
        <v>0.99337248</v>
      </c>
      <c r="D912" s="5" t="n">
        <v>0.37191958</v>
      </c>
      <c r="E912" s="5" t="n">
        <v>-0.00662752</v>
      </c>
    </row>
    <row r="913">
      <c r="A913" s="2" t="n">
        <v>45117</v>
      </c>
      <c r="B913" s="3" t="n">
        <v>1369.546204961934</v>
      </c>
      <c r="C913" s="4" t="n">
        <v>0.99827003</v>
      </c>
      <c r="D913" s="5" t="n">
        <v>0.3695462</v>
      </c>
      <c r="E913" s="5" t="n">
        <v>-0.00172997</v>
      </c>
    </row>
    <row r="914">
      <c r="A914" s="2" t="n">
        <v>45118</v>
      </c>
      <c r="B914" s="3" t="n">
        <v>1378.707715822717</v>
      </c>
      <c r="C914" s="4" t="n">
        <v>1.00668945</v>
      </c>
      <c r="D914" s="5" t="n">
        <v>0.37870772</v>
      </c>
      <c r="E914" s="5" t="n">
        <v>0.00668945</v>
      </c>
    </row>
    <row r="915">
      <c r="A915" s="2" t="n">
        <v>45119</v>
      </c>
      <c r="B915" s="3" t="n">
        <v>1360.748048697938</v>
      </c>
      <c r="C915" s="4" t="n">
        <v>0.98697355</v>
      </c>
      <c r="D915" s="5" t="n">
        <v>0.36074805</v>
      </c>
      <c r="E915" s="5" t="n">
        <v>-0.01302645</v>
      </c>
    </row>
    <row r="916">
      <c r="A916" s="2" t="n">
        <v>45120</v>
      </c>
      <c r="B916" s="3" t="n">
        <v>1373.040189298604</v>
      </c>
      <c r="C916" s="4" t="n">
        <v>1.00903337</v>
      </c>
      <c r="D916" s="5" t="n">
        <v>0.37304019</v>
      </c>
      <c r="E916" s="5" t="n">
        <v>0.009033370000000001</v>
      </c>
    </row>
    <row r="917">
      <c r="A917" s="2" t="n">
        <v>45121</v>
      </c>
      <c r="B917" s="3" t="n">
        <v>1374.248821655636</v>
      </c>
      <c r="C917" s="4" t="n">
        <v>1.00088026</v>
      </c>
      <c r="D917" s="5" t="n">
        <v>0.37424882</v>
      </c>
      <c r="E917" s="5" t="n">
        <v>0.00088026</v>
      </c>
    </row>
    <row r="918">
      <c r="A918" s="2" t="n">
        <v>45124</v>
      </c>
      <c r="B918" s="3" t="n">
        <v>1371.179464397445</v>
      </c>
      <c r="C918" s="4" t="n">
        <v>0.99776652</v>
      </c>
      <c r="D918" s="5" t="n">
        <v>0.37117946</v>
      </c>
      <c r="E918" s="5" t="n">
        <v>-0.00223348</v>
      </c>
    </row>
    <row r="919">
      <c r="A919" s="2" t="n">
        <v>45125</v>
      </c>
      <c r="B919" s="3" t="n">
        <v>1369.124683411072</v>
      </c>
      <c r="C919" s="4" t="n">
        <v>0.99850145</v>
      </c>
      <c r="D919" s="5" t="n">
        <v>0.36912468</v>
      </c>
      <c r="E919" s="5" t="n">
        <v>-0.00149855</v>
      </c>
    </row>
    <row r="920">
      <c r="A920" s="2" t="n">
        <v>45126</v>
      </c>
      <c r="B920" s="3" t="n">
        <v>1366.337159246894</v>
      </c>
      <c r="C920" s="4" t="n">
        <v>0.99796401</v>
      </c>
      <c r="D920" s="5" t="n">
        <v>0.36633716</v>
      </c>
      <c r="E920" s="5" t="n">
        <v>-0.00203599</v>
      </c>
    </row>
    <row r="921">
      <c r="A921" s="2" t="n">
        <v>45127</v>
      </c>
      <c r="B921" s="3" t="n">
        <v>1348.840788358218</v>
      </c>
      <c r="C921" s="4" t="n">
        <v>0.98719469</v>
      </c>
      <c r="D921" s="5" t="n">
        <v>0.34884079</v>
      </c>
      <c r="E921" s="5" t="n">
        <v>-0.01280531</v>
      </c>
    </row>
    <row r="922">
      <c r="A922" s="2" t="n">
        <v>45128</v>
      </c>
      <c r="B922" s="3" t="n">
        <v>1342.120499363604</v>
      </c>
      <c r="C922" s="4" t="n">
        <v>0.99501773</v>
      </c>
      <c r="D922" s="5" t="n">
        <v>0.3421205</v>
      </c>
      <c r="E922" s="5" t="n">
        <v>-0.00498227</v>
      </c>
    </row>
    <row r="923">
      <c r="A923" s="2" t="n">
        <v>45131</v>
      </c>
      <c r="B923" s="3" t="n">
        <v>1343.667172448276</v>
      </c>
      <c r="C923" s="4" t="n">
        <v>1.00115241</v>
      </c>
      <c r="D923" s="5" t="n">
        <v>0.34366717</v>
      </c>
      <c r="E923" s="5" t="n">
        <v>0.00115241</v>
      </c>
    </row>
    <row r="924">
      <c r="A924" s="2" t="n">
        <v>45132</v>
      </c>
      <c r="B924" s="3" t="n">
        <v>1361.375469607346</v>
      </c>
      <c r="C924" s="4" t="n">
        <v>1.01317908</v>
      </c>
      <c r="D924" s="5" t="n">
        <v>0.36137547</v>
      </c>
      <c r="E924" s="5" t="n">
        <v>0.01317908</v>
      </c>
    </row>
    <row r="925">
      <c r="A925" s="2" t="n">
        <v>45133</v>
      </c>
      <c r="B925" s="3" t="n">
        <v>1350.280613487668</v>
      </c>
      <c r="C925" s="4" t="n">
        <v>0.99185026</v>
      </c>
      <c r="D925" s="5" t="n">
        <v>0.35028061</v>
      </c>
      <c r="E925" s="5" t="n">
        <v>-0.008149740000000001</v>
      </c>
    </row>
    <row r="926">
      <c r="A926" s="2" t="n">
        <v>45134</v>
      </c>
      <c r="B926" s="3" t="n">
        <v>1340.586678907317</v>
      </c>
      <c r="C926" s="4" t="n">
        <v>0.9928207999999999</v>
      </c>
      <c r="D926" s="5" t="n">
        <v>0.34058668</v>
      </c>
      <c r="E926" s="5" t="n">
        <v>-0.0071792</v>
      </c>
    </row>
    <row r="927">
      <c r="A927" s="2" t="n">
        <v>45135</v>
      </c>
      <c r="B927" s="3" t="n">
        <v>1344.705752131061</v>
      </c>
      <c r="C927" s="4" t="n">
        <v>1.00307259</v>
      </c>
      <c r="D927" s="5" t="n">
        <v>0.34470575</v>
      </c>
      <c r="E927" s="5" t="n">
        <v>0.00307259</v>
      </c>
    </row>
    <row r="928">
      <c r="A928" s="2" t="n">
        <v>45138</v>
      </c>
      <c r="B928" s="3" t="n">
        <v>1355.997690084603</v>
      </c>
      <c r="C928" s="4" t="n">
        <v>1.00839733</v>
      </c>
      <c r="D928" s="5" t="n">
        <v>0.35599769</v>
      </c>
      <c r="E928" s="5" t="n">
        <v>0.00839733</v>
      </c>
    </row>
    <row r="929">
      <c r="A929" s="2" t="n">
        <v>45139</v>
      </c>
      <c r="B929" s="3" t="n">
        <v>1352.208856258807</v>
      </c>
      <c r="C929" s="4" t="n">
        <v>0.99720587</v>
      </c>
      <c r="D929" s="5" t="n">
        <v>0.35220886</v>
      </c>
      <c r="E929" s="5" t="n">
        <v>-0.00279413</v>
      </c>
    </row>
    <row r="930">
      <c r="A930" s="2" t="n">
        <v>45140</v>
      </c>
      <c r="B930" s="3" t="n">
        <v>1352.024563713788</v>
      </c>
      <c r="C930" s="4" t="n">
        <v>0.99986371</v>
      </c>
      <c r="D930" s="5" t="n">
        <v>0.35202456</v>
      </c>
      <c r="E930" s="5" t="n">
        <v>-0.00013629</v>
      </c>
    </row>
    <row r="931">
      <c r="A931" s="2" t="n">
        <v>45141</v>
      </c>
      <c r="B931" s="3" t="n">
        <v>1349.101378445074</v>
      </c>
      <c r="C931" s="4" t="n">
        <v>0.99783792</v>
      </c>
      <c r="D931" s="5" t="n">
        <v>0.34910138</v>
      </c>
      <c r="E931" s="5" t="n">
        <v>-0.00216208</v>
      </c>
    </row>
    <row r="932">
      <c r="A932" s="2" t="n">
        <v>45142</v>
      </c>
      <c r="B932" s="3" t="n">
        <v>1352.42081540471</v>
      </c>
      <c r="C932" s="4" t="n">
        <v>1.00246048</v>
      </c>
      <c r="D932" s="5" t="n">
        <v>0.35242082</v>
      </c>
      <c r="E932" s="5" t="n">
        <v>0.00246048</v>
      </c>
    </row>
    <row r="933">
      <c r="A933" s="2" t="n">
        <v>45145</v>
      </c>
      <c r="B933" s="3" t="n">
        <v>1347.493621793195</v>
      </c>
      <c r="C933" s="4" t="n">
        <v>0.99635676</v>
      </c>
      <c r="D933" s="5" t="n">
        <v>0.34749362</v>
      </c>
      <c r="E933" s="5" t="n">
        <v>-0.00364324</v>
      </c>
    </row>
    <row r="934">
      <c r="A934" s="2" t="n">
        <v>45146</v>
      </c>
      <c r="B934" s="3" t="n">
        <v>1344.27090214757</v>
      </c>
      <c r="C934" s="4" t="n">
        <v>0.99760836</v>
      </c>
      <c r="D934" s="5" t="n">
        <v>0.3442709</v>
      </c>
      <c r="E934" s="5" t="n">
        <v>-0.00239164</v>
      </c>
    </row>
    <row r="935">
      <c r="A935" s="2" t="n">
        <v>45147</v>
      </c>
      <c r="B935" s="3" t="n">
        <v>1330.131538173765</v>
      </c>
      <c r="C935" s="4" t="n">
        <v>0.98948176</v>
      </c>
      <c r="D935" s="5" t="n">
        <v>0.33013154</v>
      </c>
      <c r="E935" s="5" t="n">
        <v>-0.01051824</v>
      </c>
    </row>
    <row r="936">
      <c r="A936" s="2" t="n">
        <v>45148</v>
      </c>
      <c r="B936" s="3" t="n">
        <v>1332.386523471746</v>
      </c>
      <c r="C936" s="4" t="n">
        <v>1.00169531</v>
      </c>
      <c r="D936" s="5" t="n">
        <v>0.33238652</v>
      </c>
      <c r="E936" s="5" t="n">
        <v>0.00169531</v>
      </c>
    </row>
    <row r="937">
      <c r="A937" s="2" t="n">
        <v>45149</v>
      </c>
      <c r="B937" s="3" t="n">
        <v>1313.040471008915</v>
      </c>
      <c r="C937" s="4" t="n">
        <v>0.98548015</v>
      </c>
      <c r="D937" s="5" t="n">
        <v>0.31304047</v>
      </c>
      <c r="E937" s="5" t="n">
        <v>-0.01451985</v>
      </c>
    </row>
    <row r="938">
      <c r="A938" s="2" t="n">
        <v>45152</v>
      </c>
      <c r="B938" s="3" t="n">
        <v>1321.674657494938</v>
      </c>
      <c r="C938" s="4" t="n">
        <v>1.00657572</v>
      </c>
      <c r="D938" s="5" t="n">
        <v>0.32167466</v>
      </c>
      <c r="E938" s="5" t="n">
        <v>0.00657572</v>
      </c>
    </row>
    <row r="939">
      <c r="A939" s="2" t="n">
        <v>45153</v>
      </c>
      <c r="B939" s="3" t="n">
        <v>1312.002378016458</v>
      </c>
      <c r="C939" s="4" t="n">
        <v>0.9926817999999999</v>
      </c>
      <c r="D939" s="5" t="n">
        <v>0.31200238</v>
      </c>
      <c r="E939" s="5" t="n">
        <v>-0.0073182</v>
      </c>
    </row>
    <row r="940">
      <c r="A940" s="2" t="n">
        <v>45154</v>
      </c>
      <c r="B940" s="3" t="n">
        <v>1297.654831691397</v>
      </c>
      <c r="C940" s="4" t="n">
        <v>0.98906439</v>
      </c>
      <c r="D940" s="5" t="n">
        <v>0.29765483</v>
      </c>
      <c r="E940" s="5" t="n">
        <v>-0.01093561</v>
      </c>
    </row>
    <row r="941">
      <c r="A941" s="2" t="n">
        <v>45155</v>
      </c>
      <c r="B941" s="3" t="n">
        <v>1315.549868140323</v>
      </c>
      <c r="C941" s="4" t="n">
        <v>1.01379029</v>
      </c>
      <c r="D941" s="5" t="n">
        <v>0.31554987</v>
      </c>
      <c r="E941" s="5" t="n">
        <v>0.01379029</v>
      </c>
    </row>
    <row r="942">
      <c r="A942" s="2" t="n">
        <v>45156</v>
      </c>
      <c r="B942" s="3" t="n">
        <v>1294.911863851903</v>
      </c>
      <c r="C942" s="4" t="n">
        <v>0.98431226</v>
      </c>
      <c r="D942" s="5" t="n">
        <v>0.29491186</v>
      </c>
      <c r="E942" s="5" t="n">
        <v>-0.01568774</v>
      </c>
    </row>
    <row r="943">
      <c r="A943" s="2" t="n">
        <v>45159</v>
      </c>
      <c r="B943" s="3" t="n">
        <v>1289.598918169231</v>
      </c>
      <c r="C943" s="4" t="n">
        <v>0.99589706</v>
      </c>
      <c r="D943" s="5" t="n">
        <v>0.28959892</v>
      </c>
      <c r="E943" s="5" t="n">
        <v>-0.00410294</v>
      </c>
    </row>
    <row r="944">
      <c r="A944" s="2" t="n">
        <v>45160</v>
      </c>
      <c r="B944" s="3" t="n">
        <v>1298.124559785161</v>
      </c>
      <c r="C944" s="4" t="n">
        <v>1.00661108</v>
      </c>
      <c r="D944" s="5" t="n">
        <v>0.29812456</v>
      </c>
      <c r="E944" s="5" t="n">
        <v>0.00661108</v>
      </c>
    </row>
    <row r="945">
      <c r="A945" s="2" t="n">
        <v>45161</v>
      </c>
      <c r="B945" s="3" t="n">
        <v>1278.615227513588</v>
      </c>
      <c r="C945" s="4" t="n">
        <v>0.98497114</v>
      </c>
      <c r="D945" s="5" t="n">
        <v>0.27861523</v>
      </c>
      <c r="E945" s="5" t="n">
        <v>-0.01502886</v>
      </c>
    </row>
    <row r="946">
      <c r="A946" s="2" t="n">
        <v>45162</v>
      </c>
      <c r="B946" s="3" t="n">
        <v>1278.920036597676</v>
      </c>
      <c r="C946" s="4" t="n">
        <v>1.00023839</v>
      </c>
      <c r="D946" s="5" t="n">
        <v>0.27892004</v>
      </c>
      <c r="E946" s="5" t="n">
        <v>0.00023839</v>
      </c>
    </row>
    <row r="947">
      <c r="A947" s="2" t="n">
        <v>45163</v>
      </c>
      <c r="B947" s="3" t="n">
        <v>1252.226289701805</v>
      </c>
      <c r="C947" s="4" t="n">
        <v>0.9791279000000001</v>
      </c>
      <c r="D947" s="5" t="n">
        <v>0.25222629</v>
      </c>
      <c r="E947" s="5" t="n">
        <v>-0.0208721</v>
      </c>
    </row>
    <row r="948">
      <c r="A948" s="2" t="n">
        <v>45166</v>
      </c>
      <c r="B948" s="3" t="n">
        <v>1261.925020238541</v>
      </c>
      <c r="C948" s="4" t="n">
        <v>1.00774519</v>
      </c>
      <c r="D948" s="5" t="n">
        <v>0.26192502</v>
      </c>
      <c r="E948" s="5" t="n">
        <v>0.00774519</v>
      </c>
    </row>
    <row r="949">
      <c r="A949" s="2" t="n">
        <v>45167</v>
      </c>
      <c r="B949" s="3" t="n">
        <v>1304.488968777674</v>
      </c>
      <c r="C949" s="4" t="n">
        <v>1.03372938</v>
      </c>
      <c r="D949" s="5" t="n">
        <v>0.30448897</v>
      </c>
      <c r="E949" s="5" t="n">
        <v>0.03372938</v>
      </c>
    </row>
    <row r="950">
      <c r="A950" s="2" t="n">
        <v>45168</v>
      </c>
      <c r="B950" s="3" t="n">
        <v>1315.34960909124</v>
      </c>
      <c r="C950" s="4" t="n">
        <v>1.00832559</v>
      </c>
      <c r="D950" s="5" t="n">
        <v>0.31534961</v>
      </c>
      <c r="E950" s="5" t="n">
        <v>0.008325590000000001</v>
      </c>
    </row>
    <row r="951">
      <c r="A951" s="2" t="n">
        <v>45169</v>
      </c>
      <c r="B951" s="3" t="n">
        <v>1308.586633848129</v>
      </c>
      <c r="C951" s="4" t="n">
        <v>0.99485842</v>
      </c>
      <c r="D951" s="5" t="n">
        <v>0.30858663</v>
      </c>
      <c r="E951" s="5" t="n">
        <v>-0.00514158</v>
      </c>
    </row>
    <row r="952">
      <c r="A952" s="2" t="n">
        <v>45170</v>
      </c>
      <c r="B952" s="3" t="n">
        <v>1307.743995656995</v>
      </c>
      <c r="C952" s="4" t="n">
        <v>0.99935607</v>
      </c>
      <c r="D952" s="5" t="n">
        <v>0.307744</v>
      </c>
      <c r="E952" s="5" t="n">
        <v>-0.00064393</v>
      </c>
    </row>
    <row r="953">
      <c r="A953" s="2" t="n">
        <v>45173</v>
      </c>
      <c r="B953" s="3" t="n">
        <v>1323.631280517514</v>
      </c>
      <c r="C953" s="4" t="n">
        <v>1.01214862</v>
      </c>
      <c r="D953" s="5" t="n">
        <v>0.32363128</v>
      </c>
      <c r="E953" s="5" t="n">
        <v>0.01214862</v>
      </c>
    </row>
    <row r="954">
      <c r="A954" s="2" t="n">
        <v>45174</v>
      </c>
      <c r="B954" s="3" t="n">
        <v>1318.7598938432</v>
      </c>
      <c r="C954" s="4" t="n">
        <v>0.99631968</v>
      </c>
      <c r="D954" s="5" t="n">
        <v>0.31875989</v>
      </c>
      <c r="E954" s="5" t="n">
        <v>-0.00368032</v>
      </c>
    </row>
    <row r="955">
      <c r="A955" s="2" t="n">
        <v>45175</v>
      </c>
      <c r="B955" s="3" t="n">
        <v>1326.203541750805</v>
      </c>
      <c r="C955" s="4" t="n">
        <v>1.00564443</v>
      </c>
      <c r="D955" s="5" t="n">
        <v>0.32620354</v>
      </c>
      <c r="E955" s="5" t="n">
        <v>0.00564443</v>
      </c>
    </row>
    <row r="956">
      <c r="A956" s="2" t="n">
        <v>45176</v>
      </c>
      <c r="B956" s="3" t="n">
        <v>1305.404293744465</v>
      </c>
      <c r="C956" s="4" t="n">
        <v>0.9843167</v>
      </c>
      <c r="D956" s="5" t="n">
        <v>0.30540429</v>
      </c>
      <c r="E956" s="5" t="n">
        <v>-0.0156833</v>
      </c>
    </row>
    <row r="957">
      <c r="A957" s="2" t="n">
        <v>45177</v>
      </c>
      <c r="B957" s="3" t="n">
        <v>1309.252508116037</v>
      </c>
      <c r="C957" s="4" t="n">
        <v>1.00294791</v>
      </c>
      <c r="D957" s="5" t="n">
        <v>0.30925251</v>
      </c>
      <c r="E957" s="5" t="n">
        <v>0.00294791</v>
      </c>
    </row>
    <row r="958">
      <c r="A958" s="2" t="n">
        <v>45180</v>
      </c>
      <c r="B958" s="3" t="n">
        <v>1321.586687959446</v>
      </c>
      <c r="C958" s="4" t="n">
        <v>1.00942078</v>
      </c>
      <c r="D958" s="5" t="n">
        <v>0.32158669</v>
      </c>
      <c r="E958" s="5" t="n">
        <v>0.00942078</v>
      </c>
    </row>
    <row r="959">
      <c r="A959" s="2" t="n">
        <v>45181</v>
      </c>
      <c r="B959" s="3" t="n">
        <v>1321.606657134301</v>
      </c>
      <c r="C959" s="4" t="n">
        <v>1.00001511</v>
      </c>
      <c r="D959" s="5" t="n">
        <v>0.32160666</v>
      </c>
      <c r="E959" s="5" t="n">
        <v>1.511e-05</v>
      </c>
    </row>
    <row r="960">
      <c r="A960" s="2" t="n">
        <v>45182</v>
      </c>
      <c r="B960" s="3" t="n">
        <v>1306.361673238992</v>
      </c>
      <c r="C960" s="4" t="n">
        <v>0.98846481</v>
      </c>
      <c r="D960" s="5" t="n">
        <v>0.30636167</v>
      </c>
      <c r="E960" s="5" t="n">
        <v>-0.01153519</v>
      </c>
    </row>
    <row r="961">
      <c r="A961" s="2" t="n">
        <v>45183</v>
      </c>
      <c r="B961" s="3" t="n">
        <v>1295.694851332111</v>
      </c>
      <c r="C961" s="4" t="n">
        <v>0.99183471</v>
      </c>
      <c r="D961" s="5" t="n">
        <v>0.29569485</v>
      </c>
      <c r="E961" s="5" t="n">
        <v>-0.00816529</v>
      </c>
    </row>
    <row r="962">
      <c r="A962" s="2" t="n">
        <v>45184</v>
      </c>
      <c r="B962" s="3" t="n">
        <v>1297.408874223144</v>
      </c>
      <c r="C962" s="4" t="n">
        <v>1.00132286</v>
      </c>
      <c r="D962" s="5" t="n">
        <v>0.29740887</v>
      </c>
      <c r="E962" s="5" t="n">
        <v>0.00132286</v>
      </c>
    </row>
    <row r="963">
      <c r="A963" s="2" t="n">
        <v>45187</v>
      </c>
      <c r="B963" s="3" t="n">
        <v>1304.381992828987</v>
      </c>
      <c r="C963" s="4" t="n">
        <v>1.00537465</v>
      </c>
      <c r="D963" s="5" t="n">
        <v>0.30438199</v>
      </c>
      <c r="E963" s="5" t="n">
        <v>0.00537465</v>
      </c>
    </row>
    <row r="964">
      <c r="A964" s="2" t="n">
        <v>45188</v>
      </c>
      <c r="B964" s="3" t="n">
        <v>1289.282049477761</v>
      </c>
      <c r="C964" s="4" t="n">
        <v>0.98842368</v>
      </c>
      <c r="D964" s="5" t="n">
        <v>0.28928205</v>
      </c>
      <c r="E964" s="5" t="n">
        <v>-0.01157632</v>
      </c>
    </row>
    <row r="965">
      <c r="A965" s="2" t="n">
        <v>45189</v>
      </c>
      <c r="B965" s="3" t="n">
        <v>1279.230355371315</v>
      </c>
      <c r="C965" s="4" t="n">
        <v>0.99220365</v>
      </c>
      <c r="D965" s="5" t="n">
        <v>0.27923036</v>
      </c>
      <c r="E965" s="5" t="n">
        <v>-0.00779635</v>
      </c>
    </row>
    <row r="966">
      <c r="A966" s="2" t="n">
        <v>45190</v>
      </c>
      <c r="B966" s="3" t="n">
        <v>1271.642728441466</v>
      </c>
      <c r="C966" s="4" t="n">
        <v>0.9940686</v>
      </c>
      <c r="D966" s="5" t="n">
        <v>0.27164273</v>
      </c>
      <c r="E966" s="5" t="n">
        <v>-0.0059314</v>
      </c>
    </row>
    <row r="967">
      <c r="A967" s="2" t="n">
        <v>45191</v>
      </c>
      <c r="B967" s="3" t="n">
        <v>1296.709299038795</v>
      </c>
      <c r="C967" s="4" t="n">
        <v>1.01971196</v>
      </c>
      <c r="D967" s="5" t="n">
        <v>0.2967093</v>
      </c>
      <c r="E967" s="5" t="n">
        <v>0.01971196</v>
      </c>
    </row>
    <row r="968">
      <c r="A968" s="2" t="n">
        <v>45194</v>
      </c>
      <c r="B968" s="3" t="n">
        <v>1293.816107184966</v>
      </c>
      <c r="C968" s="4" t="n">
        <v>0.99776882</v>
      </c>
      <c r="D968" s="5" t="n">
        <v>0.29381611</v>
      </c>
      <c r="E968" s="5" t="n">
        <v>-0.00223118</v>
      </c>
    </row>
    <row r="969">
      <c r="A969" s="2" t="n">
        <v>45195</v>
      </c>
      <c r="B969" s="3" t="n">
        <v>1290.370338499344</v>
      </c>
      <c r="C969" s="4" t="n">
        <v>0.9973367400000001</v>
      </c>
      <c r="D969" s="5" t="n">
        <v>0.29037034</v>
      </c>
      <c r="E969" s="5" t="n">
        <v>-0.00266326</v>
      </c>
    </row>
    <row r="970">
      <c r="A970" s="2" t="n">
        <v>45196</v>
      </c>
      <c r="B970" s="3" t="n">
        <v>1295.071957672107</v>
      </c>
      <c r="C970" s="4" t="n">
        <v>1.00364362</v>
      </c>
      <c r="D970" s="5" t="n">
        <v>0.29507196</v>
      </c>
      <c r="E970" s="5" t="n">
        <v>0.00364362</v>
      </c>
    </row>
    <row r="971">
      <c r="A971" s="2" t="n">
        <v>45197</v>
      </c>
      <c r="B971" s="3" t="n">
        <v>1310.803624115696</v>
      </c>
      <c r="C971" s="4" t="n">
        <v>1.01214733</v>
      </c>
      <c r="D971" s="5" t="n">
        <v>0.31080362</v>
      </c>
      <c r="E971" s="5" t="n">
        <v>0.01214733</v>
      </c>
    </row>
    <row r="972">
      <c r="A972" s="2" t="n">
        <v>45208</v>
      </c>
      <c r="B972" s="3" t="n">
        <v>1307.317201068418</v>
      </c>
      <c r="C972" s="4" t="n">
        <v>0.99734024</v>
      </c>
      <c r="D972" s="5" t="n">
        <v>0.3073172</v>
      </c>
      <c r="E972" s="5" t="n">
        <v>-0.00265976</v>
      </c>
    </row>
    <row r="973">
      <c r="A973" s="2" t="n">
        <v>45209</v>
      </c>
      <c r="B973" s="3" t="n">
        <v>1307.500251622912</v>
      </c>
      <c r="C973" s="4" t="n">
        <v>1.00014002</v>
      </c>
      <c r="D973" s="5" t="n">
        <v>0.30750025</v>
      </c>
      <c r="E973" s="5" t="n">
        <v>0.00014002</v>
      </c>
    </row>
    <row r="974">
      <c r="A974" s="2" t="n">
        <v>45210</v>
      </c>
      <c r="B974" s="3" t="n">
        <v>1311.531824048771</v>
      </c>
      <c r="C974" s="4" t="n">
        <v>1.00308342</v>
      </c>
      <c r="D974" s="5" t="n">
        <v>0.31153182</v>
      </c>
      <c r="E974" s="5" t="n">
        <v>0.00308342</v>
      </c>
    </row>
    <row r="975">
      <c r="A975" s="2" t="n">
        <v>45211</v>
      </c>
      <c r="B975" s="3" t="n">
        <v>1316.844668968856</v>
      </c>
      <c r="C975" s="4" t="n">
        <v>1.00405087</v>
      </c>
      <c r="D975" s="5" t="n">
        <v>0.31684467</v>
      </c>
      <c r="E975" s="5" t="n">
        <v>0.00405087</v>
      </c>
    </row>
    <row r="976">
      <c r="A976" s="2" t="n">
        <v>45212</v>
      </c>
      <c r="B976" s="3" t="n">
        <v>1311.203451259907</v>
      </c>
      <c r="C976" s="4" t="n">
        <v>0.99571611</v>
      </c>
      <c r="D976" s="5" t="n">
        <v>0.31120345</v>
      </c>
      <c r="E976" s="5" t="n">
        <v>-0.00428389</v>
      </c>
    </row>
    <row r="977">
      <c r="A977" s="2" t="n">
        <v>45215</v>
      </c>
      <c r="B977" s="3" t="n">
        <v>1304.503673657211</v>
      </c>
      <c r="C977" s="4" t="n">
        <v>0.99489036</v>
      </c>
      <c r="D977" s="5" t="n">
        <v>0.30450367</v>
      </c>
      <c r="E977" s="5" t="n">
        <v>-0.00510964</v>
      </c>
    </row>
    <row r="978">
      <c r="A978" s="2" t="n">
        <v>45216</v>
      </c>
      <c r="B978" s="3" t="n">
        <v>1300.976908840368</v>
      </c>
      <c r="C978" s="4" t="n">
        <v>0.99729647</v>
      </c>
      <c r="D978" s="5" t="n">
        <v>0.30097691</v>
      </c>
      <c r="E978" s="5" t="n">
        <v>-0.00270353</v>
      </c>
    </row>
    <row r="979">
      <c r="A979" s="2" t="n">
        <v>45217</v>
      </c>
      <c r="B979" s="3" t="n">
        <v>1278.471062108726</v>
      </c>
      <c r="C979" s="4" t="n">
        <v>0.98270081</v>
      </c>
      <c r="D979" s="5" t="n">
        <v>0.27847106</v>
      </c>
      <c r="E979" s="5" t="n">
        <v>-0.01729919</v>
      </c>
    </row>
    <row r="980">
      <c r="A980" s="2" t="n">
        <v>45218</v>
      </c>
      <c r="B980" s="3" t="n">
        <v>1267.467836989134</v>
      </c>
      <c r="C980" s="4" t="n">
        <v>0.99139345</v>
      </c>
      <c r="D980" s="5" t="n">
        <v>0.26746784</v>
      </c>
      <c r="E980" s="5" t="n">
        <v>-0.008606549999999999</v>
      </c>
    </row>
    <row r="981">
      <c r="A981" s="2" t="n">
        <v>45219</v>
      </c>
      <c r="B981" s="3" t="n">
        <v>1252.192530087274</v>
      </c>
      <c r="C981" s="4" t="n">
        <v>0.98794817</v>
      </c>
      <c r="D981" s="5" t="n">
        <v>0.25219253</v>
      </c>
      <c r="E981" s="5" t="n">
        <v>-0.01205183</v>
      </c>
    </row>
    <row r="982">
      <c r="A982" s="2" t="n">
        <v>45222</v>
      </c>
      <c r="B982" s="3" t="n">
        <v>1224.885817320557</v>
      </c>
      <c r="C982" s="4" t="n">
        <v>0.97819288</v>
      </c>
      <c r="D982" s="5" t="n">
        <v>0.22488582</v>
      </c>
      <c r="E982" s="5" t="n">
        <v>-0.02180712</v>
      </c>
    </row>
    <row r="983">
      <c r="A983" s="2" t="n">
        <v>45223</v>
      </c>
      <c r="B983" s="3" t="n">
        <v>1253.568674532156</v>
      </c>
      <c r="C983" s="4" t="n">
        <v>1.02341676</v>
      </c>
      <c r="D983" s="5" t="n">
        <v>0.25356867</v>
      </c>
      <c r="E983" s="5" t="n">
        <v>0.02341676</v>
      </c>
    </row>
    <row r="984">
      <c r="A984" s="2" t="n">
        <v>45224</v>
      </c>
      <c r="B984" s="3" t="n">
        <v>1273.558343865667</v>
      </c>
      <c r="C984" s="4" t="n">
        <v>1.01594621</v>
      </c>
      <c r="D984" s="5" t="n">
        <v>0.27355834</v>
      </c>
      <c r="E984" s="5" t="n">
        <v>0.01594621</v>
      </c>
    </row>
    <row r="985">
      <c r="A985" s="2" t="n">
        <v>45225</v>
      </c>
      <c r="B985" s="3" t="n">
        <v>1279.15516157037</v>
      </c>
      <c r="C985" s="4" t="n">
        <v>1.00439463</v>
      </c>
      <c r="D985" s="5" t="n">
        <v>0.27915516</v>
      </c>
      <c r="E985" s="5" t="n">
        <v>0.00439463</v>
      </c>
    </row>
    <row r="986">
      <c r="A986" s="2" t="n">
        <v>45226</v>
      </c>
      <c r="B986" s="3" t="n">
        <v>1292.332033095393</v>
      </c>
      <c r="C986" s="4" t="n">
        <v>1.01030123</v>
      </c>
      <c r="D986" s="5" t="n">
        <v>0.29233203</v>
      </c>
      <c r="E986" s="5" t="n">
        <v>0.01030123</v>
      </c>
    </row>
    <row r="987">
      <c r="A987" s="2" t="n">
        <v>45229</v>
      </c>
      <c r="B987" s="3" t="n">
        <v>1309.150881566988</v>
      </c>
      <c r="C987" s="4" t="n">
        <v>1.01301434</v>
      </c>
      <c r="D987" s="5" t="n">
        <v>0.30915088</v>
      </c>
      <c r="E987" s="5" t="n">
        <v>0.01301434</v>
      </c>
    </row>
    <row r="988">
      <c r="A988" s="2" t="n">
        <v>45230</v>
      </c>
      <c r="B988" s="3" t="n">
        <v>1302.096312577523</v>
      </c>
      <c r="C988" s="4" t="n">
        <v>0.99461134</v>
      </c>
      <c r="D988" s="5" t="n">
        <v>0.30209631</v>
      </c>
      <c r="E988" s="5" t="n">
        <v>-0.00538866</v>
      </c>
    </row>
    <row r="989">
      <c r="A989" s="2" t="n">
        <v>45231</v>
      </c>
      <c r="B989" s="3" t="n">
        <v>1305.472700399889</v>
      </c>
      <c r="C989" s="4" t="n">
        <v>1.00259304</v>
      </c>
      <c r="D989" s="5" t="n">
        <v>0.3054727</v>
      </c>
      <c r="E989" s="5" t="n">
        <v>0.00259304</v>
      </c>
    </row>
    <row r="990">
      <c r="A990" s="2" t="n">
        <v>45232</v>
      </c>
      <c r="B990" s="3" t="n">
        <v>1292.296642763115</v>
      </c>
      <c r="C990" s="4" t="n">
        <v>0.9899070599999999</v>
      </c>
      <c r="D990" s="5" t="n">
        <v>0.29229664</v>
      </c>
      <c r="E990" s="5" t="n">
        <v>-0.01009294</v>
      </c>
    </row>
    <row r="991">
      <c r="A991" s="2" t="n">
        <v>45233</v>
      </c>
      <c r="B991" s="3" t="n">
        <v>1307.466654593183</v>
      </c>
      <c r="C991" s="4" t="n">
        <v>1.0117388</v>
      </c>
      <c r="D991" s="5" t="n">
        <v>0.30746665</v>
      </c>
      <c r="E991" s="5" t="n">
        <v>0.0117388</v>
      </c>
    </row>
    <row r="992">
      <c r="A992" s="2" t="n">
        <v>45236</v>
      </c>
      <c r="B992" s="3" t="n">
        <v>1335.865497138941</v>
      </c>
      <c r="C992" s="4" t="n">
        <v>1.02172051</v>
      </c>
      <c r="D992" s="5" t="n">
        <v>0.3358655</v>
      </c>
      <c r="E992" s="5" t="n">
        <v>0.02172051</v>
      </c>
    </row>
    <row r="993">
      <c r="A993" s="2" t="n">
        <v>45237</v>
      </c>
      <c r="B993" s="3" t="n">
        <v>1347.443149512235</v>
      </c>
      <c r="C993" s="4" t="n">
        <v>1.00866678</v>
      </c>
      <c r="D993" s="5" t="n">
        <v>0.34744315</v>
      </c>
      <c r="E993" s="5" t="n">
        <v>0.008666780000000001</v>
      </c>
    </row>
    <row r="994">
      <c r="A994" s="2" t="n">
        <v>45238</v>
      </c>
      <c r="B994" s="3" t="n">
        <v>1353.408873210111</v>
      </c>
      <c r="C994" s="4" t="n">
        <v>1.00442744</v>
      </c>
      <c r="D994" s="5" t="n">
        <v>0.35340887</v>
      </c>
      <c r="E994" s="5" t="n">
        <v>0.00442744</v>
      </c>
    </row>
    <row r="995">
      <c r="A995" s="2" t="n">
        <v>45239</v>
      </c>
      <c r="B995" s="3" t="n">
        <v>1343.375728414875</v>
      </c>
      <c r="C995" s="4" t="n">
        <v>0.99258676</v>
      </c>
      <c r="D995" s="5" t="n">
        <v>0.34337573</v>
      </c>
      <c r="E995" s="5" t="n">
        <v>-0.00741324</v>
      </c>
    </row>
    <row r="996">
      <c r="A996" s="2" t="n">
        <v>45240</v>
      </c>
      <c r="B996" s="3" t="n">
        <v>1340.199961325388</v>
      </c>
      <c r="C996" s="4" t="n">
        <v>0.99763598</v>
      </c>
      <c r="D996" s="5" t="n">
        <v>0.34019996</v>
      </c>
      <c r="E996" s="5" t="n">
        <v>-0.00236402</v>
      </c>
    </row>
    <row r="997">
      <c r="A997" s="2" t="n">
        <v>45243</v>
      </c>
      <c r="B997" s="3" t="n">
        <v>1355.267534646577</v>
      </c>
      <c r="C997" s="4" t="n">
        <v>1.01124278</v>
      </c>
      <c r="D997" s="5" t="n">
        <v>0.35526753</v>
      </c>
      <c r="E997" s="5" t="n">
        <v>0.01124278</v>
      </c>
    </row>
    <row r="998">
      <c r="A998" s="2" t="n">
        <v>45244</v>
      </c>
      <c r="B998" s="3" t="n">
        <v>1365.074846844995</v>
      </c>
      <c r="C998" s="4" t="n">
        <v>1.00723644</v>
      </c>
      <c r="D998" s="5" t="n">
        <v>0.36507485</v>
      </c>
      <c r="E998" s="5" t="n">
        <v>0.00723644</v>
      </c>
    </row>
    <row r="999">
      <c r="A999" s="2" t="n">
        <v>45245</v>
      </c>
      <c r="B999" s="3" t="n">
        <v>1373.076410519508</v>
      </c>
      <c r="C999" s="4" t="n">
        <v>1.00586163</v>
      </c>
      <c r="D999" s="5" t="n">
        <v>0.37307641</v>
      </c>
      <c r="E999" s="5" t="n">
        <v>0.00586163</v>
      </c>
    </row>
    <row r="1000">
      <c r="A1000" s="2" t="n">
        <v>45246</v>
      </c>
      <c r="B1000" s="3" t="n">
        <v>1366.393139591237</v>
      </c>
      <c r="C1000" s="4" t="n">
        <v>0.99513263</v>
      </c>
      <c r="D1000" s="5" t="n">
        <v>0.36639314</v>
      </c>
      <c r="E1000" s="5" t="n">
        <v>-0.00486737</v>
      </c>
    </row>
    <row r="1001">
      <c r="A1001" s="2" t="n">
        <v>45247</v>
      </c>
      <c r="B1001" s="3" t="n">
        <v>1378.713414629401</v>
      </c>
      <c r="C1001" s="4" t="n">
        <v>1.00901664</v>
      </c>
      <c r="D1001" s="5" t="n">
        <v>0.37871341</v>
      </c>
      <c r="E1001" s="5" t="n">
        <v>0.009016639999999999</v>
      </c>
    </row>
    <row r="1002">
      <c r="A1002" s="2" t="n">
        <v>45250</v>
      </c>
      <c r="B1002" s="3" t="n">
        <v>1391.724043593442</v>
      </c>
      <c r="C1002" s="4" t="n">
        <v>1.00943679</v>
      </c>
      <c r="D1002" s="5" t="n">
        <v>0.39172404</v>
      </c>
      <c r="E1002" s="5" t="n">
        <v>0.00943679</v>
      </c>
    </row>
    <row r="1003">
      <c r="A1003" s="2" t="n">
        <v>45251</v>
      </c>
      <c r="B1003" s="3" t="n">
        <v>1383.198342102389</v>
      </c>
      <c r="C1003" s="4" t="n">
        <v>0.993874</v>
      </c>
      <c r="D1003" s="5" t="n">
        <v>0.38319834</v>
      </c>
      <c r="E1003" s="5" t="n">
        <v>-0.006126</v>
      </c>
    </row>
    <row r="1004">
      <c r="A1004" s="2" t="n">
        <v>45252</v>
      </c>
      <c r="B1004" s="3" t="n">
        <v>1370.141364712445</v>
      </c>
      <c r="C1004" s="4" t="n">
        <v>0.9905602999999999</v>
      </c>
      <c r="D1004" s="5" t="n">
        <v>0.37014136</v>
      </c>
      <c r="E1004" s="5" t="n">
        <v>-0.009439700000000001</v>
      </c>
    </row>
    <row r="1005">
      <c r="A1005" s="2" t="n">
        <v>45253</v>
      </c>
      <c r="B1005" s="3" t="n">
        <v>1380.851595343438</v>
      </c>
      <c r="C1005" s="4" t="n">
        <v>1.00781688</v>
      </c>
      <c r="D1005" s="5" t="n">
        <v>0.3808516</v>
      </c>
      <c r="E1005" s="5" t="n">
        <v>0.00781688</v>
      </c>
    </row>
    <row r="1006">
      <c r="A1006" s="2" t="n">
        <v>45254</v>
      </c>
      <c r="B1006" s="3" t="n">
        <v>1365.167965774623</v>
      </c>
      <c r="C1006" s="4" t="n">
        <v>0.98864206</v>
      </c>
      <c r="D1006" s="5" t="n">
        <v>0.36516797</v>
      </c>
      <c r="E1006" s="5" t="n">
        <v>-0.01135794</v>
      </c>
    </row>
    <row r="1007">
      <c r="A1007" s="2" t="n">
        <v>45257</v>
      </c>
      <c r="B1007" s="3" t="n">
        <v>1366.04443091201</v>
      </c>
      <c r="C1007" s="4" t="n">
        <v>1.00064202</v>
      </c>
      <c r="D1007" s="5" t="n">
        <v>0.36604443</v>
      </c>
      <c r="E1007" s="5" t="n">
        <v>0.00064202</v>
      </c>
    </row>
    <row r="1008">
      <c r="A1008" s="2" t="n">
        <v>45258</v>
      </c>
      <c r="B1008" s="3" t="n">
        <v>1374.84437985239</v>
      </c>
      <c r="C1008" s="4" t="n">
        <v>1.00644192</v>
      </c>
      <c r="D1008" s="5" t="n">
        <v>0.37484438</v>
      </c>
      <c r="E1008" s="5" t="n">
        <v>0.00644192</v>
      </c>
    </row>
    <row r="1009">
      <c r="A1009" s="2" t="n">
        <v>45259</v>
      </c>
      <c r="B1009" s="3" t="n">
        <v>1368.432490621185</v>
      </c>
      <c r="C1009" s="4" t="n">
        <v>0.99533628</v>
      </c>
      <c r="D1009" s="5" t="n">
        <v>0.36843249</v>
      </c>
      <c r="E1009" s="5" t="n">
        <v>-0.00466372</v>
      </c>
    </row>
    <row r="1010">
      <c r="A1010" s="2" t="n">
        <v>45260</v>
      </c>
      <c r="B1010" s="3" t="n">
        <v>1360.881302241713</v>
      </c>
      <c r="C1010" s="4" t="n">
        <v>0.99448187</v>
      </c>
      <c r="D1010" s="5" t="n">
        <v>0.3608813</v>
      </c>
      <c r="E1010" s="5" t="n">
        <v>-0.00551813</v>
      </c>
    </row>
    <row r="1011">
      <c r="A1011" s="2" t="n">
        <v>45261</v>
      </c>
      <c r="B1011" s="3" t="n">
        <v>1372.745696784478</v>
      </c>
      <c r="C1011" s="4" t="n">
        <v>1.00871817</v>
      </c>
      <c r="D1011" s="5" t="n">
        <v>0.3727457</v>
      </c>
      <c r="E1011" s="5" t="n">
        <v>0.008718170000000001</v>
      </c>
    </row>
    <row r="1012">
      <c r="A1012" s="2" t="n">
        <v>45264</v>
      </c>
      <c r="B1012" s="3" t="n">
        <v>1374.682503688071</v>
      </c>
      <c r="C1012" s="4" t="n">
        <v>1.0014109</v>
      </c>
      <c r="D1012" s="5" t="n">
        <v>0.3746825</v>
      </c>
      <c r="E1012" s="5" t="n">
        <v>0.0014109</v>
      </c>
    </row>
    <row r="1013">
      <c r="A1013" s="2" t="n">
        <v>45265</v>
      </c>
      <c r="B1013" s="3" t="n">
        <v>1351.337700397741</v>
      </c>
      <c r="C1013" s="4" t="n">
        <v>0.98301804</v>
      </c>
      <c r="D1013" s="5" t="n">
        <v>0.3513377</v>
      </c>
      <c r="E1013" s="5" t="n">
        <v>-0.01698196</v>
      </c>
    </row>
    <row r="1014">
      <c r="A1014" s="2" t="n">
        <v>45266</v>
      </c>
      <c r="B1014" s="3" t="n">
        <v>1357.420530842049</v>
      </c>
      <c r="C1014" s="4" t="n">
        <v>1.00450134</v>
      </c>
      <c r="D1014" s="5" t="n">
        <v>0.35742053</v>
      </c>
      <c r="E1014" s="5" t="n">
        <v>0.00450134</v>
      </c>
    </row>
    <row r="1015">
      <c r="A1015" s="2" t="n">
        <v>45267</v>
      </c>
      <c r="B1015" s="3" t="n">
        <v>1353.741310364228</v>
      </c>
      <c r="C1015" s="4" t="n">
        <v>0.99728955</v>
      </c>
      <c r="D1015" s="5" t="n">
        <v>0.35374131</v>
      </c>
      <c r="E1015" s="5" t="n">
        <v>-0.00271045</v>
      </c>
    </row>
    <row r="1016">
      <c r="A1016" s="2" t="n">
        <v>45268</v>
      </c>
      <c r="B1016" s="3" t="n">
        <v>1341.344261865611</v>
      </c>
      <c r="C1016" s="4" t="n">
        <v>0.99084238</v>
      </c>
      <c r="D1016" s="5" t="n">
        <v>0.34134426</v>
      </c>
      <c r="E1016" s="5" t="n">
        <v>-0.00915762</v>
      </c>
    </row>
    <row r="1017">
      <c r="A1017" s="2" t="n">
        <v>45271</v>
      </c>
      <c r="B1017" s="3" t="n">
        <v>1354.304155749002</v>
      </c>
      <c r="C1017" s="4" t="n">
        <v>1.00966187</v>
      </c>
      <c r="D1017" s="5" t="n">
        <v>0.35430416</v>
      </c>
      <c r="E1017" s="5" t="n">
        <v>0.009661869999999999</v>
      </c>
    </row>
    <row r="1018">
      <c r="A1018" s="2" t="n">
        <v>45272</v>
      </c>
      <c r="B1018" s="3" t="n">
        <v>1360.77787858694</v>
      </c>
      <c r="C1018" s="4" t="n">
        <v>1.00478011</v>
      </c>
      <c r="D1018" s="5" t="n">
        <v>0.36077788</v>
      </c>
      <c r="E1018" s="5" t="n">
        <v>0.00478011</v>
      </c>
    </row>
    <row r="1019">
      <c r="A1019" s="2" t="n">
        <v>45273</v>
      </c>
      <c r="B1019" s="3" t="n">
        <v>1355.702789449856</v>
      </c>
      <c r="C1019" s="4" t="n">
        <v>0.99627045</v>
      </c>
      <c r="D1019" s="5" t="n">
        <v>0.35570279</v>
      </c>
      <c r="E1019" s="5" t="n">
        <v>-0.00372955</v>
      </c>
    </row>
    <row r="1020">
      <c r="A1020" s="2" t="n">
        <v>45274</v>
      </c>
      <c r="B1020" s="3" t="n">
        <v>1351.089197287079</v>
      </c>
      <c r="C1020" s="4" t="n">
        <v>0.9965969</v>
      </c>
      <c r="D1020" s="5" t="n">
        <v>0.3510892</v>
      </c>
      <c r="E1020" s="5" t="n">
        <v>-0.0034031</v>
      </c>
    </row>
    <row r="1021">
      <c r="A1021" s="2" t="n">
        <v>45275</v>
      </c>
      <c r="B1021" s="3" t="n">
        <v>1344.692141221116</v>
      </c>
      <c r="C1021" s="4" t="n">
        <v>0.99526526</v>
      </c>
      <c r="D1021" s="5" t="n">
        <v>0.34469214</v>
      </c>
      <c r="E1021" s="5" t="n">
        <v>-0.00473474</v>
      </c>
    </row>
    <row r="1022">
      <c r="A1022" s="2" t="n">
        <v>45278</v>
      </c>
      <c r="B1022" s="3" t="n">
        <v>1327.622054409756</v>
      </c>
      <c r="C1022" s="4" t="n">
        <v>0.98730558</v>
      </c>
      <c r="D1022" s="5" t="n">
        <v>0.32762205</v>
      </c>
      <c r="E1022" s="5" t="n">
        <v>-0.01269442</v>
      </c>
    </row>
    <row r="1023">
      <c r="A1023" s="2" t="n">
        <v>45279</v>
      </c>
      <c r="B1023" s="3" t="n">
        <v>1330.584669576612</v>
      </c>
      <c r="C1023" s="4" t="n">
        <v>1.00223152</v>
      </c>
      <c r="D1023" s="5" t="n">
        <v>0.33058467</v>
      </c>
      <c r="E1023" s="5" t="n">
        <v>0.00223152</v>
      </c>
    </row>
    <row r="1024">
      <c r="A1024" s="2" t="n">
        <v>45280</v>
      </c>
      <c r="B1024" s="3" t="n">
        <v>1315.870332478866</v>
      </c>
      <c r="C1024" s="4" t="n">
        <v>0.98894145</v>
      </c>
      <c r="D1024" s="5" t="n">
        <v>0.31587033</v>
      </c>
      <c r="E1024" s="5" t="n">
        <v>-0.01105855</v>
      </c>
    </row>
    <row r="1025">
      <c r="A1025" s="2" t="n">
        <v>45281</v>
      </c>
      <c r="B1025" s="3" t="n">
        <v>1324.564498304807</v>
      </c>
      <c r="C1025" s="4" t="n">
        <v>1.00660716</v>
      </c>
      <c r="D1025" s="5" t="n">
        <v>0.3245645</v>
      </c>
      <c r="E1025" s="5" t="n">
        <v>0.00660716</v>
      </c>
    </row>
    <row r="1026">
      <c r="A1026" s="2" t="n">
        <v>45282</v>
      </c>
      <c r="B1026" s="3" t="n">
        <v>1303.07824748894</v>
      </c>
      <c r="C1026" s="4" t="n">
        <v>0.98377863</v>
      </c>
      <c r="D1026" s="5" t="n">
        <v>0.30307825</v>
      </c>
      <c r="E1026" s="5" t="n">
        <v>-0.01622137</v>
      </c>
    </row>
    <row r="1027">
      <c r="A1027" s="2" t="n">
        <v>45285</v>
      </c>
      <c r="B1027" s="3" t="n">
        <v>1300.175327953879</v>
      </c>
      <c r="C1027" s="4" t="n">
        <v>0.99777226</v>
      </c>
      <c r="D1027" s="5" t="n">
        <v>0.30017533</v>
      </c>
      <c r="E1027" s="5" t="n">
        <v>-0.00222774</v>
      </c>
    </row>
    <row r="1028">
      <c r="A1028" s="2" t="n">
        <v>45286</v>
      </c>
      <c r="B1028" s="3" t="n">
        <v>1282.471126551703</v>
      </c>
      <c r="C1028" s="4" t="n">
        <v>0.98638322</v>
      </c>
      <c r="D1028" s="5" t="n">
        <v>0.28247113</v>
      </c>
      <c r="E1028" s="5" t="n">
        <v>-0.01361678</v>
      </c>
    </row>
    <row r="1029">
      <c r="A1029" s="2" t="n">
        <v>45287</v>
      </c>
      <c r="B1029" s="3" t="n">
        <v>1292.112872728232</v>
      </c>
      <c r="C1029" s="4" t="n">
        <v>1.0075181</v>
      </c>
      <c r="D1029" s="5" t="n">
        <v>0.29211287</v>
      </c>
      <c r="E1029" s="5" t="n">
        <v>0.0075181</v>
      </c>
    </row>
    <row r="1030">
      <c r="A1030" s="2" t="n">
        <v>45288</v>
      </c>
      <c r="B1030" s="3" t="n">
        <v>1311.657268672089</v>
      </c>
      <c r="C1030" s="4" t="n">
        <v>1.01512592</v>
      </c>
      <c r="D1030" s="5" t="n">
        <v>0.31165727</v>
      </c>
      <c r="E1030" s="5" t="n">
        <v>0.01512592</v>
      </c>
    </row>
    <row r="1031">
      <c r="A1031" s="2" t="n">
        <v>45289</v>
      </c>
      <c r="B1031" s="3" t="n">
        <v>1334.513053977572</v>
      </c>
      <c r="C1031" s="4" t="n">
        <v>1.01742512</v>
      </c>
      <c r="D1031" s="5" t="n">
        <v>0.33451305</v>
      </c>
      <c r="E1031" s="5" t="n">
        <v>0.01742512</v>
      </c>
    </row>
    <row r="1032">
      <c r="A1032" s="2" t="n">
        <v>45293</v>
      </c>
      <c r="B1032" s="3" t="n">
        <v>1335.805129516433</v>
      </c>
      <c r="C1032" s="4" t="n">
        <v>1.0009682</v>
      </c>
      <c r="D1032" s="5" t="n">
        <v>0.33580513</v>
      </c>
      <c r="E1032" s="5" t="n">
        <v>0.0009682</v>
      </c>
    </row>
    <row r="1033">
      <c r="A1033" s="2" t="n">
        <v>45294</v>
      </c>
      <c r="B1033" s="3" t="n">
        <v>1329.372987372888</v>
      </c>
      <c r="C1033" s="4" t="n">
        <v>0.99518482</v>
      </c>
      <c r="D1033" s="5" t="n">
        <v>0.32937299</v>
      </c>
      <c r="E1033" s="5" t="n">
        <v>-0.00481518</v>
      </c>
    </row>
    <row r="1034">
      <c r="A1034" s="2" t="n">
        <v>45295</v>
      </c>
      <c r="B1034" s="3" t="n">
        <v>1325.790287290729</v>
      </c>
      <c r="C1034" s="4" t="n">
        <v>0.99730497</v>
      </c>
      <c r="D1034" s="5" t="n">
        <v>0.32579029</v>
      </c>
      <c r="E1034" s="5" t="n">
        <v>-0.00269503</v>
      </c>
    </row>
    <row r="1035">
      <c r="A1035" s="2" t="n">
        <v>45296</v>
      </c>
      <c r="B1035" s="3" t="n">
        <v>1302.228209725969</v>
      </c>
      <c r="C1035" s="4" t="n">
        <v>0.9822279</v>
      </c>
      <c r="D1035" s="5" t="n">
        <v>0.30222821</v>
      </c>
      <c r="E1035" s="5" t="n">
        <v>-0.0177721</v>
      </c>
    </row>
    <row r="1036">
      <c r="A1036" s="2" t="n">
        <v>45299</v>
      </c>
      <c r="B1036" s="3" t="n">
        <v>1280.113444711351</v>
      </c>
      <c r="C1036" s="4" t="n">
        <v>0.98301775</v>
      </c>
      <c r="D1036" s="5" t="n">
        <v>0.28011344</v>
      </c>
      <c r="E1036" s="5" t="n">
        <v>-0.01698225</v>
      </c>
    </row>
    <row r="1037">
      <c r="A1037" s="2" t="n">
        <v>45300</v>
      </c>
      <c r="B1037" s="3" t="n">
        <v>1287.30221618622</v>
      </c>
      <c r="C1037" s="4" t="n">
        <v>1.00561573</v>
      </c>
      <c r="D1037" s="5" t="n">
        <v>0.28730222</v>
      </c>
      <c r="E1037" s="5" t="n">
        <v>0.00561573</v>
      </c>
    </row>
    <row r="1038">
      <c r="A1038" s="2" t="n">
        <v>45301</v>
      </c>
      <c r="B1038" s="3" t="n">
        <v>1272.038480713567</v>
      </c>
      <c r="C1038" s="4" t="n">
        <v>0.98814285</v>
      </c>
      <c r="D1038" s="5" t="n">
        <v>0.27203848</v>
      </c>
      <c r="E1038" s="5" t="n">
        <v>-0.01185715</v>
      </c>
    </row>
    <row r="1039">
      <c r="A1039" s="2" t="n">
        <v>45302</v>
      </c>
      <c r="B1039" s="3" t="n">
        <v>1294.609022699956</v>
      </c>
      <c r="C1039" s="4" t="n">
        <v>1.0177436</v>
      </c>
      <c r="D1039" s="5" t="n">
        <v>0.29460902</v>
      </c>
      <c r="E1039" s="5" t="n">
        <v>0.0177436</v>
      </c>
    </row>
    <row r="1040">
      <c r="A1040" s="2" t="n">
        <v>45303</v>
      </c>
      <c r="B1040" s="3" t="n">
        <v>1283.075583946346</v>
      </c>
      <c r="C1040" s="4" t="n">
        <v>0.99109118</v>
      </c>
      <c r="D1040" s="5" t="n">
        <v>0.28307558</v>
      </c>
      <c r="E1040" s="5" t="n">
        <v>-0.00890882</v>
      </c>
    </row>
    <row r="1041">
      <c r="A1041" s="2" t="n">
        <v>45306</v>
      </c>
      <c r="B1041" s="3" t="n">
        <v>1281.4555598833</v>
      </c>
      <c r="C1041" s="4" t="n">
        <v>0.9987373899999999</v>
      </c>
      <c r="D1041" s="5" t="n">
        <v>0.28145556</v>
      </c>
      <c r="E1041" s="5" t="n">
        <v>-0.00126261</v>
      </c>
    </row>
    <row r="1042">
      <c r="A1042" s="2" t="n">
        <v>45307</v>
      </c>
      <c r="B1042" s="3" t="n">
        <v>1275.233311452175</v>
      </c>
      <c r="C1042" s="4" t="n">
        <v>0.99514439</v>
      </c>
      <c r="D1042" s="5" t="n">
        <v>0.27523331</v>
      </c>
      <c r="E1042" s="5" t="n">
        <v>-0.00485561</v>
      </c>
    </row>
    <row r="1043">
      <c r="A1043" s="2" t="n">
        <v>45308</v>
      </c>
      <c r="B1043" s="3" t="n">
        <v>1245.630198388122</v>
      </c>
      <c r="C1043" s="4" t="n">
        <v>0.97678612</v>
      </c>
      <c r="D1043" s="5" t="n">
        <v>0.2456302</v>
      </c>
      <c r="E1043" s="5" t="n">
        <v>-0.02321388</v>
      </c>
    </row>
    <row r="1044">
      <c r="A1044" s="2" t="n">
        <v>45309</v>
      </c>
      <c r="B1044" s="3" t="n">
        <v>1237.165468549767</v>
      </c>
      <c r="C1044" s="4" t="n">
        <v>0.99320446</v>
      </c>
      <c r="D1044" s="5" t="n">
        <v>0.23716547</v>
      </c>
      <c r="E1044" s="5" t="n">
        <v>-0.00679554</v>
      </c>
    </row>
    <row r="1045">
      <c r="A1045" s="2" t="n">
        <v>45310</v>
      </c>
      <c r="B1045" s="3" t="n">
        <v>1220.843643496428</v>
      </c>
      <c r="C1045" s="4" t="n">
        <v>0.9868070799999999</v>
      </c>
      <c r="D1045" s="5" t="n">
        <v>0.22084364</v>
      </c>
      <c r="E1045" s="5" t="n">
        <v>-0.01319292</v>
      </c>
    </row>
    <row r="1046">
      <c r="A1046" s="2" t="n">
        <v>45313</v>
      </c>
      <c r="B1046" s="3" t="n">
        <v>1152.947254437051</v>
      </c>
      <c r="C1046" s="4" t="n">
        <v>0.94438568</v>
      </c>
      <c r="D1046" s="5" t="n">
        <v>0.15294725</v>
      </c>
      <c r="E1046" s="5" t="n">
        <v>-0.05561432</v>
      </c>
    </row>
    <row r="1047">
      <c r="A1047" s="2" t="n">
        <v>45314</v>
      </c>
      <c r="B1047" s="3" t="n">
        <v>1155.571869684942</v>
      </c>
      <c r="C1047" s="4" t="n">
        <v>1.00227644</v>
      </c>
      <c r="D1047" s="5" t="n">
        <v>0.15557187</v>
      </c>
      <c r="E1047" s="5" t="n">
        <v>0.00227644</v>
      </c>
    </row>
    <row r="1048">
      <c r="A1048" s="2" t="n">
        <v>45315</v>
      </c>
      <c r="B1048" s="3" t="n">
        <v>1170.503279594671</v>
      </c>
      <c r="C1048" s="4" t="n">
        <v>1.01292123</v>
      </c>
      <c r="D1048" s="5" t="n">
        <v>0.17050328</v>
      </c>
      <c r="E1048" s="5" t="n">
        <v>0.01292123</v>
      </c>
    </row>
    <row r="1049">
      <c r="A1049" s="2" t="n">
        <v>45316</v>
      </c>
      <c r="B1049" s="3" t="n">
        <v>1209.751846443941</v>
      </c>
      <c r="C1049" s="4" t="n">
        <v>1.03353136</v>
      </c>
      <c r="D1049" s="5" t="n">
        <v>0.20975185</v>
      </c>
      <c r="E1049" s="5" t="n">
        <v>0.03353136</v>
      </c>
    </row>
    <row r="1050">
      <c r="A1050" s="2" t="n">
        <v>45317</v>
      </c>
      <c r="B1050" s="3" t="n">
        <v>1205.757499894871</v>
      </c>
      <c r="C1050" s="4" t="n">
        <v>0.99669821</v>
      </c>
      <c r="D1050" s="5" t="n">
        <v>0.2057575</v>
      </c>
      <c r="E1050" s="5" t="n">
        <v>-0.00330179</v>
      </c>
    </row>
    <row r="1051">
      <c r="A1051" s="2" t="n">
        <v>45320</v>
      </c>
      <c r="B1051" s="3" t="n">
        <v>1167.938807392493</v>
      </c>
      <c r="C1051" s="4" t="n">
        <v>0.96863491</v>
      </c>
      <c r="D1051" s="5" t="n">
        <v>0.16793881</v>
      </c>
      <c r="E1051" s="5" t="n">
        <v>-0.03136509</v>
      </c>
    </row>
    <row r="1052">
      <c r="A1052" s="2" t="n">
        <v>45321</v>
      </c>
      <c r="B1052" s="3" t="n">
        <v>1134.551431239863</v>
      </c>
      <c r="C1052" s="4" t="n">
        <v>0.97141342</v>
      </c>
      <c r="D1052" s="5" t="n">
        <v>0.13455143</v>
      </c>
      <c r="E1052" s="5" t="n">
        <v>-0.02858658</v>
      </c>
    </row>
    <row r="1053">
      <c r="A1053" s="2" t="n">
        <v>45322</v>
      </c>
      <c r="B1053" s="3" t="n">
        <v>1080.971048620558</v>
      </c>
      <c r="C1053" s="4" t="n">
        <v>0.95277395</v>
      </c>
      <c r="D1053" s="5" t="n">
        <v>0.08097105</v>
      </c>
      <c r="E1053" s="5" t="n">
        <v>-0.04722605</v>
      </c>
    </row>
    <row r="1054">
      <c r="A1054" s="2" t="n">
        <v>45323</v>
      </c>
      <c r="B1054" s="3" t="n">
        <v>1065.411086529163</v>
      </c>
      <c r="C1054" s="4" t="n">
        <v>0.98560557</v>
      </c>
      <c r="D1054" s="5" t="n">
        <v>0.06541109000000001</v>
      </c>
      <c r="E1054" s="5" t="n">
        <v>-0.01439443</v>
      </c>
    </row>
    <row r="1055">
      <c r="A1055" s="2" t="n">
        <v>45324</v>
      </c>
      <c r="B1055" s="3" t="n">
        <v>1022.548852730334</v>
      </c>
      <c r="C1055" s="4" t="n">
        <v>0.9597693</v>
      </c>
      <c r="D1055" s="5" t="n">
        <v>0.02254885</v>
      </c>
      <c r="E1055" s="5" t="n">
        <v>-0.0402307</v>
      </c>
    </row>
    <row r="1056">
      <c r="A1056" s="2" t="n">
        <v>45327</v>
      </c>
      <c r="B1056" s="3" t="n">
        <v>935.2482024775896</v>
      </c>
      <c r="C1056" s="4" t="n">
        <v>0.91462447</v>
      </c>
      <c r="D1056" s="5" t="n">
        <v>-0.0647518</v>
      </c>
      <c r="E1056" s="5" t="n">
        <v>-0.08537553000000001</v>
      </c>
    </row>
    <row r="1057">
      <c r="A1057" s="2" t="n">
        <v>45328</v>
      </c>
      <c r="B1057" s="3" t="n">
        <v>952.1866323123736</v>
      </c>
      <c r="C1057" s="4" t="n">
        <v>1.01811116</v>
      </c>
      <c r="D1057" s="5" t="n">
        <v>-0.04781337</v>
      </c>
      <c r="E1057" s="5" t="n">
        <v>0.01811116</v>
      </c>
    </row>
    <row r="1058">
      <c r="A1058" s="2" t="n">
        <v>45329</v>
      </c>
      <c r="B1058" s="3" t="n">
        <v>928.1764274981133</v>
      </c>
      <c r="C1058" s="4" t="n">
        <v>0.97478414</v>
      </c>
      <c r="D1058" s="5" t="n">
        <v>-0.07182357</v>
      </c>
      <c r="E1058" s="5" t="n">
        <v>-0.02521586</v>
      </c>
    </row>
    <row r="1059">
      <c r="A1059" s="2" t="n">
        <v>45330</v>
      </c>
      <c r="B1059" s="3" t="n">
        <v>1001.300319825726</v>
      </c>
      <c r="C1059" s="4" t="n">
        <v>1.07878232</v>
      </c>
      <c r="D1059" s="5" t="n">
        <v>0.00130032</v>
      </c>
      <c r="E1059" s="5" t="n">
        <v>0.07878232</v>
      </c>
    </row>
    <row r="1060">
      <c r="A1060" s="2" t="n">
        <v>45341</v>
      </c>
      <c r="B1060" s="3" t="n">
        <v>1040.756258538363</v>
      </c>
      <c r="C1060" s="4" t="n">
        <v>1.0394047</v>
      </c>
      <c r="D1060" s="5" t="n">
        <v>0.04075626</v>
      </c>
      <c r="E1060" s="5" t="n">
        <v>0.0394047</v>
      </c>
    </row>
    <row r="1061">
      <c r="A1061" s="2" t="n">
        <v>45342</v>
      </c>
      <c r="B1061" s="3" t="n">
        <v>1054.409377885748</v>
      </c>
      <c r="C1061" s="4" t="n">
        <v>1.01311846</v>
      </c>
      <c r="D1061" s="5" t="n">
        <v>0.05440938</v>
      </c>
      <c r="E1061" s="5" t="n">
        <v>0.01311846</v>
      </c>
    </row>
    <row r="1062">
      <c r="A1062" s="2" t="n">
        <v>45343</v>
      </c>
      <c r="B1062" s="3" t="n">
        <v>1067.717405510952</v>
      </c>
      <c r="C1062" s="4" t="n">
        <v>1.01262131</v>
      </c>
      <c r="D1062" s="5" t="n">
        <v>0.06771741000000001</v>
      </c>
      <c r="E1062" s="5" t="n">
        <v>0.01262131</v>
      </c>
    </row>
    <row r="1063">
      <c r="A1063" s="2" t="n">
        <v>45344</v>
      </c>
      <c r="B1063" s="3" t="n">
        <v>1092.270795125692</v>
      </c>
      <c r="C1063" s="4" t="n">
        <v>1.02299615</v>
      </c>
      <c r="D1063" s="5" t="n">
        <v>0.0922708</v>
      </c>
      <c r="E1063" s="5" t="n">
        <v>0.02299615</v>
      </c>
    </row>
    <row r="1064">
      <c r="A1064" s="2" t="n">
        <v>45345</v>
      </c>
      <c r="B1064" s="3" t="n">
        <v>1124.103760415508</v>
      </c>
      <c r="C1064" s="4" t="n">
        <v>1.02914384</v>
      </c>
      <c r="D1064" s="5" t="n">
        <v>0.12410376</v>
      </c>
      <c r="E1064" s="5" t="n">
        <v>0.02914384</v>
      </c>
    </row>
    <row r="1065">
      <c r="A1065" s="2" t="n">
        <v>45348</v>
      </c>
      <c r="B1065" s="3" t="n">
        <v>1141.786317244198</v>
      </c>
      <c r="C1065" s="4" t="n">
        <v>1.01573036</v>
      </c>
      <c r="D1065" s="5" t="n">
        <v>0.14178632</v>
      </c>
      <c r="E1065" s="5" t="n">
        <v>0.01573036</v>
      </c>
    </row>
    <row r="1066">
      <c r="A1066" s="2" t="n">
        <v>45349</v>
      </c>
      <c r="B1066" s="3" t="n">
        <v>1172.1258975196</v>
      </c>
      <c r="C1066" s="4" t="n">
        <v>1.02657203</v>
      </c>
      <c r="D1066" s="5" t="n">
        <v>0.1721259</v>
      </c>
      <c r="E1066" s="5" t="n">
        <v>0.02657203</v>
      </c>
    </row>
    <row r="1067">
      <c r="A1067" s="2" t="n">
        <v>45350</v>
      </c>
      <c r="B1067" s="3" t="n">
        <v>1100.025479805908</v>
      </c>
      <c r="C1067" s="4" t="n">
        <v>0.93848748</v>
      </c>
      <c r="D1067" s="5" t="n">
        <v>0.10002548</v>
      </c>
      <c r="E1067" s="5" t="n">
        <v>-0.06151252</v>
      </c>
    </row>
    <row r="1068">
      <c r="A1068" s="2" t="n">
        <v>45351</v>
      </c>
      <c r="B1068" s="3" t="n">
        <v>1140.918674011832</v>
      </c>
      <c r="C1068" s="4" t="n">
        <v>1.03717477</v>
      </c>
      <c r="D1068" s="5" t="n">
        <v>0.14091867</v>
      </c>
      <c r="E1068" s="5" t="n">
        <v>0.03717477</v>
      </c>
    </row>
    <row r="1069">
      <c r="A1069" s="2" t="n">
        <v>45352</v>
      </c>
      <c r="B1069" s="3" t="n">
        <v>1156.558432831933</v>
      </c>
      <c r="C1069" s="4" t="n">
        <v>1.01370804</v>
      </c>
      <c r="D1069" s="5" t="n">
        <v>0.15655843</v>
      </c>
      <c r="E1069" s="5" t="n">
        <v>0.01370804</v>
      </c>
    </row>
    <row r="1070">
      <c r="A1070" s="2" t="n">
        <v>45355</v>
      </c>
      <c r="B1070" s="3" t="n">
        <v>1164.648212102063</v>
      </c>
      <c r="C1070" s="4" t="n">
        <v>1.0069947</v>
      </c>
      <c r="D1070" s="5" t="n">
        <v>0.16464821</v>
      </c>
      <c r="E1070" s="5" t="n">
        <v>0.0069947</v>
      </c>
    </row>
    <row r="1071">
      <c r="A1071" s="2" t="n">
        <v>45356</v>
      </c>
      <c r="B1071" s="3" t="n">
        <v>1147.240646195612</v>
      </c>
      <c r="C1071" s="4" t="n">
        <v>0.98505337</v>
      </c>
      <c r="D1071" s="5" t="n">
        <v>0.14724065</v>
      </c>
      <c r="E1071" s="5" t="n">
        <v>-0.01494663</v>
      </c>
    </row>
    <row r="1072">
      <c r="A1072" s="2" t="n">
        <v>45357</v>
      </c>
      <c r="B1072" s="3" t="n">
        <v>1159.818223989268</v>
      </c>
      <c r="C1072" s="4" t="n">
        <v>1.01096333</v>
      </c>
      <c r="D1072" s="5" t="n">
        <v>0.15981822</v>
      </c>
      <c r="E1072" s="5" t="n">
        <v>0.01096333</v>
      </c>
    </row>
    <row r="1073">
      <c r="A1073" s="2" t="n">
        <v>45358</v>
      </c>
      <c r="B1073" s="3" t="n">
        <v>1149.814699021902</v>
      </c>
      <c r="C1073" s="4" t="n">
        <v>0.99137492</v>
      </c>
      <c r="D1073" s="5" t="n">
        <v>0.1498147</v>
      </c>
      <c r="E1073" s="5" t="n">
        <v>-0.00862508</v>
      </c>
    </row>
    <row r="1074">
      <c r="A1074" s="2" t="n">
        <v>45359</v>
      </c>
      <c r="B1074" s="3" t="n">
        <v>1163.210695659886</v>
      </c>
      <c r="C1074" s="4" t="n">
        <v>1.01165057</v>
      </c>
      <c r="D1074" s="5" t="n">
        <v>0.1632107</v>
      </c>
      <c r="E1074" s="5" t="n">
        <v>0.01165057</v>
      </c>
    </row>
    <row r="1075">
      <c r="A1075" s="2" t="n">
        <v>45362</v>
      </c>
      <c r="B1075" s="3" t="n">
        <v>1184.147487820565</v>
      </c>
      <c r="C1075" s="4" t="n">
        <v>1.01799914</v>
      </c>
      <c r="D1075" s="5" t="n">
        <v>0.18414749</v>
      </c>
      <c r="E1075" s="5" t="n">
        <v>0.01799914</v>
      </c>
    </row>
    <row r="1076">
      <c r="A1076" s="2" t="n">
        <v>45363</v>
      </c>
      <c r="B1076" s="3" t="n">
        <v>1197.73235936214</v>
      </c>
      <c r="C1076" s="4" t="n">
        <v>1.01147228</v>
      </c>
      <c r="D1076" s="5" t="n">
        <v>0.19773236</v>
      </c>
      <c r="E1076" s="5" t="n">
        <v>0.01147228</v>
      </c>
    </row>
    <row r="1077">
      <c r="A1077" s="2" t="n">
        <v>45364</v>
      </c>
      <c r="B1077" s="3" t="n">
        <v>1201.981877841186</v>
      </c>
      <c r="C1077" s="4" t="n">
        <v>1.00354797</v>
      </c>
      <c r="D1077" s="5" t="n">
        <v>0.20198188</v>
      </c>
      <c r="E1077" s="5" t="n">
        <v>0.00354797</v>
      </c>
    </row>
    <row r="1078">
      <c r="A1078" s="2" t="n">
        <v>45365</v>
      </c>
      <c r="B1078" s="3" t="n">
        <v>1194.32158723461</v>
      </c>
      <c r="C1078" s="4" t="n">
        <v>0.99362695</v>
      </c>
      <c r="D1078" s="5" t="n">
        <v>0.19432159</v>
      </c>
      <c r="E1078" s="5" t="n">
        <v>-0.00637305</v>
      </c>
    </row>
    <row r="1079">
      <c r="A1079" s="2" t="n">
        <v>45366</v>
      </c>
      <c r="B1079" s="3" t="n">
        <v>1209.408138092399</v>
      </c>
      <c r="C1079" s="4" t="n">
        <v>1.0126319</v>
      </c>
      <c r="D1079" s="5" t="n">
        <v>0.20940814</v>
      </c>
      <c r="E1079" s="5" t="n">
        <v>0.0126319</v>
      </c>
    </row>
    <row r="1080">
      <c r="A1080" s="2" t="n">
        <v>45369</v>
      </c>
      <c r="B1080" s="3" t="n">
        <v>1233.028737709121</v>
      </c>
      <c r="C1080" s="4" t="n">
        <v>1.01953071</v>
      </c>
      <c r="D1080" s="5" t="n">
        <v>0.23302874</v>
      </c>
      <c r="E1080" s="5" t="n">
        <v>0.01953071</v>
      </c>
    </row>
    <row r="1081">
      <c r="A1081" s="2" t="n">
        <v>45370</v>
      </c>
      <c r="B1081" s="3" t="n">
        <v>1230.492964788873</v>
      </c>
      <c r="C1081" s="4" t="n">
        <v>0.99794346</v>
      </c>
      <c r="D1081" s="5" t="n">
        <v>0.23049296</v>
      </c>
      <c r="E1081" s="5" t="n">
        <v>-0.00205654</v>
      </c>
    </row>
    <row r="1082">
      <c r="A1082" s="2" t="n">
        <v>45371</v>
      </c>
      <c r="B1082" s="3" t="n">
        <v>1244.641246727593</v>
      </c>
      <c r="C1082" s="4" t="n">
        <v>1.01149806</v>
      </c>
      <c r="D1082" s="5" t="n">
        <v>0.24464125</v>
      </c>
      <c r="E1082" s="5" t="n">
        <v>0.01149806</v>
      </c>
    </row>
    <row r="1083">
      <c r="A1083" s="2" t="n">
        <v>45372</v>
      </c>
      <c r="B1083" s="3" t="n">
        <v>1247.636749708918</v>
      </c>
      <c r="C1083" s="4" t="n">
        <v>1.00240672</v>
      </c>
      <c r="D1083" s="5" t="n">
        <v>0.24763675</v>
      </c>
      <c r="E1083" s="5" t="n">
        <v>0.00240672</v>
      </c>
    </row>
    <row r="1084">
      <c r="A1084" s="2" t="n">
        <v>45373</v>
      </c>
      <c r="B1084" s="3" t="n">
        <v>1234.604485181628</v>
      </c>
      <c r="C1084" s="4" t="n">
        <v>0.98955444</v>
      </c>
      <c r="D1084" s="5" t="n">
        <v>0.23460449</v>
      </c>
      <c r="E1084" s="5" t="n">
        <v>-0.01044556</v>
      </c>
    </row>
    <row r="1085">
      <c r="A1085" s="2" t="n">
        <v>45376</v>
      </c>
      <c r="B1085" s="3" t="n">
        <v>1203.520304832237</v>
      </c>
      <c r="C1085" s="4" t="n">
        <v>0.97482256</v>
      </c>
      <c r="D1085" s="5" t="n">
        <v>0.2035203</v>
      </c>
      <c r="E1085" s="5" t="n">
        <v>-0.02517744</v>
      </c>
    </row>
    <row r="1086">
      <c r="A1086" s="2" t="n">
        <v>45377</v>
      </c>
      <c r="B1086" s="3" t="n">
        <v>1201.551225261501</v>
      </c>
      <c r="C1086" s="4" t="n">
        <v>0.9983639</v>
      </c>
      <c r="D1086" s="5" t="n">
        <v>0.20155123</v>
      </c>
      <c r="E1086" s="5" t="n">
        <v>-0.0016361</v>
      </c>
    </row>
    <row r="1087">
      <c r="A1087" s="2" t="n">
        <v>45378</v>
      </c>
      <c r="B1087" s="3" t="n">
        <v>1162.523303479439</v>
      </c>
      <c r="C1087" s="4" t="n">
        <v>0.9675187200000001</v>
      </c>
      <c r="D1087" s="5" t="n">
        <v>0.1625233</v>
      </c>
      <c r="E1087" s="5" t="n">
        <v>-0.03248128</v>
      </c>
    </row>
    <row r="1088">
      <c r="A1088" s="2" t="n">
        <v>45379</v>
      </c>
      <c r="B1088" s="3" t="n">
        <v>1190.719050680165</v>
      </c>
      <c r="C1088" s="4" t="n">
        <v>1.02425392</v>
      </c>
      <c r="D1088" s="5" t="n">
        <v>0.19071905</v>
      </c>
      <c r="E1088" s="5" t="n">
        <v>0.02425392</v>
      </c>
    </row>
    <row r="1089">
      <c r="A1089" s="2" t="n">
        <v>45380</v>
      </c>
      <c r="B1089" s="3" t="n">
        <v>1204.752150980051</v>
      </c>
      <c r="C1089" s="4" t="n">
        <v>1.0117854</v>
      </c>
      <c r="D1089" s="5" t="n">
        <v>0.20475215</v>
      </c>
      <c r="E1089" s="5" t="n">
        <v>0.0117854</v>
      </c>
    </row>
    <row r="1090">
      <c r="A1090" s="2" t="n">
        <v>45383</v>
      </c>
      <c r="B1090" s="3" t="n">
        <v>1226.995706798983</v>
      </c>
      <c r="C1090" s="4" t="n">
        <v>1.01846318</v>
      </c>
      <c r="D1090" s="5" t="n">
        <v>0.22699571</v>
      </c>
      <c r="E1090" s="5" t="n">
        <v>0.01846318</v>
      </c>
    </row>
    <row r="1091">
      <c r="A1091" s="2" t="n">
        <v>45384</v>
      </c>
      <c r="B1091" s="3" t="n">
        <v>1222.158276224928</v>
      </c>
      <c r="C1091" s="4" t="n">
        <v>0.9960575</v>
      </c>
      <c r="D1091" s="5" t="n">
        <v>0.22215828</v>
      </c>
      <c r="E1091" s="5" t="n">
        <v>-0.0039425</v>
      </c>
    </row>
    <row r="1092">
      <c r="A1092" s="2" t="n">
        <v>45385</v>
      </c>
      <c r="B1092" s="3" t="n">
        <v>1210.312458246287</v>
      </c>
      <c r="C1092" s="4" t="n">
        <v>0.99030746</v>
      </c>
      <c r="D1092" s="5" t="n">
        <v>0.21031246</v>
      </c>
      <c r="E1092" s="5" t="n">
        <v>-0.009692539999999999</v>
      </c>
    </row>
    <row r="1093">
      <c r="A1093" s="2" t="n">
        <v>45390</v>
      </c>
      <c r="B1093" s="3" t="n">
        <v>1185.871481083209</v>
      </c>
      <c r="C1093" s="4" t="n">
        <v>0.97980606</v>
      </c>
      <c r="D1093" s="5" t="n">
        <v>0.18587148</v>
      </c>
      <c r="E1093" s="5" t="n">
        <v>-0.02019394</v>
      </c>
    </row>
    <row r="1094">
      <c r="A1094" s="2" t="n">
        <v>45391</v>
      </c>
      <c r="B1094" s="3" t="n">
        <v>1200.437599778928</v>
      </c>
      <c r="C1094" s="4" t="n">
        <v>1.01228305</v>
      </c>
      <c r="D1094" s="5" t="n">
        <v>0.2004376</v>
      </c>
      <c r="E1094" s="5" t="n">
        <v>0.01228305</v>
      </c>
    </row>
    <row r="1095">
      <c r="A1095" s="2" t="n">
        <v>45392</v>
      </c>
      <c r="B1095" s="3" t="n">
        <v>1175.169048544261</v>
      </c>
      <c r="C1095" s="4" t="n">
        <v>0.97895055</v>
      </c>
      <c r="D1095" s="5" t="n">
        <v>0.17516905</v>
      </c>
      <c r="E1095" s="5" t="n">
        <v>-0.02104945</v>
      </c>
    </row>
    <row r="1096">
      <c r="A1096" s="2" t="n">
        <v>45393</v>
      </c>
      <c r="B1096" s="3" t="n">
        <v>1177.557462118523</v>
      </c>
      <c r="C1096" s="4" t="n">
        <v>1.0020324</v>
      </c>
      <c r="D1096" s="5" t="n">
        <v>0.17755746</v>
      </c>
      <c r="E1096" s="5" t="n">
        <v>0.0020324</v>
      </c>
    </row>
    <row r="1097">
      <c r="A1097" s="2" t="n">
        <v>45394</v>
      </c>
      <c r="B1097" s="3" t="n">
        <v>1170.004325942703</v>
      </c>
      <c r="C1097" s="4" t="n">
        <v>0.99358576</v>
      </c>
      <c r="D1097" s="5" t="n">
        <v>0.17000433</v>
      </c>
      <c r="E1097" s="5" t="n">
        <v>-0.00641424</v>
      </c>
    </row>
    <row r="1098">
      <c r="A1098" s="2" t="n">
        <v>45397</v>
      </c>
      <c r="B1098" s="3" t="n">
        <v>1127.14957129268</v>
      </c>
      <c r="C1098" s="4" t="n">
        <v>0.96337214</v>
      </c>
      <c r="D1098" s="5" t="n">
        <v>0.12714957</v>
      </c>
      <c r="E1098" s="5" t="n">
        <v>-0.03662786</v>
      </c>
    </row>
    <row r="1099">
      <c r="A1099" s="2" t="n">
        <v>45398</v>
      </c>
      <c r="B1099" s="3" t="n">
        <v>1054.546993174312</v>
      </c>
      <c r="C1099" s="4" t="n">
        <v>0.93558745</v>
      </c>
      <c r="D1099" s="5" t="n">
        <v>0.05454699</v>
      </c>
      <c r="E1099" s="5" t="n">
        <v>-0.06441255</v>
      </c>
    </row>
    <row r="1100">
      <c r="A1100" s="2" t="n">
        <v>45399</v>
      </c>
      <c r="B1100" s="3" t="n">
        <v>1117.736682825298</v>
      </c>
      <c r="C1100" s="4" t="n">
        <v>1.05992117</v>
      </c>
      <c r="D1100" s="5" t="n">
        <v>0.11773668</v>
      </c>
      <c r="E1100" s="5" t="n">
        <v>0.05992117</v>
      </c>
    </row>
    <row r="1101">
      <c r="A1101" s="2" t="n">
        <v>45400</v>
      </c>
      <c r="B1101" s="3" t="n">
        <v>1116.287816650186</v>
      </c>
      <c r="C1101" s="4" t="n">
        <v>0.99870375</v>
      </c>
      <c r="D1101" s="5" t="n">
        <v>0.11628782</v>
      </c>
      <c r="E1101" s="5" t="n">
        <v>-0.00129625</v>
      </c>
    </row>
    <row r="1102">
      <c r="A1102" s="2" t="n">
        <v>45401</v>
      </c>
      <c r="B1102" s="3" t="n">
        <v>1112.263543256772</v>
      </c>
      <c r="C1102" s="4" t="n">
        <v>0.99639495</v>
      </c>
      <c r="D1102" s="5" t="n">
        <v>0.11226354</v>
      </c>
      <c r="E1102" s="5" t="n">
        <v>-0.00360505</v>
      </c>
    </row>
    <row r="1103">
      <c r="A1103" s="2" t="n">
        <v>45404</v>
      </c>
      <c r="B1103" s="3" t="n">
        <v>1104.258426819056</v>
      </c>
      <c r="C1103" s="4" t="n">
        <v>0.99280286</v>
      </c>
      <c r="D1103" s="5" t="n">
        <v>0.10425843</v>
      </c>
      <c r="E1103" s="5" t="n">
        <v>-0.00719714</v>
      </c>
    </row>
    <row r="1104">
      <c r="A1104" s="2" t="n">
        <v>45405</v>
      </c>
      <c r="B1104" s="3" t="n">
        <v>1111.499303303147</v>
      </c>
      <c r="C1104" s="4" t="n">
        <v>1.00655723</v>
      </c>
      <c r="D1104" s="5" t="n">
        <v>0.1114993</v>
      </c>
      <c r="E1104" s="5" t="n">
        <v>0.00655723</v>
      </c>
    </row>
    <row r="1105">
      <c r="A1105" s="2" t="n">
        <v>45406</v>
      </c>
      <c r="B1105" s="3" t="n">
        <v>1134.074832272621</v>
      </c>
      <c r="C1105" s="4" t="n">
        <v>1.02031088</v>
      </c>
      <c r="D1105" s="5" t="n">
        <v>0.13407483</v>
      </c>
      <c r="E1105" s="5" t="n">
        <v>0.02031088</v>
      </c>
    </row>
    <row r="1106">
      <c r="A1106" s="2" t="n">
        <v>45407</v>
      </c>
      <c r="B1106" s="3" t="n">
        <v>1136.641447751524</v>
      </c>
      <c r="C1106" s="4" t="n">
        <v>1.00226318</v>
      </c>
      <c r="D1106" s="5" t="n">
        <v>0.13664145</v>
      </c>
      <c r="E1106" s="5" t="n">
        <v>0.00226318</v>
      </c>
    </row>
    <row r="1107">
      <c r="A1107" s="2" t="n">
        <v>45408</v>
      </c>
      <c r="B1107" s="3" t="n">
        <v>1152.235963819214</v>
      </c>
      <c r="C1107" s="4" t="n">
        <v>1.01371982</v>
      </c>
      <c r="D1107" s="5" t="n">
        <v>0.15223596</v>
      </c>
      <c r="E1107" s="5" t="n">
        <v>0.01371982</v>
      </c>
    </row>
    <row r="1108">
      <c r="A1108" s="2" t="n">
        <v>45411</v>
      </c>
      <c r="B1108" s="3" t="n">
        <v>1180.121894676462</v>
      </c>
      <c r="C1108" s="4" t="n">
        <v>1.02420158</v>
      </c>
      <c r="D1108" s="5" t="n">
        <v>0.18012189</v>
      </c>
      <c r="E1108" s="5" t="n">
        <v>0.02420158</v>
      </c>
    </row>
    <row r="1109">
      <c r="A1109" s="2" t="n">
        <v>45412</v>
      </c>
      <c r="B1109" s="3" t="n">
        <v>1173.883451708291</v>
      </c>
      <c r="C1109" s="4" t="n">
        <v>0.99471373</v>
      </c>
      <c r="D1109" s="5" t="n">
        <v>0.17388345</v>
      </c>
      <c r="E1109" s="5" t="n">
        <v>-0.00528627</v>
      </c>
    </row>
    <row r="1110">
      <c r="A1110" s="2" t="n">
        <v>45418</v>
      </c>
      <c r="B1110" s="3" t="n">
        <v>1195.543902203874</v>
      </c>
      <c r="C1110" s="4" t="n">
        <v>1.01845196</v>
      </c>
      <c r="D1110" s="5" t="n">
        <v>0.1955439</v>
      </c>
      <c r="E1110" s="5" t="n">
        <v>0.01845196</v>
      </c>
    </row>
    <row r="1111">
      <c r="A1111" s="2" t="n">
        <v>45419</v>
      </c>
      <c r="B1111" s="3" t="n">
        <v>1202.549622094642</v>
      </c>
      <c r="C1111" s="4" t="n">
        <v>1.00585986</v>
      </c>
      <c r="D1111" s="5" t="n">
        <v>0.20254962</v>
      </c>
      <c r="E1111" s="5" t="n">
        <v>0.00585986</v>
      </c>
    </row>
    <row r="1112">
      <c r="A1112" s="2" t="n">
        <v>45420</v>
      </c>
      <c r="B1112" s="3" t="n">
        <v>1188.186092821931</v>
      </c>
      <c r="C1112" s="4" t="n">
        <v>0.98805577</v>
      </c>
      <c r="D1112" s="5" t="n">
        <v>0.18818609</v>
      </c>
      <c r="E1112" s="5" t="n">
        <v>-0.01194423</v>
      </c>
    </row>
    <row r="1113">
      <c r="A1113" s="2" t="n">
        <v>45421</v>
      </c>
      <c r="B1113" s="3" t="n">
        <v>1200.616693733398</v>
      </c>
      <c r="C1113" s="4" t="n">
        <v>1.01046183</v>
      </c>
      <c r="D1113" s="5" t="n">
        <v>0.20061669</v>
      </c>
      <c r="E1113" s="5" t="n">
        <v>0.01046183</v>
      </c>
    </row>
    <row r="1114">
      <c r="A1114" s="2" t="n">
        <v>45422</v>
      </c>
      <c r="B1114" s="3" t="n">
        <v>1188.449764220773</v>
      </c>
      <c r="C1114" s="4" t="n">
        <v>0.9898661</v>
      </c>
      <c r="D1114" s="5" t="n">
        <v>0.18844976</v>
      </c>
      <c r="E1114" s="5" t="n">
        <v>-0.0101339</v>
      </c>
    </row>
    <row r="1115">
      <c r="A1115" s="2" t="n">
        <v>45425</v>
      </c>
      <c r="B1115" s="3" t="n">
        <v>1170.148303383641</v>
      </c>
      <c r="C1115" s="4" t="n">
        <v>0.98460056</v>
      </c>
      <c r="D1115" s="5" t="n">
        <v>0.1701483</v>
      </c>
      <c r="E1115" s="5" t="n">
        <v>-0.01539944</v>
      </c>
    </row>
    <row r="1116">
      <c r="A1116" s="2" t="n">
        <v>45426</v>
      </c>
      <c r="B1116" s="3" t="n">
        <v>1179.084070693532</v>
      </c>
      <c r="C1116" s="4" t="n">
        <v>1.00763644</v>
      </c>
      <c r="D1116" s="5" t="n">
        <v>0.17908407</v>
      </c>
      <c r="E1116" s="5" t="n">
        <v>0.00763644</v>
      </c>
    </row>
    <row r="1117">
      <c r="A1117" s="2" t="n">
        <v>45427</v>
      </c>
      <c r="B1117" s="3" t="n">
        <v>1170.006950929501</v>
      </c>
      <c r="C1117" s="4" t="n">
        <v>0.99230155</v>
      </c>
      <c r="D1117" s="5" t="n">
        <v>0.17000695</v>
      </c>
      <c r="E1117" s="5" t="n">
        <v>-0.00769845</v>
      </c>
    </row>
    <row r="1118">
      <c r="A1118" s="2" t="n">
        <v>45428</v>
      </c>
      <c r="B1118" s="3" t="n">
        <v>1174.604177341302</v>
      </c>
      <c r="C1118" s="4" t="n">
        <v>1.00392923</v>
      </c>
      <c r="D1118" s="5" t="n">
        <v>0.17460418</v>
      </c>
      <c r="E1118" s="5" t="n">
        <v>0.00392923</v>
      </c>
    </row>
    <row r="1119">
      <c r="A1119" s="2" t="n">
        <v>45429</v>
      </c>
      <c r="B1119" s="3" t="n">
        <v>1185.803816743499</v>
      </c>
      <c r="C1119" s="4" t="n">
        <v>1.00953482</v>
      </c>
      <c r="D1119" s="5" t="n">
        <v>0.18580382</v>
      </c>
      <c r="E1119" s="5" t="n">
        <v>0.009534819999999999</v>
      </c>
    </row>
    <row r="1120">
      <c r="A1120" s="2" t="n">
        <v>45432</v>
      </c>
      <c r="B1120" s="3" t="n">
        <v>1190.978344432737</v>
      </c>
      <c r="C1120" s="4" t="n">
        <v>1.00436373</v>
      </c>
      <c r="D1120" s="5" t="n">
        <v>0.19097834</v>
      </c>
      <c r="E1120" s="5" t="n">
        <v>0.00436373</v>
      </c>
    </row>
    <row r="1121">
      <c r="A1121" s="2" t="n">
        <v>45433</v>
      </c>
      <c r="B1121" s="3" t="n">
        <v>1180.311239702774</v>
      </c>
      <c r="C1121" s="4" t="n">
        <v>0.99104341</v>
      </c>
      <c r="D1121" s="5" t="n">
        <v>0.18031124</v>
      </c>
      <c r="E1121" s="5" t="n">
        <v>-0.00895659</v>
      </c>
    </row>
    <row r="1122">
      <c r="A1122" s="2" t="n">
        <v>45434</v>
      </c>
      <c r="B1122" s="3" t="n">
        <v>1184.500294126716</v>
      </c>
      <c r="C1122" s="4" t="n">
        <v>1.00354911</v>
      </c>
      <c r="D1122" s="5" t="n">
        <v>0.18450029</v>
      </c>
      <c r="E1122" s="5" t="n">
        <v>0.00354911</v>
      </c>
    </row>
    <row r="1123">
      <c r="A1123" s="2" t="n">
        <v>45435</v>
      </c>
      <c r="B1123" s="3" t="n">
        <v>1161.280369030909</v>
      </c>
      <c r="C1123" s="4" t="n">
        <v>0.98039686</v>
      </c>
      <c r="D1123" s="5" t="n">
        <v>0.16128037</v>
      </c>
      <c r="E1123" s="5" t="n">
        <v>-0.01960314</v>
      </c>
    </row>
    <row r="1124">
      <c r="A1124" s="2" t="n">
        <v>45436</v>
      </c>
      <c r="B1124" s="3" t="n">
        <v>1150.671747701308</v>
      </c>
      <c r="C1124" s="4" t="n">
        <v>0.99086472</v>
      </c>
      <c r="D1124" s="5" t="n">
        <v>0.15067175</v>
      </c>
      <c r="E1124" s="5" t="n">
        <v>-0.009135280000000001</v>
      </c>
    </row>
    <row r="1125">
      <c r="A1125" s="2" t="n">
        <v>45439</v>
      </c>
      <c r="B1125" s="3" t="n">
        <v>1156.50357074629</v>
      </c>
      <c r="C1125" s="4" t="n">
        <v>1.00506819</v>
      </c>
      <c r="D1125" s="5" t="n">
        <v>0.15650357</v>
      </c>
      <c r="E1125" s="5" t="n">
        <v>0.00506819</v>
      </c>
    </row>
    <row r="1126">
      <c r="A1126" s="2" t="n">
        <v>45440</v>
      </c>
      <c r="B1126" s="3" t="n">
        <v>1147.845082942898</v>
      </c>
      <c r="C1126" s="4" t="n">
        <v>0.99251322</v>
      </c>
      <c r="D1126" s="5" t="n">
        <v>0.14784508</v>
      </c>
      <c r="E1126" s="5" t="n">
        <v>-0.00748678</v>
      </c>
    </row>
    <row r="1127">
      <c r="A1127" s="2" t="n">
        <v>45441</v>
      </c>
      <c r="B1127" s="3" t="n">
        <v>1149.59144888744</v>
      </c>
      <c r="C1127" s="4" t="n">
        <v>1.00152143</v>
      </c>
      <c r="D1127" s="5" t="n">
        <v>0.14959145</v>
      </c>
      <c r="E1127" s="5" t="n">
        <v>0.00152143</v>
      </c>
    </row>
    <row r="1128">
      <c r="A1128" s="2" t="n">
        <v>45442</v>
      </c>
      <c r="B1128" s="3" t="n">
        <v>1141.924225727256</v>
      </c>
      <c r="C1128" s="4" t="n">
        <v>0.99333048</v>
      </c>
      <c r="D1128" s="5" t="n">
        <v>0.14192423</v>
      </c>
      <c r="E1128" s="5" t="n">
        <v>-0.00666952</v>
      </c>
    </row>
    <row r="1129">
      <c r="A1129" s="2" t="n">
        <v>45443</v>
      </c>
      <c r="B1129" s="3" t="n">
        <v>1150.856071539839</v>
      </c>
      <c r="C1129" s="4" t="n">
        <v>1.00782175</v>
      </c>
      <c r="D1129" s="5" t="n">
        <v>0.15085607</v>
      </c>
      <c r="E1129" s="5" t="n">
        <v>0.007821750000000001</v>
      </c>
    </row>
    <row r="1130">
      <c r="A1130" s="2" t="n">
        <v>45446</v>
      </c>
      <c r="B1130" s="3" t="n">
        <v>1131.200566168328</v>
      </c>
      <c r="C1130" s="4" t="n">
        <v>0.98292097</v>
      </c>
      <c r="D1130" s="5" t="n">
        <v>0.13120057</v>
      </c>
      <c r="E1130" s="5" t="n">
        <v>-0.01707903</v>
      </c>
    </row>
    <row r="1131">
      <c r="A1131" s="2" t="n">
        <v>45447</v>
      </c>
      <c r="B1131" s="3" t="n">
        <v>1121.123480852725</v>
      </c>
      <c r="C1131" s="4" t="n">
        <v>0.99109169</v>
      </c>
      <c r="D1131" s="5" t="n">
        <v>0.12112348</v>
      </c>
      <c r="E1131" s="5" t="n">
        <v>-0.008908309999999999</v>
      </c>
    </row>
    <row r="1132">
      <c r="A1132" s="2" t="n">
        <v>45448</v>
      </c>
      <c r="B1132" s="3" t="n">
        <v>1099.062102686383</v>
      </c>
      <c r="C1132" s="4" t="n">
        <v>0.98032208</v>
      </c>
      <c r="D1132" s="5" t="n">
        <v>0.0990621</v>
      </c>
      <c r="E1132" s="5" t="n">
        <v>-0.01967792</v>
      </c>
    </row>
    <row r="1133">
      <c r="A1133" s="2" t="n">
        <v>45449</v>
      </c>
      <c r="B1133" s="3" t="n">
        <v>1060.300391439461</v>
      </c>
      <c r="C1133" s="4" t="n">
        <v>0.96473201</v>
      </c>
      <c r="D1133" s="5" t="n">
        <v>0.06030039</v>
      </c>
      <c r="E1133" s="5" t="n">
        <v>-0.03526799</v>
      </c>
    </row>
    <row r="1134">
      <c r="A1134" s="2" t="n">
        <v>45450</v>
      </c>
      <c r="B1134" s="3" t="n">
        <v>1077.748737093004</v>
      </c>
      <c r="C1134" s="4" t="n">
        <v>1.01645604</v>
      </c>
      <c r="D1134" s="5" t="n">
        <v>0.07774874</v>
      </c>
      <c r="E1134" s="5" t="n">
        <v>0.01645604</v>
      </c>
    </row>
    <row r="1135">
      <c r="A1135" s="2" t="n">
        <v>45454</v>
      </c>
      <c r="B1135" s="3" t="n">
        <v>1085.326905782899</v>
      </c>
      <c r="C1135" s="4" t="n">
        <v>1.00703148</v>
      </c>
      <c r="D1135" s="5" t="n">
        <v>0.08532691000000001</v>
      </c>
      <c r="E1135" s="5" t="n">
        <v>0.00703148</v>
      </c>
    </row>
    <row r="1136">
      <c r="A1136" s="2" t="n">
        <v>45455</v>
      </c>
      <c r="B1136" s="3" t="n">
        <v>1100.761545922149</v>
      </c>
      <c r="C1136" s="4" t="n">
        <v>1.01422119</v>
      </c>
      <c r="D1136" s="5" t="n">
        <v>0.10076155</v>
      </c>
      <c r="E1136" s="5" t="n">
        <v>0.01422119</v>
      </c>
    </row>
    <row r="1137">
      <c r="A1137" s="2" t="n">
        <v>45456</v>
      </c>
      <c r="B1137" s="3" t="n">
        <v>1096.043769997251</v>
      </c>
      <c r="C1137" s="4" t="n">
        <v>0.9957140799999999</v>
      </c>
      <c r="D1137" s="5" t="n">
        <v>0.09604377</v>
      </c>
      <c r="E1137" s="5" t="n">
        <v>-0.00428592</v>
      </c>
    </row>
    <row r="1138">
      <c r="A1138" s="2" t="n">
        <v>45457</v>
      </c>
      <c r="B1138" s="3" t="n">
        <v>1097.887359460137</v>
      </c>
      <c r="C1138" s="4" t="n">
        <v>1.00168204</v>
      </c>
      <c r="D1138" s="5" t="n">
        <v>0.09788736000000001</v>
      </c>
      <c r="E1138" s="5" t="n">
        <v>0.00168204</v>
      </c>
    </row>
    <row r="1139">
      <c r="A1139" s="2" t="n">
        <v>45460</v>
      </c>
      <c r="B1139" s="3" t="n">
        <v>1093.609792687955</v>
      </c>
      <c r="C1139" s="4" t="n">
        <v>0.99610382</v>
      </c>
      <c r="D1139" s="5" t="n">
        <v>0.09360979</v>
      </c>
      <c r="E1139" s="5" t="n">
        <v>-0.00389618</v>
      </c>
    </row>
    <row r="1140">
      <c r="A1140" s="2" t="n">
        <v>45461</v>
      </c>
      <c r="B1140" s="3" t="n">
        <v>1108.606879346807</v>
      </c>
      <c r="C1140" s="4" t="n">
        <v>1.01371338</v>
      </c>
      <c r="D1140" s="5" t="n">
        <v>0.10860688</v>
      </c>
      <c r="E1140" s="5" t="n">
        <v>0.01371338</v>
      </c>
    </row>
    <row r="1141">
      <c r="A1141" s="2" t="n">
        <v>45462</v>
      </c>
      <c r="B1141" s="3" t="n">
        <v>1103.102102973479</v>
      </c>
      <c r="C1141" s="4" t="n">
        <v>0.99503451</v>
      </c>
      <c r="D1141" s="5" t="n">
        <v>0.1031021</v>
      </c>
      <c r="E1141" s="5" t="n">
        <v>-0.00496549</v>
      </c>
    </row>
    <row r="1142">
      <c r="A1142" s="2" t="n">
        <v>45463</v>
      </c>
      <c r="B1142" s="3" t="n">
        <v>1079.90828918738</v>
      </c>
      <c r="C1142" s="4" t="n">
        <v>0.97897401</v>
      </c>
      <c r="D1142" s="5" t="n">
        <v>0.07990829000000001</v>
      </c>
      <c r="E1142" s="5" t="n">
        <v>-0.02102599</v>
      </c>
    </row>
    <row r="1143">
      <c r="A1143" s="2" t="n">
        <v>45464</v>
      </c>
      <c r="B1143" s="3" t="n">
        <v>1078.761988136573</v>
      </c>
      <c r="C1143" s="4" t="n">
        <v>0.9989385200000001</v>
      </c>
      <c r="D1143" s="5" t="n">
        <v>0.07876199</v>
      </c>
      <c r="E1143" s="5" t="n">
        <v>-0.00106148</v>
      </c>
    </row>
    <row r="1144">
      <c r="A1144" s="2" t="n">
        <v>45467</v>
      </c>
      <c r="B1144" s="3" t="n">
        <v>1039.78614490328</v>
      </c>
      <c r="C1144" s="4" t="n">
        <v>0.96386984</v>
      </c>
      <c r="D1144" s="5" t="n">
        <v>0.03978614</v>
      </c>
      <c r="E1144" s="5" t="n">
        <v>-0.03613016</v>
      </c>
    </row>
    <row r="1145">
      <c r="A1145" s="2" t="n">
        <v>45468</v>
      </c>
      <c r="B1145" s="3" t="n">
        <v>1040.723116994176</v>
      </c>
      <c r="C1145" s="4" t="n">
        <v>1.00090112</v>
      </c>
      <c r="D1145" s="5" t="n">
        <v>0.04072312</v>
      </c>
      <c r="E1145" s="5" t="n">
        <v>0.00090112</v>
      </c>
    </row>
    <row r="1146">
      <c r="A1146" s="2" t="n">
        <v>45469</v>
      </c>
      <c r="B1146" s="3" t="n">
        <v>1068.761238489116</v>
      </c>
      <c r="C1146" s="4" t="n">
        <v>1.026941</v>
      </c>
      <c r="D1146" s="5" t="n">
        <v>0.06876124</v>
      </c>
      <c r="E1146" s="5" t="n">
        <v>0.026941</v>
      </c>
    </row>
    <row r="1147">
      <c r="A1147" s="2" t="n">
        <v>45470</v>
      </c>
      <c r="B1147" s="3" t="n">
        <v>1049.204414778111</v>
      </c>
      <c r="C1147" s="4" t="n">
        <v>0.98170141</v>
      </c>
      <c r="D1147" s="5" t="n">
        <v>0.04920441</v>
      </c>
      <c r="E1147" s="5" t="n">
        <v>-0.01829859</v>
      </c>
    </row>
    <row r="1148">
      <c r="A1148" s="2" t="n">
        <v>45471</v>
      </c>
      <c r="B1148" s="3" t="n">
        <v>1056.310109709019</v>
      </c>
      <c r="C1148" s="4" t="n">
        <v>1.00677246</v>
      </c>
      <c r="D1148" s="5" t="n">
        <v>0.05631011</v>
      </c>
      <c r="E1148" s="5" t="n">
        <v>0.00677246</v>
      </c>
    </row>
    <row r="1149">
      <c r="A1149" s="2" t="n">
        <v>45474</v>
      </c>
      <c r="B1149" s="3" t="n">
        <v>1063.744673775578</v>
      </c>
      <c r="C1149" s="4" t="n">
        <v>1.00703824</v>
      </c>
      <c r="D1149" s="5" t="n">
        <v>0.06374467</v>
      </c>
      <c r="E1149" s="5" t="n">
        <v>0.00703824</v>
      </c>
    </row>
    <row r="1150">
      <c r="A1150" s="2" t="n">
        <v>45475</v>
      </c>
      <c r="B1150" s="3" t="n">
        <v>1064.636006712628</v>
      </c>
      <c r="C1150" s="4" t="n">
        <v>1.00083792</v>
      </c>
      <c r="D1150" s="5" t="n">
        <v>0.06463600999999999</v>
      </c>
      <c r="E1150" s="5" t="n">
        <v>0.00083792</v>
      </c>
    </row>
    <row r="1151">
      <c r="A1151" s="2" t="n">
        <v>45476</v>
      </c>
      <c r="B1151" s="3" t="n">
        <v>1053.238247844684</v>
      </c>
      <c r="C1151" s="4" t="n">
        <v>0.98929422</v>
      </c>
      <c r="D1151" s="5" t="n">
        <v>0.05323825</v>
      </c>
      <c r="E1151" s="5" t="n">
        <v>-0.01070578</v>
      </c>
    </row>
    <row r="1152">
      <c r="A1152" s="2" t="n">
        <v>45477</v>
      </c>
      <c r="B1152" s="3" t="n">
        <v>1027.170485354321</v>
      </c>
      <c r="C1152" s="4" t="n">
        <v>0.97524989</v>
      </c>
      <c r="D1152" s="5" t="n">
        <v>0.02717049</v>
      </c>
      <c r="E1152" s="5" t="n">
        <v>-0.02475011</v>
      </c>
    </row>
    <row r="1153">
      <c r="A1153" s="2" t="n">
        <v>45478</v>
      </c>
      <c r="B1153" s="3" t="n">
        <v>1036.914265665211</v>
      </c>
      <c r="C1153" s="4" t="n">
        <v>1.00948604</v>
      </c>
      <c r="D1153" s="5" t="n">
        <v>0.03691427</v>
      </c>
      <c r="E1153" s="5" t="n">
        <v>0.009486039999999999</v>
      </c>
    </row>
    <row r="1154">
      <c r="A1154" s="2" t="n">
        <v>45481</v>
      </c>
      <c r="B1154" s="3" t="n">
        <v>1010.109897098911</v>
      </c>
      <c r="C1154" s="4" t="n">
        <v>0.97414987</v>
      </c>
      <c r="D1154" s="5" t="n">
        <v>0.0101099</v>
      </c>
      <c r="E1154" s="5" t="n">
        <v>-0.02585013</v>
      </c>
    </row>
    <row r="1155">
      <c r="A1155" s="2" t="n">
        <v>45482</v>
      </c>
      <c r="B1155" s="3" t="n">
        <v>1028.746000454229</v>
      </c>
      <c r="C1155" s="4" t="n">
        <v>1.01844958</v>
      </c>
      <c r="D1155" s="5" t="n">
        <v>0.028746</v>
      </c>
      <c r="E1155" s="5" t="n">
        <v>0.01844958</v>
      </c>
    </row>
    <row r="1156">
      <c r="A1156" s="2" t="n">
        <v>45483</v>
      </c>
      <c r="B1156" s="3" t="n">
        <v>1021.563213579378</v>
      </c>
      <c r="C1156" s="4" t="n">
        <v>0.99301792</v>
      </c>
      <c r="D1156" s="5" t="n">
        <v>0.02156321</v>
      </c>
      <c r="E1156" s="5" t="n">
        <v>-0.00698208</v>
      </c>
    </row>
    <row r="1157">
      <c r="A1157" s="2" t="n">
        <v>45484</v>
      </c>
      <c r="B1157" s="3" t="n">
        <v>1052.502287281475</v>
      </c>
      <c r="C1157" s="4" t="n">
        <v>1.03028601</v>
      </c>
      <c r="D1157" s="5" t="n">
        <v>0.05250229</v>
      </c>
      <c r="E1157" s="5" t="n">
        <v>0.03028601</v>
      </c>
    </row>
    <row r="1158">
      <c r="A1158" s="2" t="n">
        <v>45485</v>
      </c>
      <c r="B1158" s="3" t="n">
        <v>1047.68415283578</v>
      </c>
      <c r="C1158" s="4" t="n">
        <v>0.99542221</v>
      </c>
      <c r="D1158" s="5" t="n">
        <v>0.04768415</v>
      </c>
      <c r="E1158" s="5" t="n">
        <v>-0.00457779</v>
      </c>
    </row>
    <row r="1159">
      <c r="A1159" s="2" t="n">
        <v>45488</v>
      </c>
      <c r="B1159" s="3" t="n">
        <v>1031.467248894025</v>
      </c>
      <c r="C1159" s="4" t="n">
        <v>0.98452119</v>
      </c>
      <c r="D1159" s="5" t="n">
        <v>0.03146725</v>
      </c>
      <c r="E1159" s="5" t="n">
        <v>-0.01547881</v>
      </c>
    </row>
    <row r="1160">
      <c r="A1160" s="2" t="n">
        <v>45489</v>
      </c>
      <c r="B1160" s="3" t="n">
        <v>1032.410102791566</v>
      </c>
      <c r="C1160" s="4" t="n">
        <v>1.00091409</v>
      </c>
      <c r="D1160" s="5" t="n">
        <v>0.0324101</v>
      </c>
      <c r="E1160" s="5" t="n">
        <v>0.00091409</v>
      </c>
    </row>
    <row r="1161">
      <c r="A1161" s="2" t="n">
        <v>45490</v>
      </c>
      <c r="B1161" s="3" t="n">
        <v>1016.369361190675</v>
      </c>
      <c r="C1161" s="4" t="n">
        <v>0.98446282</v>
      </c>
      <c r="D1161" s="5" t="n">
        <v>0.01636936</v>
      </c>
      <c r="E1161" s="5" t="n">
        <v>-0.01553718</v>
      </c>
    </row>
    <row r="1162">
      <c r="A1162" s="2" t="n">
        <v>45491</v>
      </c>
      <c r="B1162" s="3" t="n">
        <v>1014.793348368132</v>
      </c>
      <c r="C1162" s="4" t="n">
        <v>0.99844937</v>
      </c>
      <c r="D1162" s="5" t="n">
        <v>0.01479335</v>
      </c>
      <c r="E1162" s="5" t="n">
        <v>-0.00155063</v>
      </c>
    </row>
    <row r="1163">
      <c r="A1163" s="2" t="n">
        <v>45492</v>
      </c>
      <c r="B1163" s="3" t="n">
        <v>1019.928669515815</v>
      </c>
      <c r="C1163" s="4" t="n">
        <v>1.00506046</v>
      </c>
      <c r="D1163" s="5" t="n">
        <v>0.01992867</v>
      </c>
      <c r="E1163" s="5" t="n">
        <v>0.00506046</v>
      </c>
    </row>
    <row r="1164">
      <c r="A1164" s="2" t="n">
        <v>45495</v>
      </c>
      <c r="B1164" s="3" t="n">
        <v>1025.217326044429</v>
      </c>
      <c r="C1164" s="4" t="n">
        <v>1.00518532</v>
      </c>
      <c r="D1164" s="5" t="n">
        <v>0.02521733</v>
      </c>
      <c r="E1164" s="5" t="n">
        <v>0.00518532</v>
      </c>
    </row>
    <row r="1165">
      <c r="A1165" s="2" t="n">
        <v>45496</v>
      </c>
      <c r="B1165" s="3" t="n">
        <v>1007.321132400997</v>
      </c>
      <c r="C1165" s="4" t="n">
        <v>0.982544</v>
      </c>
      <c r="D1165" s="5" t="n">
        <v>0.00732113</v>
      </c>
      <c r="E1165" s="5" t="n">
        <v>-0.017456</v>
      </c>
    </row>
    <row r="1166">
      <c r="A1166" s="2" t="n">
        <v>45497</v>
      </c>
      <c r="B1166" s="3" t="n">
        <v>991.8809543763997</v>
      </c>
      <c r="C1166" s="4" t="n">
        <v>0.98467204</v>
      </c>
      <c r="D1166" s="5" t="n">
        <v>-0.008119049999999999</v>
      </c>
      <c r="E1166" s="5" t="n">
        <v>-0.01532796</v>
      </c>
    </row>
    <row r="1167">
      <c r="A1167" s="2" t="n">
        <v>45498</v>
      </c>
      <c r="B1167" s="3" t="n">
        <v>995.5613782516612</v>
      </c>
      <c r="C1167" s="4" t="n">
        <v>1.00371055</v>
      </c>
      <c r="D1167" s="5" t="n">
        <v>-0.00443862</v>
      </c>
      <c r="E1167" s="5" t="n">
        <v>0.00371055</v>
      </c>
    </row>
    <row r="1168">
      <c r="A1168" s="2" t="n">
        <v>45499</v>
      </c>
      <c r="B1168" s="3" t="n">
        <v>1012.589619355098</v>
      </c>
      <c r="C1168" s="4" t="n">
        <v>1.01710416</v>
      </c>
      <c r="D1168" s="5" t="n">
        <v>0.01258962</v>
      </c>
      <c r="E1168" s="5" t="n">
        <v>0.01710416</v>
      </c>
    </row>
    <row r="1169">
      <c r="A1169" s="2" t="n">
        <v>45502</v>
      </c>
      <c r="B1169" s="3" t="n">
        <v>1016.87550617798</v>
      </c>
      <c r="C1169" s="4" t="n">
        <v>1.0042326</v>
      </c>
      <c r="D1169" s="5" t="n">
        <v>0.01687551</v>
      </c>
      <c r="E1169" s="5" t="n">
        <v>0.0042326</v>
      </c>
    </row>
    <row r="1170">
      <c r="A1170" s="2" t="n">
        <v>45503</v>
      </c>
      <c r="B1170" s="3" t="n">
        <v>1023.425211482028</v>
      </c>
      <c r="C1170" s="4" t="n">
        <v>1.00644101</v>
      </c>
      <c r="D1170" s="5" t="n">
        <v>0.02342521</v>
      </c>
      <c r="E1170" s="5" t="n">
        <v>0.00644101</v>
      </c>
    </row>
    <row r="1171">
      <c r="A1171" s="2" t="n">
        <v>45504</v>
      </c>
      <c r="B1171" s="3" t="n">
        <v>1055.353887950314</v>
      </c>
      <c r="C1171" s="4" t="n">
        <v>1.03119786</v>
      </c>
      <c r="D1171" s="5" t="n">
        <v>0.05535389</v>
      </c>
      <c r="E1171" s="5" t="n">
        <v>0.03119786</v>
      </c>
    </row>
    <row r="1172">
      <c r="A1172" s="2" t="n">
        <v>45505</v>
      </c>
      <c r="B1172" s="3" t="n">
        <v>1058.37730798267</v>
      </c>
      <c r="C1172" s="4" t="n">
        <v>1.00286484</v>
      </c>
      <c r="D1172" s="5" t="n">
        <v>0.05837731</v>
      </c>
      <c r="E1172" s="5" t="n">
        <v>0.00286484</v>
      </c>
    </row>
    <row r="1173">
      <c r="A1173" s="2" t="n">
        <v>45506</v>
      </c>
      <c r="B1173" s="3" t="n">
        <v>1045.674557694531</v>
      </c>
      <c r="C1173" s="4" t="n">
        <v>0.9879979</v>
      </c>
      <c r="D1173" s="5" t="n">
        <v>0.04567456</v>
      </c>
      <c r="E1173" s="5" t="n">
        <v>-0.0120021</v>
      </c>
    </row>
    <row r="1174">
      <c r="A1174" s="2" t="n">
        <v>45509</v>
      </c>
      <c r="B1174" s="3" t="n">
        <v>1019.307675044098</v>
      </c>
      <c r="C1174" s="4" t="n">
        <v>0.9747848099999999</v>
      </c>
      <c r="D1174" s="5" t="n">
        <v>0.01930768</v>
      </c>
      <c r="E1174" s="5" t="n">
        <v>-0.02521519</v>
      </c>
    </row>
    <row r="1175">
      <c r="A1175" s="2" t="n">
        <v>45510</v>
      </c>
      <c r="B1175" s="3" t="n">
        <v>1037.791535403352</v>
      </c>
      <c r="C1175" s="4" t="n">
        <v>1.01813374</v>
      </c>
      <c r="D1175" s="5" t="n">
        <v>0.03779154</v>
      </c>
      <c r="E1175" s="5" t="n">
        <v>0.01813374</v>
      </c>
    </row>
    <row r="1176">
      <c r="A1176" s="2" t="n">
        <v>45511</v>
      </c>
      <c r="B1176" s="3" t="n">
        <v>1039.731313073836</v>
      </c>
      <c r="C1176" s="4" t="n">
        <v>1.00186914</v>
      </c>
      <c r="D1176" s="5" t="n">
        <v>0.03973131</v>
      </c>
      <c r="E1176" s="5" t="n">
        <v>0.00186914</v>
      </c>
    </row>
    <row r="1177">
      <c r="A1177" s="2" t="n">
        <v>45512</v>
      </c>
      <c r="B1177" s="3" t="n">
        <v>1033.853587193272</v>
      </c>
      <c r="C1177" s="4" t="n">
        <v>0.99434688</v>
      </c>
      <c r="D1177" s="5" t="n">
        <v>0.03385359</v>
      </c>
      <c r="E1177" s="5" t="n">
        <v>-0.00565312</v>
      </c>
    </row>
    <row r="1178">
      <c r="A1178" s="2" t="n">
        <v>45513</v>
      </c>
      <c r="B1178" s="3" t="n">
        <v>1027.60443850841</v>
      </c>
      <c r="C1178" s="4" t="n">
        <v>0.99395548</v>
      </c>
      <c r="D1178" s="5" t="n">
        <v>0.02760444</v>
      </c>
      <c r="E1178" s="5" t="n">
        <v>-0.00604452</v>
      </c>
    </row>
    <row r="1179">
      <c r="A1179" s="2" t="n">
        <v>45516</v>
      </c>
      <c r="B1179" s="3" t="n">
        <v>1018.750814463154</v>
      </c>
      <c r="C1179" s="4" t="n">
        <v>0.99138421</v>
      </c>
      <c r="D1179" s="5" t="n">
        <v>0.01875081</v>
      </c>
      <c r="E1179" s="5" t="n">
        <v>-0.00861579</v>
      </c>
    </row>
    <row r="1180">
      <c r="A1180" s="2" t="n">
        <v>45517</v>
      </c>
      <c r="B1180" s="3" t="n">
        <v>1025.57203372903</v>
      </c>
      <c r="C1180" s="4" t="n">
        <v>1.00669567</v>
      </c>
      <c r="D1180" s="5" t="n">
        <v>0.02557203</v>
      </c>
      <c r="E1180" s="5" t="n">
        <v>0.00669567</v>
      </c>
    </row>
    <row r="1181">
      <c r="A1181" s="2" t="n">
        <v>45518</v>
      </c>
      <c r="B1181" s="3" t="n">
        <v>1023.33534316923</v>
      </c>
      <c r="C1181" s="4" t="n">
        <v>0.99781908</v>
      </c>
      <c r="D1181" s="5" t="n">
        <v>0.02333534</v>
      </c>
      <c r="E1181" s="5" t="n">
        <v>-0.00218092</v>
      </c>
    </row>
    <row r="1182">
      <c r="A1182" s="2" t="n">
        <v>45519</v>
      </c>
      <c r="B1182" s="3" t="n">
        <v>1032.897828650001</v>
      </c>
      <c r="C1182" s="4" t="n">
        <v>1.00934443</v>
      </c>
      <c r="D1182" s="5" t="n">
        <v>0.03289783</v>
      </c>
      <c r="E1182" s="5" t="n">
        <v>0.009344430000000001</v>
      </c>
    </row>
    <row r="1183">
      <c r="A1183" s="2" t="n">
        <v>45520</v>
      </c>
      <c r="B1183" s="3" t="n">
        <v>1031.019111447426</v>
      </c>
      <c r="C1183" s="4" t="n">
        <v>0.99818112</v>
      </c>
      <c r="D1183" s="5" t="n">
        <v>0.03101911</v>
      </c>
      <c r="E1183" s="5" t="n">
        <v>-0.00181888</v>
      </c>
    </row>
    <row r="1184">
      <c r="A1184" s="2" t="n">
        <v>45523</v>
      </c>
      <c r="B1184" s="3" t="n">
        <v>1025.907030007518</v>
      </c>
      <c r="C1184" s="4" t="n">
        <v>0.99504172</v>
      </c>
      <c r="D1184" s="5" t="n">
        <v>0.02590703</v>
      </c>
      <c r="E1184" s="5" t="n">
        <v>-0.00495828</v>
      </c>
    </row>
    <row r="1185">
      <c r="A1185" s="2" t="n">
        <v>45524</v>
      </c>
      <c r="B1185" s="3" t="n">
        <v>1009.952370094528</v>
      </c>
      <c r="C1185" s="4" t="n">
        <v>0.98444824</v>
      </c>
      <c r="D1185" s="5" t="n">
        <v>0.00995237</v>
      </c>
      <c r="E1185" s="5" t="n">
        <v>-0.01555176</v>
      </c>
    </row>
    <row r="1186">
      <c r="A1186" s="2" t="n">
        <v>45525</v>
      </c>
      <c r="B1186" s="3" t="n">
        <v>1008.446601807383</v>
      </c>
      <c r="C1186" s="4" t="n">
        <v>0.99850907</v>
      </c>
      <c r="D1186" s="5" t="n">
        <v>0.0084466</v>
      </c>
      <c r="E1186" s="5" t="n">
        <v>-0.00149093</v>
      </c>
    </row>
    <row r="1187">
      <c r="A1187" s="2" t="n">
        <v>45526</v>
      </c>
      <c r="B1187" s="3" t="n">
        <v>992.4916857551401</v>
      </c>
      <c r="C1187" s="4" t="n">
        <v>0.98417872</v>
      </c>
      <c r="D1187" s="5" t="n">
        <v>-0.00750831</v>
      </c>
      <c r="E1187" s="5" t="n">
        <v>-0.01582128</v>
      </c>
    </row>
    <row r="1188">
      <c r="A1188" s="2" t="n">
        <v>45527</v>
      </c>
      <c r="B1188" s="3" t="n">
        <v>987.8406910671881</v>
      </c>
      <c r="C1188" s="4" t="n">
        <v>0.99531382</v>
      </c>
      <c r="D1188" s="5" t="n">
        <v>-0.01215931</v>
      </c>
      <c r="E1188" s="5" t="n">
        <v>-0.00468618</v>
      </c>
    </row>
    <row r="1189">
      <c r="A1189" s="2" t="n">
        <v>45530</v>
      </c>
      <c r="B1189" s="3" t="n">
        <v>998.1327661456514</v>
      </c>
      <c r="C1189" s="4" t="n">
        <v>1.01041876</v>
      </c>
      <c r="D1189" s="5" t="n">
        <v>-0.00186723</v>
      </c>
      <c r="E1189" s="5" t="n">
        <v>0.01041876</v>
      </c>
    </row>
    <row r="1190">
      <c r="A1190" s="2" t="n">
        <v>45531</v>
      </c>
      <c r="B1190" s="3" t="n">
        <v>981.7119749620786</v>
      </c>
      <c r="C1190" s="4" t="n">
        <v>0.98354849</v>
      </c>
      <c r="D1190" s="5" t="n">
        <v>-0.01828803</v>
      </c>
      <c r="E1190" s="5" t="n">
        <v>-0.01645151</v>
      </c>
    </row>
    <row r="1191">
      <c r="A1191" s="2" t="n">
        <v>45532</v>
      </c>
      <c r="B1191" s="3" t="n">
        <v>986.029455873884</v>
      </c>
      <c r="C1191" s="4" t="n">
        <v>1.00439791</v>
      </c>
      <c r="D1191" s="5" t="n">
        <v>-0.01397054</v>
      </c>
      <c r="E1191" s="5" t="n">
        <v>0.00439791</v>
      </c>
    </row>
    <row r="1192">
      <c r="A1192" s="2" t="n">
        <v>45533</v>
      </c>
      <c r="B1192" s="3" t="n">
        <v>1000.243376149437</v>
      </c>
      <c r="C1192" s="4" t="n">
        <v>1.01441531</v>
      </c>
      <c r="D1192" s="5" t="n">
        <v>0.00024338</v>
      </c>
      <c r="E1192" s="5" t="n">
        <v>0.01441531</v>
      </c>
    </row>
    <row r="1193">
      <c r="A1193" s="2" t="n">
        <v>45534</v>
      </c>
      <c r="B1193" s="3" t="n">
        <v>1019.504842790404</v>
      </c>
      <c r="C1193" s="4" t="n">
        <v>1.01925678</v>
      </c>
      <c r="D1193" s="5" t="n">
        <v>0.01950484</v>
      </c>
      <c r="E1193" s="5" t="n">
        <v>0.01925678</v>
      </c>
    </row>
    <row r="1194">
      <c r="A1194" s="2" t="n">
        <v>45537</v>
      </c>
      <c r="B1194" s="3" t="n">
        <v>1004.685962683654</v>
      </c>
      <c r="C1194" s="4" t="n">
        <v>0.98546463</v>
      </c>
      <c r="D1194" s="5" t="n">
        <v>0.00468596</v>
      </c>
      <c r="E1194" s="5" t="n">
        <v>-0.01453537</v>
      </c>
    </row>
    <row r="1195">
      <c r="A1195" s="2" t="n">
        <v>45538</v>
      </c>
      <c r="B1195" s="3" t="n">
        <v>1014.378017462769</v>
      </c>
      <c r="C1195" s="4" t="n">
        <v>1.00964685</v>
      </c>
      <c r="D1195" s="5" t="n">
        <v>0.01437802</v>
      </c>
      <c r="E1195" s="5" t="n">
        <v>0.00964685</v>
      </c>
    </row>
    <row r="1196">
      <c r="A1196" s="2" t="n">
        <v>45539</v>
      </c>
      <c r="B1196" s="3" t="n">
        <v>1008.166240365891</v>
      </c>
      <c r="C1196" s="4" t="n">
        <v>0.99387627</v>
      </c>
      <c r="D1196" s="5" t="n">
        <v>0.00816624</v>
      </c>
      <c r="E1196" s="5" t="n">
        <v>-0.00612373</v>
      </c>
    </row>
    <row r="1197">
      <c r="A1197" s="2" t="n">
        <v>45540</v>
      </c>
      <c r="B1197" s="3" t="n">
        <v>1017.740270904201</v>
      </c>
      <c r="C1197" s="4" t="n">
        <v>1.00949648</v>
      </c>
      <c r="D1197" s="5" t="n">
        <v>0.01774027</v>
      </c>
      <c r="E1197" s="5" t="n">
        <v>0.00949648</v>
      </c>
    </row>
    <row r="1198">
      <c r="A1198" s="2" t="n">
        <v>45541</v>
      </c>
      <c r="B1198" s="3" t="n">
        <v>1000.07513929666</v>
      </c>
      <c r="C1198" s="4" t="n">
        <v>0.98264279</v>
      </c>
      <c r="D1198" s="5" t="n">
        <v>7.514e-05</v>
      </c>
      <c r="E1198" s="5" t="n">
        <v>-0.01735721</v>
      </c>
    </row>
    <row r="1199">
      <c r="A1199" s="2" t="n">
        <v>45544</v>
      </c>
      <c r="B1199" s="3" t="n">
        <v>998.0815495109805</v>
      </c>
      <c r="C1199" s="4" t="n">
        <v>0.99800656</v>
      </c>
      <c r="D1199" s="5" t="n">
        <v>-0.00191845</v>
      </c>
      <c r="E1199" s="5" t="n">
        <v>-0.00199344</v>
      </c>
    </row>
    <row r="1200">
      <c r="A1200" s="2" t="n">
        <v>45545</v>
      </c>
      <c r="B1200" s="3" t="n">
        <v>1003.709262270345</v>
      </c>
      <c r="C1200" s="4" t="n">
        <v>1.00563853</v>
      </c>
      <c r="D1200" s="5" t="n">
        <v>0.00370926</v>
      </c>
      <c r="E1200" s="5" t="n">
        <v>0.00563853</v>
      </c>
    </row>
    <row r="1201">
      <c r="A1201" s="2" t="n">
        <v>45546</v>
      </c>
      <c r="B1201" s="3" t="n">
        <v>996.7708309192147</v>
      </c>
      <c r="C1201" s="4" t="n">
        <v>0.99308721</v>
      </c>
      <c r="D1201" s="5" t="n">
        <v>-0.00322917</v>
      </c>
      <c r="E1201" s="5" t="n">
        <v>-0.00691279</v>
      </c>
    </row>
    <row r="1202">
      <c r="A1202" s="2" t="n">
        <v>45547</v>
      </c>
      <c r="B1202" s="3" t="n">
        <v>995.5947111126882</v>
      </c>
      <c r="C1202" s="4" t="n">
        <v>0.9988200699999999</v>
      </c>
      <c r="D1202" s="5" t="n">
        <v>-0.00440529</v>
      </c>
      <c r="E1202" s="5" t="n">
        <v>-0.00117993</v>
      </c>
    </row>
    <row r="1203">
      <c r="A1203" s="2" t="n">
        <v>45548</v>
      </c>
      <c r="B1203" s="3" t="n">
        <v>982.115304539198</v>
      </c>
      <c r="C1203" s="4" t="n">
        <v>0.98646095</v>
      </c>
      <c r="D1203" s="5" t="n">
        <v>-0.0178847</v>
      </c>
      <c r="E1203" s="5" t="n">
        <v>-0.01353905</v>
      </c>
    </row>
    <row r="1204">
      <c r="A1204" s="2" t="n">
        <v>45553</v>
      </c>
      <c r="B1204" s="3" t="n">
        <v>976.5391484746158</v>
      </c>
      <c r="C1204" s="4" t="n">
        <v>0.9943223</v>
      </c>
      <c r="D1204" s="5" t="n">
        <v>-0.02346085</v>
      </c>
      <c r="E1204" s="5" t="n">
        <v>-0.0056777</v>
      </c>
    </row>
    <row r="1205">
      <c r="A1205" s="2" t="n">
        <v>45554</v>
      </c>
      <c r="B1205" s="3" t="n">
        <v>997.6591414889441</v>
      </c>
      <c r="C1205" s="4" t="n">
        <v>1.02162739</v>
      </c>
      <c r="D1205" s="5" t="n">
        <v>-0.00234086</v>
      </c>
      <c r="E1205" s="5" t="n">
        <v>0.02162739</v>
      </c>
    </row>
    <row r="1206">
      <c r="A1206" s="2" t="n">
        <v>45555</v>
      </c>
      <c r="B1206" s="3" t="n">
        <v>996.5464123420758</v>
      </c>
      <c r="C1206" s="4" t="n">
        <v>0.99888466</v>
      </c>
      <c r="D1206" s="5" t="n">
        <v>-0.00345359</v>
      </c>
      <c r="E1206" s="5" t="n">
        <v>-0.00111534</v>
      </c>
    </row>
    <row r="1207">
      <c r="A1207" s="2" t="n">
        <v>45558</v>
      </c>
      <c r="B1207" s="3" t="n">
        <v>999.7327499099702</v>
      </c>
      <c r="C1207" s="4" t="n">
        <v>1.00319738</v>
      </c>
      <c r="D1207" s="5" t="n">
        <v>-0.00026725</v>
      </c>
      <c r="E1207" s="5" t="n">
        <v>0.00319738</v>
      </c>
    </row>
    <row r="1208">
      <c r="A1208" s="2" t="n">
        <v>45559</v>
      </c>
      <c r="B1208" s="3" t="n">
        <v>1028.302752533107</v>
      </c>
      <c r="C1208" s="4" t="n">
        <v>1.02857764</v>
      </c>
      <c r="D1208" s="5" t="n">
        <v>0.02830275</v>
      </c>
      <c r="E1208" s="5" t="n">
        <v>0.02857764</v>
      </c>
    </row>
    <row r="1209">
      <c r="A1209" s="2" t="n">
        <v>45560</v>
      </c>
      <c r="B1209" s="3" t="n">
        <v>1039.899354560579</v>
      </c>
      <c r="C1209" s="4" t="n">
        <v>1.01127742</v>
      </c>
      <c r="D1209" s="5" t="n">
        <v>0.03989935</v>
      </c>
      <c r="E1209" s="5" t="n">
        <v>0.01127742</v>
      </c>
    </row>
    <row r="1210">
      <c r="A1210" s="2" t="n">
        <v>45561</v>
      </c>
      <c r="B1210" s="3" t="n">
        <v>1068.286308762509</v>
      </c>
      <c r="C1210" s="4" t="n">
        <v>1.02729779</v>
      </c>
      <c r="D1210" s="5" t="n">
        <v>0.06828631</v>
      </c>
      <c r="E1210" s="5" t="n">
        <v>0.02729779</v>
      </c>
    </row>
    <row r="1211">
      <c r="A1211" s="2" t="n">
        <v>45562</v>
      </c>
      <c r="B1211" s="3" t="n">
        <v>1113.689555854088</v>
      </c>
      <c r="C1211" s="4" t="n">
        <v>1.04250101</v>
      </c>
      <c r="D1211" s="5" t="n">
        <v>0.11368956</v>
      </c>
      <c r="E1211" s="5" t="n">
        <v>0.04250101</v>
      </c>
    </row>
    <row r="1212">
      <c r="A1212" s="2" t="n">
        <v>45565</v>
      </c>
      <c r="B1212" s="3" t="n">
        <v>1224.650299669694</v>
      </c>
      <c r="C1212" s="4" t="n">
        <v>1.09963346</v>
      </c>
      <c r="D1212" s="5" t="n">
        <v>0.2246503</v>
      </c>
      <c r="E1212" s="5" t="n">
        <v>0.09963345999999999</v>
      </c>
    </row>
    <row r="1213">
      <c r="A1213" s="2" t="n">
        <v>45573</v>
      </c>
      <c r="B1213" s="3" t="n">
        <v>1320.150060850812</v>
      </c>
      <c r="C1213" s="4" t="n">
        <v>1.07798125</v>
      </c>
      <c r="D1213" s="5" t="n">
        <v>0.32015006</v>
      </c>
      <c r="E1213" s="5" t="n">
        <v>0.07798125</v>
      </c>
    </row>
    <row r="1214">
      <c r="A1214" s="2" t="n">
        <v>45574</v>
      </c>
      <c r="B1214" s="3" t="n">
        <v>1208.90114723792</v>
      </c>
      <c r="C1214" s="4" t="n">
        <v>0.9157301</v>
      </c>
      <c r="D1214" s="5" t="n">
        <v>0.20890115</v>
      </c>
      <c r="E1214" s="5" t="n">
        <v>-0.08426989999999999</v>
      </c>
    </row>
    <row r="1215">
      <c r="A1215" s="2" t="n">
        <v>45575</v>
      </c>
      <c r="B1215" s="3" t="n">
        <v>1207.866170698735</v>
      </c>
      <c r="C1215" s="4" t="n">
        <v>0.99914387</v>
      </c>
      <c r="D1215" s="5" t="n">
        <v>0.20786617</v>
      </c>
      <c r="E1215" s="5" t="n">
        <v>-0.00085613</v>
      </c>
    </row>
    <row r="1216">
      <c r="A1216" s="2" t="n">
        <v>45576</v>
      </c>
      <c r="B1216" s="3" t="n">
        <v>1164.600247441704</v>
      </c>
      <c r="C1216" s="4" t="n">
        <v>0.96417987</v>
      </c>
      <c r="D1216" s="5" t="n">
        <v>0.16460025</v>
      </c>
      <c r="E1216" s="5" t="n">
        <v>-0.03582013</v>
      </c>
    </row>
    <row r="1217">
      <c r="A1217" s="2" t="n">
        <v>45579</v>
      </c>
      <c r="B1217" s="3" t="n">
        <v>1202.993880011169</v>
      </c>
      <c r="C1217" s="4" t="n">
        <v>1.03296722</v>
      </c>
      <c r="D1217" s="5" t="n">
        <v>0.20299388</v>
      </c>
      <c r="E1217" s="5" t="n">
        <v>0.03296722</v>
      </c>
    </row>
    <row r="1218">
      <c r="A1218" s="2" t="n">
        <v>45580</v>
      </c>
      <c r="B1218" s="3" t="n">
        <v>1190.325801077467</v>
      </c>
      <c r="C1218" s="4" t="n">
        <v>0.98946954</v>
      </c>
      <c r="D1218" s="5" t="n">
        <v>0.1903258</v>
      </c>
      <c r="E1218" s="5" t="n">
        <v>-0.01053046</v>
      </c>
    </row>
    <row r="1219">
      <c r="A1219" s="2" t="n">
        <v>45581</v>
      </c>
      <c r="B1219" s="3" t="n">
        <v>1196.269681061889</v>
      </c>
      <c r="C1219" s="4" t="n">
        <v>1.00499349</v>
      </c>
      <c r="D1219" s="5" t="n">
        <v>0.19626968</v>
      </c>
      <c r="E1219" s="5" t="n">
        <v>0.00499349</v>
      </c>
    </row>
    <row r="1220">
      <c r="A1220" s="2" t="n">
        <v>45582</v>
      </c>
      <c r="B1220" s="3" t="n">
        <v>1195.398521592049</v>
      </c>
      <c r="C1220" s="4" t="n">
        <v>0.99927177</v>
      </c>
      <c r="D1220" s="5" t="n">
        <v>0.19539852</v>
      </c>
      <c r="E1220" s="5" t="n">
        <v>-0.00072823</v>
      </c>
    </row>
    <row r="1221">
      <c r="A1221" s="2" t="n">
        <v>45583</v>
      </c>
      <c r="B1221" s="3" t="n">
        <v>1228.347613800292</v>
      </c>
      <c r="C1221" s="4" t="n">
        <v>1.02756327</v>
      </c>
      <c r="D1221" s="5" t="n">
        <v>0.22834761</v>
      </c>
      <c r="E1221" s="5" t="n">
        <v>0.02756327</v>
      </c>
    </row>
    <row r="1222">
      <c r="A1222" s="2" t="n">
        <v>45586</v>
      </c>
      <c r="B1222" s="3" t="n">
        <v>1256.389659743548</v>
      </c>
      <c r="C1222" s="4" t="n">
        <v>1.02282908</v>
      </c>
      <c r="D1222" s="5" t="n">
        <v>0.25638966</v>
      </c>
      <c r="E1222" s="5" t="n">
        <v>0.02282908</v>
      </c>
    </row>
    <row r="1223">
      <c r="A1223" s="2" t="n">
        <v>45587</v>
      </c>
      <c r="B1223" s="3" t="n">
        <v>1266.200442243484</v>
      </c>
      <c r="C1223" s="4" t="n">
        <v>1.00780871</v>
      </c>
      <c r="D1223" s="5" t="n">
        <v>0.26620044</v>
      </c>
      <c r="E1223" s="5" t="n">
        <v>0.00780871</v>
      </c>
    </row>
    <row r="1224">
      <c r="A1224" s="2" t="n">
        <v>45588</v>
      </c>
      <c r="B1224" s="3" t="n">
        <v>1266.707200984478</v>
      </c>
      <c r="C1224" s="4" t="n">
        <v>1.00040022</v>
      </c>
      <c r="D1224" s="5" t="n">
        <v>0.2667072</v>
      </c>
      <c r="E1224" s="5" t="n">
        <v>0.00040022</v>
      </c>
    </row>
    <row r="1225">
      <c r="A1225" s="2" t="n">
        <v>45589</v>
      </c>
      <c r="B1225" s="3" t="n">
        <v>1265.954333559573</v>
      </c>
      <c r="C1225" s="4" t="n">
        <v>0.99940565</v>
      </c>
      <c r="D1225" s="5" t="n">
        <v>0.26595433</v>
      </c>
      <c r="E1225" s="5" t="n">
        <v>-0.00059435</v>
      </c>
    </row>
    <row r="1226">
      <c r="A1226" s="2" t="n">
        <v>45590</v>
      </c>
      <c r="B1226" s="3" t="n">
        <v>1292.974571685572</v>
      </c>
      <c r="C1226" s="4" t="n">
        <v>1.02134377</v>
      </c>
      <c r="D1226" s="5" t="n">
        <v>0.29297457</v>
      </c>
      <c r="E1226" s="5" t="n">
        <v>0.02134377</v>
      </c>
    </row>
    <row r="1227">
      <c r="A1227" s="2" t="n">
        <v>45593</v>
      </c>
      <c r="B1227" s="3" t="n">
        <v>1327.501375933375</v>
      </c>
      <c r="C1227" s="4" t="n">
        <v>1.02670339</v>
      </c>
      <c r="D1227" s="5" t="n">
        <v>0.32750138</v>
      </c>
      <c r="E1227" s="5" t="n">
        <v>0.02670339</v>
      </c>
    </row>
    <row r="1228">
      <c r="A1228" s="2" t="n">
        <v>45594</v>
      </c>
      <c r="B1228" s="3" t="n">
        <v>1304.674578248774</v>
      </c>
      <c r="C1228" s="4" t="n">
        <v>0.98280469</v>
      </c>
      <c r="D1228" s="5" t="n">
        <v>0.30467458</v>
      </c>
      <c r="E1228" s="5" t="n">
        <v>-0.01719531</v>
      </c>
    </row>
    <row r="1229">
      <c r="A1229" s="2" t="n">
        <v>45595</v>
      </c>
      <c r="B1229" s="3" t="n">
        <v>1311.17164890052</v>
      </c>
      <c r="C1229" s="4" t="n">
        <v>1.00497984</v>
      </c>
      <c r="D1229" s="5" t="n">
        <v>0.31117165</v>
      </c>
      <c r="E1229" s="5" t="n">
        <v>0.00497984</v>
      </c>
    </row>
    <row r="1230">
      <c r="A1230" s="2" t="n">
        <v>45596</v>
      </c>
      <c r="B1230" s="3" t="n">
        <v>1332.850888736354</v>
      </c>
      <c r="C1230" s="4" t="n">
        <v>1.01653425</v>
      </c>
      <c r="D1230" s="5" t="n">
        <v>0.33285089</v>
      </c>
      <c r="E1230" s="5" t="n">
        <v>0.01653425</v>
      </c>
    </row>
    <row r="1231">
      <c r="A1231" s="2" t="n">
        <v>45597</v>
      </c>
      <c r="B1231" s="3" t="n">
        <v>1281.220017274723</v>
      </c>
      <c r="C1231" s="4" t="n">
        <v>0.96126283</v>
      </c>
      <c r="D1231" s="5" t="n">
        <v>0.28122002</v>
      </c>
      <c r="E1231" s="5" t="n">
        <v>-0.03873717</v>
      </c>
    </row>
    <row r="1232">
      <c r="A1232" s="2" t="n">
        <v>45600</v>
      </c>
      <c r="B1232" s="3" t="n">
        <v>1304.832261583088</v>
      </c>
      <c r="C1232" s="4" t="n">
        <v>1.0184295</v>
      </c>
      <c r="D1232" s="5" t="n">
        <v>0.30483226</v>
      </c>
      <c r="E1232" s="5" t="n">
        <v>0.0184295</v>
      </c>
    </row>
    <row r="1233">
      <c r="A1233" s="2" t="n">
        <v>45601</v>
      </c>
      <c r="B1233" s="3" t="n">
        <v>1342.306182946461</v>
      </c>
      <c r="C1233" s="4" t="n">
        <v>1.02871934</v>
      </c>
      <c r="D1233" s="5" t="n">
        <v>0.34230618</v>
      </c>
      <c r="E1233" s="5" t="n">
        <v>0.02871934</v>
      </c>
    </row>
    <row r="1234">
      <c r="A1234" s="2" t="n">
        <v>45602</v>
      </c>
      <c r="B1234" s="3" t="n">
        <v>1353.165587620178</v>
      </c>
      <c r="C1234" s="4" t="n">
        <v>1.00809011</v>
      </c>
      <c r="D1234" s="5" t="n">
        <v>0.35316559</v>
      </c>
      <c r="E1234" s="5" t="n">
        <v>0.008090109999999999</v>
      </c>
    </row>
    <row r="1235">
      <c r="A1235" s="2" t="n">
        <v>45603</v>
      </c>
      <c r="B1235" s="3" t="n">
        <v>1381.651915367835</v>
      </c>
      <c r="C1235" s="4" t="n">
        <v>1.02105162</v>
      </c>
      <c r="D1235" s="5" t="n">
        <v>0.38165192</v>
      </c>
      <c r="E1235" s="5" t="n">
        <v>0.02105162</v>
      </c>
    </row>
    <row r="1236">
      <c r="A1236" s="2" t="n">
        <v>45604</v>
      </c>
      <c r="B1236" s="3" t="n">
        <v>1386.237991120958</v>
      </c>
      <c r="C1236" s="4" t="n">
        <v>1.00331927</v>
      </c>
      <c r="D1236" s="5" t="n">
        <v>0.38623799</v>
      </c>
      <c r="E1236" s="5" t="n">
        <v>0.00331927</v>
      </c>
    </row>
    <row r="1237">
      <c r="A1237" s="2" t="n">
        <v>45607</v>
      </c>
      <c r="B1237" s="3" t="n">
        <v>1414.145762082965</v>
      </c>
      <c r="C1237" s="4" t="n">
        <v>1.02013202</v>
      </c>
      <c r="D1237" s="5" t="n">
        <v>0.41414576</v>
      </c>
      <c r="E1237" s="5" t="n">
        <v>0.02013202</v>
      </c>
    </row>
    <row r="1238">
      <c r="A1238" s="2" t="n">
        <v>45608</v>
      </c>
      <c r="B1238" s="3" t="n">
        <v>1399.060036912419</v>
      </c>
      <c r="C1238" s="4" t="n">
        <v>0.98933227</v>
      </c>
      <c r="D1238" s="5" t="n">
        <v>0.39906004</v>
      </c>
      <c r="E1238" s="5" t="n">
        <v>-0.01066773</v>
      </c>
    </row>
    <row r="1239">
      <c r="A1239" s="2" t="n">
        <v>45609</v>
      </c>
      <c r="B1239" s="3" t="n">
        <v>1399.766716127664</v>
      </c>
      <c r="C1239" s="4" t="n">
        <v>1.00050511</v>
      </c>
      <c r="D1239" s="5" t="n">
        <v>0.39976672</v>
      </c>
      <c r="E1239" s="5" t="n">
        <v>0.00050511</v>
      </c>
    </row>
    <row r="1240">
      <c r="A1240" s="2" t="n">
        <v>45610</v>
      </c>
      <c r="B1240" s="3" t="n">
        <v>1360.469077437075</v>
      </c>
      <c r="C1240" s="4" t="n">
        <v>0.97192558</v>
      </c>
      <c r="D1240" s="5" t="n">
        <v>0.36046908</v>
      </c>
      <c r="E1240" s="5" t="n">
        <v>-0.02807442</v>
      </c>
    </row>
    <row r="1241">
      <c r="A1241" s="2" t="n">
        <v>45611</v>
      </c>
      <c r="B1241" s="3" t="n">
        <v>1333.972010287898</v>
      </c>
      <c r="C1241" s="4" t="n">
        <v>0.98052358</v>
      </c>
      <c r="D1241" s="5" t="n">
        <v>0.33397201</v>
      </c>
      <c r="E1241" s="5" t="n">
        <v>-0.01947642</v>
      </c>
    </row>
    <row r="1242">
      <c r="A1242" s="2" t="n">
        <v>45614</v>
      </c>
      <c r="B1242" s="3" t="n">
        <v>1298.46494360546</v>
      </c>
      <c r="C1242" s="4" t="n">
        <v>0.97338245</v>
      </c>
      <c r="D1242" s="5" t="n">
        <v>0.29846494</v>
      </c>
      <c r="E1242" s="5" t="n">
        <v>-0.02661755</v>
      </c>
    </row>
    <row r="1243">
      <c r="A1243" s="2" t="n">
        <v>45615</v>
      </c>
      <c r="B1243" s="3" t="n">
        <v>1334.907024464868</v>
      </c>
      <c r="C1243" s="4" t="n">
        <v>1.02806551</v>
      </c>
      <c r="D1243" s="5" t="n">
        <v>0.33490702</v>
      </c>
      <c r="E1243" s="5" t="n">
        <v>0.02806551</v>
      </c>
    </row>
    <row r="1244">
      <c r="A1244" s="2" t="n">
        <v>45616</v>
      </c>
      <c r="B1244" s="3" t="n">
        <v>1367.850380628352</v>
      </c>
      <c r="C1244" s="4" t="n">
        <v>1.02467839</v>
      </c>
      <c r="D1244" s="5" t="n">
        <v>0.36785038</v>
      </c>
      <c r="E1244" s="5" t="n">
        <v>0.02467839</v>
      </c>
    </row>
    <row r="1245">
      <c r="A1245" s="2" t="n">
        <v>45617</v>
      </c>
      <c r="B1245" s="3" t="n">
        <v>1372.345998724836</v>
      </c>
      <c r="C1245" s="4" t="n">
        <v>1.00328663</v>
      </c>
      <c r="D1245" s="5" t="n">
        <v>0.372346</v>
      </c>
      <c r="E1245" s="5" t="n">
        <v>0.00328663</v>
      </c>
    </row>
    <row r="1246">
      <c r="A1246" s="2" t="n">
        <v>45618</v>
      </c>
      <c r="B1246" s="3" t="n">
        <v>1330.727945774847</v>
      </c>
      <c r="C1246" s="4" t="n">
        <v>0.96967379</v>
      </c>
      <c r="D1246" s="5" t="n">
        <v>0.33072795</v>
      </c>
      <c r="E1246" s="5" t="n">
        <v>-0.03032621</v>
      </c>
    </row>
    <row r="1247">
      <c r="A1247" s="2" t="n">
        <v>45621</v>
      </c>
      <c r="B1247" s="3" t="n">
        <v>1349.32562733198</v>
      </c>
      <c r="C1247" s="4" t="n">
        <v>1.01397557</v>
      </c>
      <c r="D1247" s="5" t="n">
        <v>0.34932563</v>
      </c>
      <c r="E1247" s="5" t="n">
        <v>0.01397557</v>
      </c>
    </row>
    <row r="1248">
      <c r="A1248" s="2" t="n">
        <v>45622</v>
      </c>
      <c r="B1248" s="3" t="n">
        <v>1334.115732009056</v>
      </c>
      <c r="C1248" s="4" t="n">
        <v>0.9887277799999999</v>
      </c>
      <c r="D1248" s="5" t="n">
        <v>0.33411573</v>
      </c>
      <c r="E1248" s="5" t="n">
        <v>-0.01127222</v>
      </c>
    </row>
    <row r="1249">
      <c r="A1249" s="2" t="n">
        <v>45623</v>
      </c>
      <c r="B1249" s="3" t="n">
        <v>1354.824063177503</v>
      </c>
      <c r="C1249" s="4" t="n">
        <v>1.01552214</v>
      </c>
      <c r="D1249" s="5" t="n">
        <v>0.35482406</v>
      </c>
      <c r="E1249" s="5" t="n">
        <v>0.01552214</v>
      </c>
    </row>
    <row r="1250">
      <c r="A1250" s="2" t="n">
        <v>45624</v>
      </c>
      <c r="B1250" s="3" t="n">
        <v>1359.421089609789</v>
      </c>
      <c r="C1250" s="4" t="n">
        <v>1.00339308</v>
      </c>
      <c r="D1250" s="5" t="n">
        <v>0.35942109</v>
      </c>
      <c r="E1250" s="5" t="n">
        <v>0.00339308</v>
      </c>
    </row>
    <row r="1251">
      <c r="A1251" s="2" t="n">
        <v>45625</v>
      </c>
      <c r="B1251" s="3" t="n">
        <v>1381.431870703777</v>
      </c>
      <c r="C1251" s="4" t="n">
        <v>1.01619129</v>
      </c>
      <c r="D1251" s="5" t="n">
        <v>0.38143187</v>
      </c>
      <c r="E1251" s="5" t="n">
        <v>0.01619129</v>
      </c>
    </row>
    <row r="1252">
      <c r="A1252" s="2" t="n">
        <v>45628</v>
      </c>
      <c r="B1252" s="3" t="n">
        <v>1412.112560807074</v>
      </c>
      <c r="C1252" s="4" t="n">
        <v>1.02220934</v>
      </c>
      <c r="D1252" s="5" t="n">
        <v>0.41211256</v>
      </c>
      <c r="E1252" s="5" t="n">
        <v>0.02220934</v>
      </c>
    </row>
    <row r="1253">
      <c r="A1253" s="2" t="n">
        <v>45629</v>
      </c>
      <c r="B1253" s="3" t="n">
        <v>1416.498384725182</v>
      </c>
      <c r="C1253" s="4" t="n">
        <v>1.00310586</v>
      </c>
      <c r="D1253" s="5" t="n">
        <v>0.41649838</v>
      </c>
      <c r="E1253" s="5" t="n">
        <v>0.00310586</v>
      </c>
    </row>
    <row r="1254">
      <c r="A1254" s="2" t="n">
        <v>45630</v>
      </c>
      <c r="B1254" s="3" t="n">
        <v>1398.651539121465</v>
      </c>
      <c r="C1254" s="4" t="n">
        <v>0.9874007299999999</v>
      </c>
      <c r="D1254" s="5" t="n">
        <v>0.39865154</v>
      </c>
      <c r="E1254" s="5" t="n">
        <v>-0.01259927</v>
      </c>
    </row>
    <row r="1255">
      <c r="A1255" s="2" t="n">
        <v>45631</v>
      </c>
      <c r="B1255" s="3" t="n">
        <v>1420.119889163933</v>
      </c>
      <c r="C1255" s="4" t="n">
        <v>1.01534932</v>
      </c>
      <c r="D1255" s="5" t="n">
        <v>0.42011989</v>
      </c>
      <c r="E1255" s="5" t="n">
        <v>0.01534932</v>
      </c>
    </row>
    <row r="1256">
      <c r="A1256" s="2" t="n">
        <v>45632</v>
      </c>
      <c r="B1256" s="3" t="n">
        <v>1431.787693581696</v>
      </c>
      <c r="C1256" s="4" t="n">
        <v>1.00821607</v>
      </c>
      <c r="D1256" s="5" t="n">
        <v>0.43178769</v>
      </c>
      <c r="E1256" s="5" t="n">
        <v>0.008216070000000001</v>
      </c>
    </row>
    <row r="1257">
      <c r="A1257" s="2" t="n">
        <v>45635</v>
      </c>
      <c r="B1257" s="3" t="n">
        <v>1429.848308514986</v>
      </c>
      <c r="C1257" s="4" t="n">
        <v>0.99864548</v>
      </c>
      <c r="D1257" s="5" t="n">
        <v>0.42984831</v>
      </c>
      <c r="E1257" s="5" t="n">
        <v>-0.00135452</v>
      </c>
    </row>
    <row r="1258">
      <c r="A1258" s="2" t="n">
        <v>45636</v>
      </c>
      <c r="B1258" s="3" t="n">
        <v>1442.954069335105</v>
      </c>
      <c r="C1258" s="4" t="n">
        <v>1.00916584</v>
      </c>
      <c r="D1258" s="5" t="n">
        <v>0.44295407</v>
      </c>
      <c r="E1258" s="5" t="n">
        <v>0.00916584</v>
      </c>
    </row>
    <row r="1259">
      <c r="A1259" s="2" t="n">
        <v>45637</v>
      </c>
      <c r="B1259" s="3" t="n">
        <v>1464.624079387107</v>
      </c>
      <c r="C1259" s="4" t="n">
        <v>1.01501781</v>
      </c>
      <c r="D1259" s="5" t="n">
        <v>0.46462408</v>
      </c>
      <c r="E1259" s="5" t="n">
        <v>0.01501781</v>
      </c>
    </row>
    <row r="1260">
      <c r="A1260" s="2" t="n">
        <v>45638</v>
      </c>
      <c r="B1260" s="3" t="n">
        <v>1478.787902301709</v>
      </c>
      <c r="C1260" s="4" t="n">
        <v>1.00967062</v>
      </c>
      <c r="D1260" s="5" t="n">
        <v>0.4787879</v>
      </c>
      <c r="E1260" s="5" t="n">
        <v>0.00967062</v>
      </c>
    </row>
    <row r="1261">
      <c r="A1261" s="2" t="n">
        <v>45639</v>
      </c>
      <c r="B1261" s="3" t="n">
        <v>1457.990998213447</v>
      </c>
      <c r="C1261" s="4" t="n">
        <v>0.98593652</v>
      </c>
      <c r="D1261" s="5" t="n">
        <v>0.457991</v>
      </c>
      <c r="E1261" s="5" t="n">
        <v>-0.01406348</v>
      </c>
    </row>
    <row r="1262">
      <c r="A1262" s="2" t="n">
        <v>45642</v>
      </c>
      <c r="B1262" s="3" t="n">
        <v>1448.441711211728</v>
      </c>
      <c r="C1262" s="4" t="n">
        <v>0.99345038</v>
      </c>
      <c r="D1262" s="5" t="n">
        <v>0.44844171</v>
      </c>
      <c r="E1262" s="5" t="n">
        <v>-0.00654962</v>
      </c>
    </row>
    <row r="1263">
      <c r="A1263" s="2" t="n">
        <v>45643</v>
      </c>
      <c r="B1263" s="3" t="n">
        <v>1390.781361413288</v>
      </c>
      <c r="C1263" s="4" t="n">
        <v>0.96019146</v>
      </c>
      <c r="D1263" s="5" t="n">
        <v>0.39078136</v>
      </c>
      <c r="E1263" s="5" t="n">
        <v>-0.03980854</v>
      </c>
    </row>
    <row r="1264">
      <c r="A1264" s="2" t="n">
        <v>45644</v>
      </c>
      <c r="B1264" s="3" t="n">
        <v>1401.167953053154</v>
      </c>
      <c r="C1264" s="4" t="n">
        <v>1.00746817</v>
      </c>
      <c r="D1264" s="5" t="n">
        <v>0.40116795</v>
      </c>
      <c r="E1264" s="5" t="n">
        <v>0.00746817</v>
      </c>
    </row>
    <row r="1265">
      <c r="A1265" s="2" t="n">
        <v>45645</v>
      </c>
      <c r="B1265" s="3" t="n">
        <v>1403.18267844117</v>
      </c>
      <c r="C1265" s="4" t="n">
        <v>1.00143789</v>
      </c>
      <c r="D1265" s="5" t="n">
        <v>0.40318268</v>
      </c>
      <c r="E1265" s="5" t="n">
        <v>0.00143789</v>
      </c>
    </row>
    <row r="1266">
      <c r="A1266" s="2" t="n">
        <v>45646</v>
      </c>
      <c r="B1266" s="3" t="n">
        <v>1420.17296155298</v>
      </c>
      <c r="C1266" s="4" t="n">
        <v>1.01210839</v>
      </c>
      <c r="D1266" s="5" t="n">
        <v>0.42017296</v>
      </c>
      <c r="E1266" s="5" t="n">
        <v>0.01210839</v>
      </c>
    </row>
    <row r="1267">
      <c r="A1267" s="2" t="n">
        <v>45649</v>
      </c>
      <c r="B1267" s="3" t="n">
        <v>1357.886376727357</v>
      </c>
      <c r="C1267" s="4" t="n">
        <v>0.95614155</v>
      </c>
      <c r="D1267" s="5" t="n">
        <v>0.35788638</v>
      </c>
      <c r="E1267" s="5" t="n">
        <v>-0.04385845</v>
      </c>
    </row>
    <row r="1268">
      <c r="A1268" s="2" t="n">
        <v>45650</v>
      </c>
      <c r="B1268" s="3" t="n">
        <v>1370.079354500815</v>
      </c>
      <c r="C1268" s="4" t="n">
        <v>1.00897938</v>
      </c>
      <c r="D1268" s="5" t="n">
        <v>0.37007935</v>
      </c>
      <c r="E1268" s="5" t="n">
        <v>0.00897938</v>
      </c>
    </row>
    <row r="1269">
      <c r="A1269" s="2" t="n">
        <v>45651</v>
      </c>
      <c r="B1269" s="3" t="n">
        <v>1341.290616867541</v>
      </c>
      <c r="C1269" s="4" t="n">
        <v>0.97898754</v>
      </c>
      <c r="D1269" s="5" t="n">
        <v>0.34129062</v>
      </c>
      <c r="E1269" s="5" t="n">
        <v>-0.02101246</v>
      </c>
    </row>
    <row r="1270">
      <c r="A1270" s="2" t="n">
        <v>45652</v>
      </c>
      <c r="B1270" s="3" t="n">
        <v>1361.871500808912</v>
      </c>
      <c r="C1270" s="4" t="n">
        <v>1.01534409</v>
      </c>
      <c r="D1270" s="5" t="n">
        <v>0.3618715</v>
      </c>
      <c r="E1270" s="5" t="n">
        <v>0.01534409</v>
      </c>
    </row>
    <row r="1271">
      <c r="A1271" s="2" t="n">
        <v>45653</v>
      </c>
      <c r="B1271" s="3" t="n">
        <v>1370.979520363026</v>
      </c>
      <c r="C1271" s="4" t="n">
        <v>1.00668787</v>
      </c>
      <c r="D1271" s="5" t="n">
        <v>0.37097952</v>
      </c>
      <c r="E1271" s="5" t="n">
        <v>0.00668787</v>
      </c>
    </row>
    <row r="1272">
      <c r="A1272" s="2" t="n">
        <v>45656</v>
      </c>
      <c r="B1272" s="3" t="n">
        <v>1356.725569677969</v>
      </c>
      <c r="C1272" s="4" t="n">
        <v>0.98960309</v>
      </c>
      <c r="D1272" s="5" t="n">
        <v>0.35672557</v>
      </c>
      <c r="E1272" s="5" t="n">
        <v>-0.01039691</v>
      </c>
    </row>
    <row r="1273">
      <c r="A1273" s="2" t="n">
        <v>45657</v>
      </c>
      <c r="B1273" s="3" t="n">
        <v>1320.93544762949</v>
      </c>
      <c r="C1273" s="4" t="n">
        <v>0.97362022</v>
      </c>
      <c r="D1273" s="5" t="n">
        <v>0.32093545</v>
      </c>
      <c r="E1273" s="5" t="n">
        <v>-0.02637978</v>
      </c>
    </row>
    <row r="1274">
      <c r="A1274" s="2" t="n">
        <v>45659</v>
      </c>
      <c r="B1274" s="3" t="n">
        <v>1303.774514761611</v>
      </c>
      <c r="C1274" s="4" t="n">
        <v>0.9870085</v>
      </c>
      <c r="D1274" s="5" t="n">
        <v>0.30377451</v>
      </c>
      <c r="E1274" s="5" t="n">
        <v>-0.0129915</v>
      </c>
    </row>
    <row r="1275">
      <c r="A1275" s="2" t="n">
        <v>45660</v>
      </c>
      <c r="B1275" s="3" t="n">
        <v>1251.758670399602</v>
      </c>
      <c r="C1275" s="4" t="n">
        <v>0.96010365</v>
      </c>
      <c r="D1275" s="5" t="n">
        <v>0.25175867</v>
      </c>
      <c r="E1275" s="5" t="n">
        <v>-0.03989635</v>
      </c>
    </row>
    <row r="1276">
      <c r="A1276" s="2" t="n">
        <v>45663</v>
      </c>
      <c r="B1276" s="3" t="n">
        <v>1242.295424921728</v>
      </c>
      <c r="C1276" s="4" t="n">
        <v>0.99244004</v>
      </c>
      <c r="D1276" s="5" t="n">
        <v>0.24229542</v>
      </c>
      <c r="E1276" s="5" t="n">
        <v>-0.00755996</v>
      </c>
    </row>
    <row r="1277">
      <c r="A1277" s="2" t="n">
        <v>45664</v>
      </c>
      <c r="B1277" s="3" t="n">
        <v>1275.000839655472</v>
      </c>
      <c r="C1277" s="4" t="n">
        <v>1.0263266</v>
      </c>
      <c r="D1277" s="5" t="n">
        <v>0.27500084</v>
      </c>
      <c r="E1277" s="5" t="n">
        <v>0.0263266</v>
      </c>
    </row>
    <row r="1278">
      <c r="A1278" s="2" t="n">
        <v>45665</v>
      </c>
      <c r="B1278" s="3" t="n">
        <v>1278.688358833898</v>
      </c>
      <c r="C1278" s="4" t="n">
        <v>1.00289217</v>
      </c>
      <c r="D1278" s="5" t="n">
        <v>0.27868836</v>
      </c>
      <c r="E1278" s="5" t="n">
        <v>0.00289217</v>
      </c>
    </row>
    <row r="1279">
      <c r="A1279" s="2" t="n">
        <v>45666</v>
      </c>
      <c r="B1279" s="3" t="n">
        <v>1284.824771481059</v>
      </c>
      <c r="C1279" s="4" t="n">
        <v>1.00479899</v>
      </c>
      <c r="D1279" s="5" t="n">
        <v>0.28482477</v>
      </c>
      <c r="E1279" s="5" t="n">
        <v>0.00479899</v>
      </c>
    </row>
    <row r="1280">
      <c r="A1280" s="2" t="n">
        <v>45667</v>
      </c>
      <c r="B1280" s="3" t="n">
        <v>1249.595737079645</v>
      </c>
      <c r="C1280" s="4" t="n">
        <v>0.97258067</v>
      </c>
      <c r="D1280" s="5" t="n">
        <v>0.24959574</v>
      </c>
      <c r="E1280" s="5" t="n">
        <v>-0.02741933</v>
      </c>
    </row>
    <row r="1281">
      <c r="A1281" s="2" t="n">
        <v>45670</v>
      </c>
      <c r="B1281" s="3" t="n">
        <v>1249.260095664665</v>
      </c>
      <c r="C1281" s="4" t="n">
        <v>0.9997314</v>
      </c>
      <c r="D1281" s="5" t="n">
        <v>0.2492601</v>
      </c>
      <c r="E1281" s="5" t="n">
        <v>-0.0002686</v>
      </c>
    </row>
    <row r="1282">
      <c r="A1282" s="2" t="n">
        <v>45671</v>
      </c>
      <c r="B1282" s="3" t="n">
        <v>1309.646043135044</v>
      </c>
      <c r="C1282" s="4" t="n">
        <v>1.04833737</v>
      </c>
      <c r="D1282" s="5" t="n">
        <v>0.30964604</v>
      </c>
      <c r="E1282" s="5" t="n">
        <v>0.04833737</v>
      </c>
    </row>
    <row r="1283">
      <c r="A1283" s="2" t="n">
        <v>45672</v>
      </c>
      <c r="B1283" s="3" t="n">
        <v>1306.272866400504</v>
      </c>
      <c r="C1283" s="4" t="n">
        <v>0.99742436</v>
      </c>
      <c r="D1283" s="5" t="n">
        <v>0.30627287</v>
      </c>
      <c r="E1283" s="5" t="n">
        <v>-0.00257564</v>
      </c>
    </row>
    <row r="1284">
      <c r="A1284" s="2" t="n">
        <v>45673</v>
      </c>
      <c r="B1284" s="3" t="n">
        <v>1314.903972926144</v>
      </c>
      <c r="C1284" s="4" t="n">
        <v>1.00660743</v>
      </c>
      <c r="D1284" s="5" t="n">
        <v>0.31490397</v>
      </c>
      <c r="E1284" s="5" t="n">
        <v>0.00660743</v>
      </c>
    </row>
    <row r="1285">
      <c r="A1285" s="2" t="n">
        <v>45674</v>
      </c>
      <c r="B1285" s="3" t="n">
        <v>1313.62102111976</v>
      </c>
      <c r="C1285" s="4" t="n">
        <v>0.9990243</v>
      </c>
      <c r="D1285" s="5" t="n">
        <v>0.31362102</v>
      </c>
      <c r="E1285" s="5" t="n">
        <v>-0.0009757</v>
      </c>
    </row>
    <row r="1286">
      <c r="A1286" s="2" t="n">
        <v>45677</v>
      </c>
      <c r="B1286" s="3" t="n">
        <v>1327.826952337086</v>
      </c>
      <c r="C1286" s="4" t="n">
        <v>1.01081433</v>
      </c>
      <c r="D1286" s="5" t="n">
        <v>0.32782695</v>
      </c>
      <c r="E1286" s="5" t="n">
        <v>0.01081433</v>
      </c>
    </row>
    <row r="1287">
      <c r="A1287" s="2" t="n">
        <v>45678</v>
      </c>
      <c r="B1287" s="3" t="n">
        <v>1330.300587723134</v>
      </c>
      <c r="C1287" s="4" t="n">
        <v>1.00186292</v>
      </c>
      <c r="D1287" s="5" t="n">
        <v>0.33030059</v>
      </c>
      <c r="E1287" s="5" t="n">
        <v>0.00186292</v>
      </c>
    </row>
    <row r="1288">
      <c r="A1288" s="2" t="n">
        <v>45679</v>
      </c>
      <c r="B1288" s="3" t="n">
        <v>1314.522158512268</v>
      </c>
      <c r="C1288" s="4" t="n">
        <v>0.9881392</v>
      </c>
      <c r="D1288" s="5" t="n">
        <v>0.31452216</v>
      </c>
      <c r="E1288" s="5" t="n">
        <v>-0.0118608</v>
      </c>
    </row>
    <row r="1289">
      <c r="A1289" s="2" t="n">
        <v>45680</v>
      </c>
      <c r="B1289" s="3" t="n">
        <v>1311.464303921915</v>
      </c>
      <c r="C1289" s="4" t="n">
        <v>0.99767379</v>
      </c>
      <c r="D1289" s="5" t="n">
        <v>0.3114643</v>
      </c>
      <c r="E1289" s="5" t="n">
        <v>-0.00232621</v>
      </c>
    </row>
    <row r="1290">
      <c r="A1290" s="2" t="n">
        <v>45681</v>
      </c>
      <c r="B1290" s="3" t="n">
        <v>1328.568198424733</v>
      </c>
      <c r="C1290" s="4" t="n">
        <v>1.01304183</v>
      </c>
      <c r="D1290" s="5" t="n">
        <v>0.3285682</v>
      </c>
      <c r="E1290" s="5" t="n">
        <v>0.01304183</v>
      </c>
    </row>
    <row r="1291">
      <c r="A1291" s="2" t="n">
        <v>45684</v>
      </c>
      <c r="B1291" s="3" t="n">
        <v>1308.739849490523</v>
      </c>
      <c r="C1291" s="4" t="n">
        <v>0.9850754</v>
      </c>
      <c r="D1291" s="5" t="n">
        <v>0.30873985</v>
      </c>
      <c r="E1291" s="5" t="n">
        <v>-0.0149246</v>
      </c>
    </row>
    <row r="1292">
      <c r="A1292" s="2" t="n">
        <v>45693</v>
      </c>
      <c r="B1292" s="3" t="n">
        <v>1325.150727396217</v>
      </c>
      <c r="C1292" s="4" t="n">
        <v>1.01253945</v>
      </c>
      <c r="D1292" s="5" t="n">
        <v>0.32515073</v>
      </c>
      <c r="E1292" s="5" t="n">
        <v>0.01253945</v>
      </c>
    </row>
    <row r="1293">
      <c r="A1293" s="2" t="n">
        <v>45694</v>
      </c>
      <c r="B1293" s="3" t="n">
        <v>1358.927640053399</v>
      </c>
      <c r="C1293" s="4" t="n">
        <v>1.02548911</v>
      </c>
      <c r="D1293" s="5" t="n">
        <v>0.35892764</v>
      </c>
      <c r="E1293" s="5" t="n">
        <v>0.02548911</v>
      </c>
    </row>
    <row r="1294">
      <c r="A1294" s="2" t="n">
        <v>45695</v>
      </c>
      <c r="B1294" s="3" t="n">
        <v>1377.560236658081</v>
      </c>
      <c r="C1294" s="4" t="n">
        <v>1.01371125</v>
      </c>
      <c r="D1294" s="5" t="n">
        <v>0.37756024</v>
      </c>
      <c r="E1294" s="5" t="n">
        <v>0.01371125</v>
      </c>
    </row>
    <row r="1295">
      <c r="A1295" s="2" t="n">
        <v>45698</v>
      </c>
      <c r="B1295" s="3" t="n">
        <v>1404.886044985321</v>
      </c>
      <c r="C1295" s="4" t="n">
        <v>1.01983638</v>
      </c>
      <c r="D1295" s="5" t="n">
        <v>0.40488604</v>
      </c>
      <c r="E1295" s="5" t="n">
        <v>0.01983638</v>
      </c>
    </row>
    <row r="1296">
      <c r="A1296" s="2" t="n">
        <v>45699</v>
      </c>
      <c r="B1296" s="3" t="n">
        <v>1401.286333569976</v>
      </c>
      <c r="C1296" s="4" t="n">
        <v>0.99743772</v>
      </c>
      <c r="D1296" s="5" t="n">
        <v>0.40128633</v>
      </c>
      <c r="E1296" s="5" t="n">
        <v>-0.00256228</v>
      </c>
    </row>
    <row r="1297">
      <c r="A1297" s="2" t="n">
        <v>45700</v>
      </c>
      <c r="B1297" s="3" t="n">
        <v>1417.796933743811</v>
      </c>
      <c r="C1297" s="4" t="n">
        <v>1.01178246</v>
      </c>
      <c r="D1297" s="5" t="n">
        <v>0.41779693</v>
      </c>
      <c r="E1297" s="5" t="n">
        <v>0.01178246</v>
      </c>
    </row>
    <row r="1298">
      <c r="A1298" s="2" t="n">
        <v>45701</v>
      </c>
      <c r="B1298" s="3" t="n">
        <v>1403.812436975952</v>
      </c>
      <c r="C1298" s="4" t="n">
        <v>0.99013646</v>
      </c>
      <c r="D1298" s="5" t="n">
        <v>0.40381244</v>
      </c>
      <c r="E1298" s="5" t="n">
        <v>-0.009863540000000001</v>
      </c>
    </row>
    <row r="1299">
      <c r="A1299" s="2" t="n">
        <v>45702</v>
      </c>
      <c r="B1299" s="3" t="n">
        <v>1401.730976199399</v>
      </c>
      <c r="C1299" s="4" t="n">
        <v>0.99851728</v>
      </c>
      <c r="D1299" s="5" t="n">
        <v>0.40173098</v>
      </c>
      <c r="E1299" s="5" t="n">
        <v>-0.00148272</v>
      </c>
    </row>
    <row r="1300">
      <c r="A1300" s="2" t="n">
        <v>45705</v>
      </c>
      <c r="B1300" s="3" t="n">
        <v>1424.129333589257</v>
      </c>
      <c r="C1300" s="4" t="n">
        <v>1.01597907</v>
      </c>
      <c r="D1300" s="5" t="n">
        <v>0.42412933</v>
      </c>
      <c r="E1300" s="5" t="n">
        <v>0.01597907</v>
      </c>
    </row>
    <row r="1301">
      <c r="A1301" s="2" t="n">
        <v>45706</v>
      </c>
      <c r="B1301" s="3" t="n">
        <v>1387.874603803289</v>
      </c>
      <c r="C1301" s="4" t="n">
        <v>0.97454253</v>
      </c>
      <c r="D1301" s="5" t="n">
        <v>0.3878746</v>
      </c>
      <c r="E1301" s="5" t="n">
        <v>-0.02545747</v>
      </c>
    </row>
    <row r="1302">
      <c r="A1302" s="2" t="n">
        <v>45707</v>
      </c>
      <c r="B1302" s="3" t="n">
        <v>1424.860379452455</v>
      </c>
      <c r="C1302" s="4" t="n">
        <v>1.02664922</v>
      </c>
      <c r="D1302" s="5" t="n">
        <v>0.42486038</v>
      </c>
      <c r="E1302" s="5" t="n">
        <v>0.02664922</v>
      </c>
    </row>
    <row r="1303">
      <c r="A1303" s="2" t="n">
        <v>45708</v>
      </c>
      <c r="B1303" s="3" t="n">
        <v>1440.718106570703</v>
      </c>
      <c r="C1303" s="4" t="n">
        <v>1.01112932</v>
      </c>
      <c r="D1303" s="5" t="n">
        <v>0.44071811</v>
      </c>
      <c r="E1303" s="5" t="n">
        <v>0.01112932</v>
      </c>
    </row>
    <row r="1304">
      <c r="A1304" s="2" t="n">
        <v>45709</v>
      </c>
      <c r="B1304" s="3" t="n">
        <v>1457.24883408959</v>
      </c>
      <c r="C1304" s="4" t="n">
        <v>1.01147395</v>
      </c>
      <c r="D1304" s="5" t="n">
        <v>0.45724883</v>
      </c>
      <c r="E1304" s="5" t="n">
        <v>0.01147395</v>
      </c>
    </row>
    <row r="1305">
      <c r="A1305" s="2" t="n">
        <v>45712</v>
      </c>
      <c r="B1305" s="3" t="n">
        <v>1459.412848608213</v>
      </c>
      <c r="C1305" s="4" t="n">
        <v>1.001485</v>
      </c>
      <c r="D1305" s="5" t="n">
        <v>0.45941285</v>
      </c>
      <c r="E1305" s="5" t="n">
        <v>0.001485</v>
      </c>
    </row>
    <row r="1306">
      <c r="A1306" s="2" t="n">
        <v>45713</v>
      </c>
      <c r="B1306" s="3" t="n">
        <v>1458.034389390317</v>
      </c>
      <c r="C1306" s="4" t="n">
        <v>0.9990554699999999</v>
      </c>
      <c r="D1306" s="5" t="n">
        <v>0.45803439</v>
      </c>
      <c r="E1306" s="5" t="n">
        <v>-0.00094453</v>
      </c>
    </row>
    <row r="1307">
      <c r="A1307" s="2" t="n">
        <v>45714</v>
      </c>
      <c r="B1307" s="3" t="n">
        <v>1478.814660016505</v>
      </c>
      <c r="C1307" s="4" t="n">
        <v>1.01425225</v>
      </c>
      <c r="D1307" s="5" t="n">
        <v>0.47881466</v>
      </c>
      <c r="E1307" s="5" t="n">
        <v>0.01425225</v>
      </c>
    </row>
    <row r="1308">
      <c r="A1308" s="2" t="n">
        <v>45715</v>
      </c>
      <c r="B1308" s="3" t="n">
        <v>1474.792358081993</v>
      </c>
      <c r="C1308" s="4" t="n">
        <v>0.99728005</v>
      </c>
      <c r="D1308" s="5" t="n">
        <v>0.47479236</v>
      </c>
      <c r="E1308" s="5" t="n">
        <v>-0.00271995</v>
      </c>
    </row>
    <row r="1309">
      <c r="A1309" s="2" t="n">
        <v>45716</v>
      </c>
      <c r="B1309" s="3" t="n">
        <v>1419.556134011028</v>
      </c>
      <c r="C1309" s="4" t="n">
        <v>0.96254644</v>
      </c>
      <c r="D1309" s="5" t="n">
        <v>0.41955613</v>
      </c>
      <c r="E1309" s="5" t="n">
        <v>-0.03745356</v>
      </c>
    </row>
    <row r="1310">
      <c r="A1310" s="2" t="n">
        <v>45719</v>
      </c>
      <c r="B1310" s="3" t="n">
        <v>1421.917040404185</v>
      </c>
      <c r="C1310" s="4" t="n">
        <v>1.00166313</v>
      </c>
      <c r="D1310" s="5" t="n">
        <v>0.42191704</v>
      </c>
      <c r="E1310" s="5" t="n">
        <v>0.00166313</v>
      </c>
    </row>
    <row r="1311">
      <c r="A1311" s="2" t="n">
        <v>45720</v>
      </c>
      <c r="B1311" s="3" t="n">
        <v>1441.798156490583</v>
      </c>
      <c r="C1311" s="4" t="n">
        <v>1.01398191</v>
      </c>
      <c r="D1311" s="5" t="n">
        <v>0.44179816</v>
      </c>
      <c r="E1311" s="5" t="n">
        <v>0.01398191</v>
      </c>
    </row>
    <row r="1312">
      <c r="A1312" s="2" t="n">
        <v>45721</v>
      </c>
      <c r="B1312" s="3" t="n">
        <v>1451.316273528545</v>
      </c>
      <c r="C1312" s="4" t="n">
        <v>1.00660156</v>
      </c>
      <c r="D1312" s="5" t="n">
        <v>0.45131627</v>
      </c>
      <c r="E1312" s="5" t="n">
        <v>0.00660156</v>
      </c>
    </row>
    <row r="1313">
      <c r="A1313" s="2" t="n">
        <v>45722</v>
      </c>
      <c r="B1313" s="3" t="n">
        <v>1478.148208793541</v>
      </c>
      <c r="C1313" s="4" t="n">
        <v>1.018488</v>
      </c>
      <c r="D1313" s="5" t="n">
        <v>0.47814821</v>
      </c>
      <c r="E1313" s="5" t="n">
        <v>0.018488</v>
      </c>
    </row>
    <row r="1314">
      <c r="A1314" s="2" t="n">
        <v>45723</v>
      </c>
      <c r="B1314" s="3" t="n">
        <v>1470.25940571062</v>
      </c>
      <c r="C1314" s="4" t="n">
        <v>0.99466305</v>
      </c>
      <c r="D1314" s="5" t="n">
        <v>0.47025941</v>
      </c>
      <c r="E1314" s="5" t="n">
        <v>-0.00533695</v>
      </c>
    </row>
    <row r="1315">
      <c r="A1315" s="2" t="n">
        <v>45726</v>
      </c>
      <c r="B1315" s="3" t="n">
        <v>1475.377952103067</v>
      </c>
      <c r="C1315" s="4" t="n">
        <v>1.00348139</v>
      </c>
      <c r="D1315" s="5" t="n">
        <v>0.47537795</v>
      </c>
      <c r="E1315" s="5" t="n">
        <v>0.00348139</v>
      </c>
    </row>
    <row r="1316">
      <c r="A1316" s="2" t="n">
        <v>45727</v>
      </c>
      <c r="B1316" s="3" t="n">
        <v>1479.011350631932</v>
      </c>
      <c r="C1316" s="4" t="n">
        <v>1.00246269</v>
      </c>
      <c r="D1316" s="5" t="n">
        <v>0.47901135</v>
      </c>
      <c r="E1316" s="5" t="n">
        <v>0.00246269</v>
      </c>
    </row>
    <row r="1317">
      <c r="A1317" s="2" t="n">
        <v>45728</v>
      </c>
      <c r="B1317" s="3" t="n">
        <v>1488.85414159016</v>
      </c>
      <c r="C1317" s="4" t="n">
        <v>1.00665498</v>
      </c>
      <c r="D1317" s="5" t="n">
        <v>0.48885414</v>
      </c>
      <c r="E1317" s="5" t="n">
        <v>0.00665498</v>
      </c>
    </row>
    <row r="1318">
      <c r="A1318" s="2" t="n">
        <v>45729</v>
      </c>
      <c r="B1318" s="3" t="n">
        <v>1464.224727287281</v>
      </c>
      <c r="C1318" s="4" t="n">
        <v>0.9834574699999999</v>
      </c>
      <c r="D1318" s="5" t="n">
        <v>0.46422473</v>
      </c>
      <c r="E1318" s="5" t="n">
        <v>-0.01654253</v>
      </c>
    </row>
    <row r="1319">
      <c r="A1319" s="2" t="n">
        <v>45730</v>
      </c>
      <c r="B1319" s="3" t="n">
        <v>1487.879965942229</v>
      </c>
      <c r="C1319" s="4" t="n">
        <v>1.01615547</v>
      </c>
      <c r="D1319" s="5" t="n">
        <v>0.48787997</v>
      </c>
      <c r="E1319" s="5" t="n">
        <v>0.01615547</v>
      </c>
    </row>
    <row r="1320">
      <c r="A1320" s="2" t="n">
        <v>45733</v>
      </c>
      <c r="B1320" s="3" t="n">
        <v>1498.107236221725</v>
      </c>
      <c r="C1320" s="4" t="n">
        <v>1.00687372</v>
      </c>
      <c r="D1320" s="5" t="n">
        <v>0.49810724</v>
      </c>
      <c r="E1320" s="5" t="n">
        <v>0.00687372</v>
      </c>
    </row>
    <row r="1321">
      <c r="A1321" s="2" t="n">
        <v>45734</v>
      </c>
      <c r="B1321" s="3" t="n">
        <v>1506.194513458238</v>
      </c>
      <c r="C1321" s="4" t="n">
        <v>1.00539833</v>
      </c>
      <c r="D1321" s="5" t="n">
        <v>0.50619451</v>
      </c>
      <c r="E1321" s="5" t="n">
        <v>0.00539833</v>
      </c>
    </row>
    <row r="1322">
      <c r="A1322" s="2" t="n">
        <v>45735</v>
      </c>
      <c r="B1322" s="3" t="n">
        <v>1498.833304074559</v>
      </c>
      <c r="C1322" s="4" t="n">
        <v>0.99511271</v>
      </c>
      <c r="D1322" s="5" t="n">
        <v>0.4988333</v>
      </c>
      <c r="E1322" s="5" t="n">
        <v>-0.00488729</v>
      </c>
    </row>
    <row r="1323">
      <c r="A1323" s="2" t="n">
        <v>45736</v>
      </c>
      <c r="B1323" s="3" t="n">
        <v>1500.817804334152</v>
      </c>
      <c r="C1323" s="4" t="n">
        <v>1.00132403</v>
      </c>
      <c r="D1323" s="5" t="n">
        <v>0.5008178</v>
      </c>
      <c r="E1323" s="5" t="n">
        <v>0.00132403</v>
      </c>
    </row>
    <row r="1324">
      <c r="A1324" s="2" t="n">
        <v>45737</v>
      </c>
      <c r="B1324" s="3" t="n">
        <v>1472.262299273674</v>
      </c>
      <c r="C1324" s="4" t="n">
        <v>0.98097337</v>
      </c>
      <c r="D1324" s="5" t="n">
        <v>0.4722623</v>
      </c>
      <c r="E1324" s="5" t="n">
        <v>-0.01902663</v>
      </c>
    </row>
    <row r="1325">
      <c r="A1325" s="2" t="n">
        <v>45740</v>
      </c>
      <c r="B1325" s="3" t="n">
        <v>1447.139689011983</v>
      </c>
      <c r="C1325" s="4" t="n">
        <v>0.98293605</v>
      </c>
      <c r="D1325" s="5" t="n">
        <v>0.44713969</v>
      </c>
      <c r="E1325" s="5" t="n">
        <v>-0.01706395</v>
      </c>
    </row>
    <row r="1326">
      <c r="A1326" s="2" t="n">
        <v>45741</v>
      </c>
      <c r="B1326" s="3" t="n">
        <v>1434.40652395932</v>
      </c>
      <c r="C1326" s="4" t="n">
        <v>0.99120115</v>
      </c>
      <c r="D1326" s="5" t="n">
        <v>0.43440652</v>
      </c>
      <c r="E1326" s="5" t="n">
        <v>-0.00879885</v>
      </c>
    </row>
    <row r="1327">
      <c r="A1327" s="2" t="n">
        <v>45742</v>
      </c>
      <c r="B1327" s="3" t="n">
        <v>1449.667174967723</v>
      </c>
      <c r="C1327" s="4" t="n">
        <v>1.010639</v>
      </c>
      <c r="D1327" s="5" t="n">
        <v>0.44966717</v>
      </c>
      <c r="E1327" s="5" t="n">
        <v>0.010639</v>
      </c>
    </row>
    <row r="1328">
      <c r="A1328" s="2" t="n">
        <v>45743</v>
      </c>
      <c r="B1328" s="3" t="n">
        <v>1440.194672733018</v>
      </c>
      <c r="C1328" s="4" t="n">
        <v>0.99346574</v>
      </c>
      <c r="D1328" s="5" t="n">
        <v>0.44019467</v>
      </c>
      <c r="E1328" s="5" t="n">
        <v>-0.00653426</v>
      </c>
    </row>
    <row r="1329">
      <c r="A1329" s="2" t="n">
        <v>45744</v>
      </c>
      <c r="B1329" s="3" t="n">
        <v>1420.636152185808</v>
      </c>
      <c r="C1329" s="4" t="n">
        <v>0.98641953</v>
      </c>
      <c r="D1329" s="5" t="n">
        <v>0.42063615</v>
      </c>
      <c r="E1329" s="5" t="n">
        <v>-0.01358047</v>
      </c>
    </row>
    <row r="1330">
      <c r="A1330" s="2" t="n">
        <v>45747</v>
      </c>
      <c r="B1330" s="3" t="n">
        <v>1405.133218666934</v>
      </c>
      <c r="C1330" s="4" t="n">
        <v>0.98908733</v>
      </c>
      <c r="D1330" s="5" t="n">
        <v>0.40513322</v>
      </c>
      <c r="E1330" s="5" t="n">
        <v>-0.01091267</v>
      </c>
    </row>
    <row r="1331">
      <c r="A1331" s="2" t="n">
        <v>45748</v>
      </c>
      <c r="B1331" s="3" t="n">
        <v>1416.389305290378</v>
      </c>
      <c r="C1331" s="4" t="n">
        <v>1.00801069</v>
      </c>
      <c r="D1331" s="5" t="n">
        <v>0.41638931</v>
      </c>
      <c r="E1331" s="5" t="n">
        <v>0.008010690000000001</v>
      </c>
    </row>
    <row r="1332">
      <c r="A1332" s="2" t="n">
        <v>45749</v>
      </c>
      <c r="B1332" s="3" t="n">
        <v>1419.960405154127</v>
      </c>
      <c r="C1332" s="4" t="n">
        <v>1.00252127</v>
      </c>
      <c r="D1332" s="5" t="n">
        <v>0.41996041</v>
      </c>
      <c r="E1332" s="5" t="n">
        <v>0.00252127</v>
      </c>
    </row>
    <row r="1333">
      <c r="A1333" s="2" t="n">
        <v>45750</v>
      </c>
      <c r="B1333" s="3" t="n">
        <v>1407.160143682657</v>
      </c>
      <c r="C1333" s="4" t="n">
        <v>0.99098548</v>
      </c>
      <c r="D1333" s="5" t="n">
        <v>0.40716014</v>
      </c>
      <c r="E1333" s="5" t="n">
        <v>-0.00901452</v>
      </c>
    </row>
    <row r="1334">
      <c r="A1334" s="2" t="n">
        <v>45754</v>
      </c>
      <c r="B1334" s="3" t="n">
        <v>1244.964716231966</v>
      </c>
      <c r="C1334" s="4" t="n">
        <v>0.88473563</v>
      </c>
      <c r="D1334" s="5" t="n">
        <v>0.24496472</v>
      </c>
      <c r="E1334" s="5" t="n">
        <v>-0.11526437</v>
      </c>
    </row>
    <row r="1335">
      <c r="A1335" s="2" t="n">
        <v>45755</v>
      </c>
      <c r="B1335" s="3" t="n">
        <v>1239.049888865148</v>
      </c>
      <c r="C1335" s="4" t="n">
        <v>0.9952490000000001</v>
      </c>
      <c r="D1335" s="5" t="n">
        <v>0.23904989</v>
      </c>
      <c r="E1335" s="5" t="n">
        <v>-0.004751</v>
      </c>
    </row>
    <row r="1336">
      <c r="A1336" s="2" t="n">
        <v>45756</v>
      </c>
      <c r="B1336" s="3" t="n">
        <v>1272.3794511502</v>
      </c>
      <c r="C1336" s="4" t="n">
        <v>1.02689929</v>
      </c>
      <c r="D1336" s="5" t="n">
        <v>0.27237945</v>
      </c>
      <c r="E1336" s="5" t="n">
        <v>0.02689929</v>
      </c>
    </row>
    <row r="1337">
      <c r="A1337" s="2" t="n">
        <v>45757</v>
      </c>
      <c r="B1337" s="3" t="n">
        <v>1308.120042809845</v>
      </c>
      <c r="C1337" s="4" t="n">
        <v>1.02808957</v>
      </c>
      <c r="D1337" s="5" t="n">
        <v>0.30812004</v>
      </c>
      <c r="E1337" s="5" t="n">
        <v>0.02808957</v>
      </c>
    </row>
    <row r="1338">
      <c r="A1338" s="2" t="n">
        <v>45758</v>
      </c>
      <c r="B1338" s="3" t="n">
        <v>1319.560363618643</v>
      </c>
      <c r="C1338" s="4" t="n">
        <v>1.00874562</v>
      </c>
      <c r="D1338" s="5" t="n">
        <v>0.31956036</v>
      </c>
      <c r="E1338" s="5" t="n">
        <v>0.008745620000000001</v>
      </c>
    </row>
    <row r="1339">
      <c r="A1339" s="2" t="n">
        <v>45761</v>
      </c>
      <c r="B1339" s="3" t="n">
        <v>1345.452684704343</v>
      </c>
      <c r="C1339" s="4" t="n">
        <v>1.01962193</v>
      </c>
      <c r="D1339" s="5" t="n">
        <v>0.34545268</v>
      </c>
      <c r="E1339" s="5" t="n">
        <v>0.01962193</v>
      </c>
    </row>
    <row r="1340">
      <c r="A1340" s="2" t="n">
        <v>45762</v>
      </c>
      <c r="B1340" s="3" t="n">
        <v>1344.84405572789</v>
      </c>
      <c r="C1340" s="4" t="n">
        <v>0.99954764</v>
      </c>
      <c r="D1340" s="5" t="n">
        <v>0.34484406</v>
      </c>
      <c r="E1340" s="5" t="n">
        <v>-0.00045236</v>
      </c>
    </row>
    <row r="1341">
      <c r="A1341" s="2" t="n">
        <v>45763</v>
      </c>
      <c r="B1341" s="3" t="n">
        <v>1324.196893563789</v>
      </c>
      <c r="C1341" s="4" t="n">
        <v>0.98464717</v>
      </c>
      <c r="D1341" s="5" t="n">
        <v>0.32419689</v>
      </c>
      <c r="E1341" s="5" t="n">
        <v>-0.01535283</v>
      </c>
    </row>
    <row r="1342">
      <c r="A1342" s="2" t="n">
        <v>45764</v>
      </c>
      <c r="B1342" s="3" t="n">
        <v>1330.838442809365</v>
      </c>
      <c r="C1342" s="4" t="n">
        <v>1.00501553</v>
      </c>
      <c r="D1342" s="5" t="n">
        <v>0.33083844</v>
      </c>
      <c r="E1342" s="5" t="n">
        <v>0.00501553</v>
      </c>
    </row>
    <row r="1343">
      <c r="A1343" s="2" t="n">
        <v>45765</v>
      </c>
      <c r="B1343" s="3" t="n">
        <v>1328.483337867432</v>
      </c>
      <c r="C1343" s="4" t="n">
        <v>0.99823036</v>
      </c>
      <c r="D1343" s="5" t="n">
        <v>0.32848334</v>
      </c>
      <c r="E1343" s="5" t="n">
        <v>-0.00176964</v>
      </c>
    </row>
    <row r="1344">
      <c r="A1344" s="2" t="n">
        <v>45768</v>
      </c>
      <c r="B1344" s="3" t="n">
        <v>1355.843080235477</v>
      </c>
      <c r="C1344" s="4" t="n">
        <v>1.02059472</v>
      </c>
      <c r="D1344" s="5" t="n">
        <v>0.35584308</v>
      </c>
      <c r="E1344" s="5" t="n">
        <v>0.02059472</v>
      </c>
    </row>
    <row r="1345">
      <c r="A1345" s="2" t="n">
        <v>45769</v>
      </c>
      <c r="B1345" s="3" t="n">
        <v>1355.67937574197</v>
      </c>
      <c r="C1345" s="4" t="n">
        <v>0.99987926</v>
      </c>
      <c r="D1345" s="5" t="n">
        <v>0.35567938</v>
      </c>
      <c r="E1345" s="5" t="n">
        <v>-0.00012074</v>
      </c>
    </row>
    <row r="1346">
      <c r="A1346" s="2" t="n">
        <v>45770</v>
      </c>
      <c r="B1346" s="3" t="n">
        <v>1369.95831278926</v>
      </c>
      <c r="C1346" s="4" t="n">
        <v>1.01053268</v>
      </c>
      <c r="D1346" s="5" t="n">
        <v>0.36995831</v>
      </c>
      <c r="E1346" s="5" t="n">
        <v>0.01053268</v>
      </c>
    </row>
    <row r="1347">
      <c r="A1347" s="2" t="n">
        <v>45771</v>
      </c>
      <c r="B1347" s="3" t="n">
        <v>1357.301254237816</v>
      </c>
      <c r="C1347" s="4" t="n">
        <v>0.99076099</v>
      </c>
      <c r="D1347" s="5" t="n">
        <v>0.35730125</v>
      </c>
      <c r="E1347" s="5" t="n">
        <v>-0.009239010000000001</v>
      </c>
    </row>
    <row r="1348">
      <c r="A1348" s="2" t="n">
        <v>45772</v>
      </c>
      <c r="B1348" s="3" t="n">
        <v>1360.820614232942</v>
      </c>
      <c r="C1348" s="4" t="n">
        <v>1.00259291</v>
      </c>
      <c r="D1348" s="5" t="n">
        <v>0.36082061</v>
      </c>
      <c r="E1348" s="5" t="n">
        <v>0.00259291</v>
      </c>
    </row>
    <row r="1349">
      <c r="A1349" s="2" t="n">
        <v>45775</v>
      </c>
      <c r="B1349" s="3" t="n">
        <v>1343.441152314183</v>
      </c>
      <c r="C1349" s="4" t="n">
        <v>0.98722869</v>
      </c>
      <c r="D1349" s="5" t="n">
        <v>0.34344115</v>
      </c>
      <c r="E1349" s="5" t="n">
        <v>-0.01277131</v>
      </c>
    </row>
    <row r="1350">
      <c r="A1350" s="2" t="n">
        <v>45776</v>
      </c>
      <c r="B1350" s="3" t="n">
        <v>1355.492571777487</v>
      </c>
      <c r="C1350" s="4" t="n">
        <v>1.00897056</v>
      </c>
      <c r="D1350" s="5" t="n">
        <v>0.35549257</v>
      </c>
      <c r="E1350" s="5" t="n">
        <v>0.008970560000000001</v>
      </c>
    </row>
    <row r="1351">
      <c r="A1351" s="2" t="n">
        <v>45777</v>
      </c>
      <c r="B1351" s="3" t="n">
        <v>1371.316104083091</v>
      </c>
      <c r="C1351" s="4" t="n">
        <v>1.01167364</v>
      </c>
      <c r="D1351" s="5" t="n">
        <v>0.3713161</v>
      </c>
      <c r="E1351" s="5" t="n">
        <v>0.01167364</v>
      </c>
    </row>
    <row r="1352">
      <c r="A1352" s="2" t="n">
        <v>45783</v>
      </c>
      <c r="B1352" s="3" t="n">
        <v>1411.473423185518</v>
      </c>
      <c r="C1352" s="4" t="n">
        <v>1.02928378</v>
      </c>
      <c r="D1352" s="5" t="n">
        <v>0.41147342</v>
      </c>
      <c r="E1352" s="5" t="n">
        <v>0.02928378</v>
      </c>
    </row>
    <row r="1353">
      <c r="A1353" s="2" t="n">
        <v>45784</v>
      </c>
      <c r="B1353" s="3" t="n">
        <v>1420.847371057248</v>
      </c>
      <c r="C1353" s="4" t="n">
        <v>1.00664125</v>
      </c>
      <c r="D1353" s="5" t="n">
        <v>0.42084737</v>
      </c>
      <c r="E1353" s="5" t="n">
        <v>0.00664125</v>
      </c>
    </row>
    <row r="1354">
      <c r="A1354" s="2" t="n">
        <v>45785</v>
      </c>
      <c r="B1354" s="3" t="n">
        <v>1434.839051875945</v>
      </c>
      <c r="C1354" s="4" t="n">
        <v>1.00984742</v>
      </c>
      <c r="D1354" s="5" t="n">
        <v>0.43483905</v>
      </c>
      <c r="E1354" s="5" t="n">
        <v>0.009847420000000001</v>
      </c>
    </row>
    <row r="1355">
      <c r="A1355" s="2" t="n">
        <v>45786</v>
      </c>
      <c r="B1355" s="3" t="n">
        <v>1415.597372345011</v>
      </c>
      <c r="C1355" s="4" t="n">
        <v>0.98658966</v>
      </c>
      <c r="D1355" s="5" t="n">
        <v>0.41559737</v>
      </c>
      <c r="E1355" s="5" t="n">
        <v>-0.01341034</v>
      </c>
    </row>
    <row r="1356">
      <c r="A1356" s="2" t="n">
        <v>45789</v>
      </c>
      <c r="B1356" s="3" t="n">
        <v>1435.792921477702</v>
      </c>
      <c r="C1356" s="4" t="n">
        <v>1.01426645</v>
      </c>
      <c r="D1356" s="5" t="n">
        <v>0.43579292</v>
      </c>
      <c r="E1356" s="5" t="n">
        <v>0.01426645</v>
      </c>
    </row>
    <row r="1357">
      <c r="A1357" s="2" t="n">
        <v>45790</v>
      </c>
      <c r="B1357" s="3" t="n">
        <v>1431.887665236787</v>
      </c>
      <c r="C1357" s="4" t="n">
        <v>0.99728007</v>
      </c>
      <c r="D1357" s="5" t="n">
        <v>0.43188767</v>
      </c>
      <c r="E1357" s="5" t="n">
        <v>-0.00271993</v>
      </c>
    </row>
    <row r="1358">
      <c r="A1358" s="2" t="n">
        <v>45791</v>
      </c>
      <c r="B1358" s="3" t="n">
        <v>1433.285030090415</v>
      </c>
      <c r="C1358" s="4" t="n">
        <v>1.00097589</v>
      </c>
      <c r="D1358" s="5" t="n">
        <v>0.43328503</v>
      </c>
      <c r="E1358" s="5" t="n">
        <v>0.00097589</v>
      </c>
    </row>
    <row r="1359">
      <c r="A1359" s="2" t="n">
        <v>45792</v>
      </c>
      <c r="B1359" s="3" t="n">
        <v>1416.301104133604</v>
      </c>
      <c r="C1359" s="4" t="n">
        <v>0.98815035</v>
      </c>
      <c r="D1359" s="5" t="n">
        <v>0.4163011</v>
      </c>
      <c r="E1359" s="5" t="n">
        <v>-0.01184965</v>
      </c>
    </row>
    <row r="1360">
      <c r="A1360" s="2" t="n">
        <v>45793</v>
      </c>
      <c r="B1360" s="3" t="n">
        <v>1427.75931997831</v>
      </c>
      <c r="C1360" s="4" t="n">
        <v>1.00809024</v>
      </c>
      <c r="D1360" s="5" t="n">
        <v>0.42775932</v>
      </c>
      <c r="E1360" s="5" t="n">
        <v>0.00809024</v>
      </c>
    </row>
    <row r="1361">
      <c r="A1361" s="2" t="n">
        <v>45796</v>
      </c>
      <c r="B1361" s="3" t="n">
        <v>1438.831636337522</v>
      </c>
      <c r="C1361" s="4" t="n">
        <v>1.00775503</v>
      </c>
      <c r="D1361" s="5" t="n">
        <v>0.43883164</v>
      </c>
      <c r="E1361" s="5" t="n">
        <v>0.00775503</v>
      </c>
    </row>
    <row r="1362">
      <c r="A1362" s="2" t="n">
        <v>45797</v>
      </c>
      <c r="B1362" s="3" t="n">
        <v>1449.710886941248</v>
      </c>
      <c r="C1362" s="4" t="n">
        <v>1.00756117</v>
      </c>
      <c r="D1362" s="5" t="n">
        <v>0.44971089</v>
      </c>
      <c r="E1362" s="5" t="n">
        <v>0.00756117</v>
      </c>
    </row>
    <row r="1363">
      <c r="A1363" s="2" t="n">
        <v>45798</v>
      </c>
      <c r="B1363" s="3" t="n">
        <v>1439.248540926826</v>
      </c>
      <c r="C1363" s="4" t="n">
        <v>0.9927831499999999</v>
      </c>
      <c r="D1363" s="5" t="n">
        <v>0.43924854</v>
      </c>
      <c r="E1363" s="5" t="n">
        <v>-0.00721685</v>
      </c>
    </row>
    <row r="1364">
      <c r="A1364" s="2" t="n">
        <v>45799</v>
      </c>
      <c r="B1364" s="3" t="n">
        <v>1423.304991757486</v>
      </c>
      <c r="C1364" s="4" t="n">
        <v>0.98892231</v>
      </c>
      <c r="D1364" s="5" t="n">
        <v>0.42330499</v>
      </c>
      <c r="E1364" s="5" t="n">
        <v>-0.01107769</v>
      </c>
    </row>
    <row r="1365">
      <c r="A1365" s="2" t="n">
        <v>45800</v>
      </c>
      <c r="B1365" s="3" t="n">
        <v>1408.225587759612</v>
      </c>
      <c r="C1365" s="4" t="n">
        <v>0.98940536</v>
      </c>
      <c r="D1365" s="5" t="n">
        <v>0.40822559</v>
      </c>
      <c r="E1365" s="5" t="n">
        <v>-0.01059464</v>
      </c>
    </row>
    <row r="1366">
      <c r="A1366" s="2" t="n">
        <v>45803</v>
      </c>
      <c r="B1366" s="3" t="n">
        <v>1424.134255895509</v>
      </c>
      <c r="C1366" s="4" t="n">
        <v>1.01129696</v>
      </c>
      <c r="D1366" s="5" t="n">
        <v>0.42413426</v>
      </c>
      <c r="E1366" s="5" t="n">
        <v>0.01129696</v>
      </c>
    </row>
    <row r="1367">
      <c r="A1367" s="2" t="n">
        <v>45804</v>
      </c>
      <c r="B1367" s="3" t="n">
        <v>1426.730666264145</v>
      </c>
      <c r="C1367" s="4" t="n">
        <v>1.00182315</v>
      </c>
      <c r="D1367" s="5" t="n">
        <v>0.42673067</v>
      </c>
      <c r="E1367" s="5" t="n">
        <v>0.00182315</v>
      </c>
    </row>
    <row r="1368">
      <c r="A1368" s="2" t="n">
        <v>45805</v>
      </c>
      <c r="B1368" s="3" t="n">
        <v>1422.339902638717</v>
      </c>
      <c r="C1368" s="4" t="n">
        <v>0.9969225</v>
      </c>
      <c r="D1368" s="5" t="n">
        <v>0.4223399</v>
      </c>
      <c r="E1368" s="5" t="n">
        <v>-0.0030775</v>
      </c>
    </row>
    <row r="1369">
      <c r="A1369" s="2" t="n">
        <v>45806</v>
      </c>
      <c r="B1369" s="3" t="n">
        <v>1444.7005224715</v>
      </c>
      <c r="C1369" s="4" t="n">
        <v>1.01572101</v>
      </c>
      <c r="D1369" s="5" t="n">
        <v>0.44470052</v>
      </c>
      <c r="E1369" s="5" t="n">
        <v>0.01572101</v>
      </c>
    </row>
    <row r="1370">
      <c r="A1370" s="2" t="n">
        <v>45807</v>
      </c>
      <c r="B1370" s="3" t="n">
        <v>1421.984253714231</v>
      </c>
      <c r="C1370" s="4" t="n">
        <v>0.98427614</v>
      </c>
      <c r="D1370" s="5" t="n">
        <v>0.42198425</v>
      </c>
      <c r="E1370" s="5" t="n">
        <v>-0.01572386</v>
      </c>
    </row>
    <row r="1371">
      <c r="A1371" s="2" t="n">
        <v>45811</v>
      </c>
      <c r="B1371" s="3" t="n">
        <v>1432.517132818815</v>
      </c>
      <c r="C1371" s="4" t="n">
        <v>1.00740717</v>
      </c>
      <c r="D1371" s="5" t="n">
        <v>0.43251713</v>
      </c>
      <c r="E1371" s="5" t="n">
        <v>0.00740717</v>
      </c>
    </row>
    <row r="1372">
      <c r="A1372" s="2" t="n">
        <v>45812</v>
      </c>
      <c r="B1372" s="3" t="n">
        <v>1446.130615310248</v>
      </c>
      <c r="C1372" s="4" t="n">
        <v>1.00950319</v>
      </c>
      <c r="D1372" s="5" t="n">
        <v>0.44613062</v>
      </c>
      <c r="E1372" s="5" t="n">
        <v>0.00950319</v>
      </c>
    </row>
    <row r="1373">
      <c r="A1373" s="2" t="n">
        <v>45813</v>
      </c>
      <c r="B1373" s="3" t="n">
        <v>1453.846040291663</v>
      </c>
      <c r="C1373" s="4" t="n">
        <v>1.00533522</v>
      </c>
      <c r="D1373" s="5" t="n">
        <v>0.45384604</v>
      </c>
      <c r="E1373" s="5" t="n">
        <v>0.00533522</v>
      </c>
    </row>
    <row r="1374">
      <c r="A1374" s="2" t="n">
        <v>45814</v>
      </c>
      <c r="B1374" s="3" t="n">
        <v>1451.366113331515</v>
      </c>
      <c r="C1374" s="4" t="n">
        <v>0.9982942299999999</v>
      </c>
      <c r="D1374" s="5" t="n">
        <v>0.45136611</v>
      </c>
      <c r="E1374" s="5" t="n">
        <v>-0.00170577</v>
      </c>
    </row>
    <row r="1375">
      <c r="A1375" s="2" t="n">
        <v>45817</v>
      </c>
      <c r="B1375" s="3" t="n">
        <v>1470.176355165754</v>
      </c>
      <c r="C1375" s="4" t="n">
        <v>1.01296037</v>
      </c>
      <c r="D1375" s="5" t="n">
        <v>0.47017636</v>
      </c>
      <c r="E1375" s="5" t="n">
        <v>0.01296037</v>
      </c>
    </row>
    <row r="1376">
      <c r="A1376" s="2" t="n">
        <v>45818</v>
      </c>
      <c r="B1376" s="3" t="n">
        <v>1459.379541732815</v>
      </c>
      <c r="C1376" s="4" t="n">
        <v>0.99265611</v>
      </c>
      <c r="D1376" s="5" t="n">
        <v>0.45937954</v>
      </c>
      <c r="E1376" s="5" t="n">
        <v>-0.00734389</v>
      </c>
    </row>
    <row r="1377">
      <c r="A1377" s="2" t="n">
        <v>45819</v>
      </c>
      <c r="B1377" s="3" t="n">
        <v>1465.217395557041</v>
      </c>
      <c r="C1377" s="4" t="n">
        <v>1.00400023</v>
      </c>
      <c r="D1377" s="5" t="n">
        <v>0.4652174</v>
      </c>
      <c r="E1377" s="5" t="n">
        <v>0.00400023</v>
      </c>
    </row>
    <row r="1378">
      <c r="A1378" s="2" t="n">
        <v>45820</v>
      </c>
      <c r="B1378" s="3" t="n">
        <v>1468.598751001638</v>
      </c>
      <c r="C1378" s="4" t="n">
        <v>1.00230775</v>
      </c>
      <c r="D1378" s="5" t="n">
        <v>0.46859875</v>
      </c>
      <c r="E1378" s="5" t="n">
        <v>0.00230775</v>
      </c>
    </row>
    <row r="1379">
      <c r="A1379" s="2" t="n">
        <v>45821</v>
      </c>
      <c r="B1379" s="3" t="n">
        <v>1441.752413369628</v>
      </c>
      <c r="C1379" s="4" t="n">
        <v>0.9817197600000001</v>
      </c>
      <c r="D1379" s="5" t="n">
        <v>0.44175241</v>
      </c>
      <c r="E1379" s="5" t="n">
        <v>-0.01828024</v>
      </c>
    </row>
    <row r="1380">
      <c r="A1380" s="2" t="n">
        <v>45824</v>
      </c>
      <c r="B1380" s="3" t="n">
        <v>1455.642659810706</v>
      </c>
      <c r="C1380" s="4" t="n">
        <v>1.00963428</v>
      </c>
      <c r="D1380" s="5" t="n">
        <v>0.45564266</v>
      </c>
      <c r="E1380" s="5" t="n">
        <v>0.00963428</v>
      </c>
    </row>
    <row r="1381">
      <c r="A1381" s="2" t="n">
        <v>45825</v>
      </c>
      <c r="B1381" s="3" t="n">
        <v>1453.819627499986</v>
      </c>
      <c r="C1381" s="4" t="n">
        <v>0.99874761</v>
      </c>
      <c r="D1381" s="5" t="n">
        <v>0.45381963</v>
      </c>
      <c r="E1381" s="5" t="n">
        <v>-0.00125239</v>
      </c>
    </row>
    <row r="1382">
      <c r="A1382" s="2" t="n">
        <v>45826</v>
      </c>
      <c r="B1382" s="3" t="n">
        <v>1450.186561327256</v>
      </c>
      <c r="C1382" s="4" t="n">
        <v>0.99750102</v>
      </c>
      <c r="D1382" s="5" t="n">
        <v>0.45018656</v>
      </c>
      <c r="E1382" s="5" t="n">
        <v>-0.00249898</v>
      </c>
    </row>
    <row r="1383">
      <c r="A1383" s="2" t="n">
        <v>45827</v>
      </c>
      <c r="B1383" s="3" t="n">
        <v>1424.772563907158</v>
      </c>
      <c r="C1383" s="4" t="n">
        <v>0.98247536</v>
      </c>
      <c r="D1383" s="5" t="n">
        <v>0.42477256</v>
      </c>
      <c r="E1383" s="5" t="n">
        <v>-0.01752464</v>
      </c>
    </row>
    <row r="1384">
      <c r="A1384" s="2" t="n">
        <v>45828</v>
      </c>
      <c r="B1384" s="3" t="n">
        <v>1413.138398316141</v>
      </c>
      <c r="C1384" s="4" t="n">
        <v>0.99183437</v>
      </c>
      <c r="D1384" s="5" t="n">
        <v>0.4131384</v>
      </c>
      <c r="E1384" s="5" t="n">
        <v>-0.00816563</v>
      </c>
    </row>
    <row r="1385">
      <c r="A1385" s="2" t="n">
        <v>45831</v>
      </c>
      <c r="B1385" s="3" t="n">
        <v>1437.848875502312</v>
      </c>
      <c r="C1385" s="4" t="n">
        <v>1.01748624</v>
      </c>
      <c r="D1385" s="5" t="n">
        <v>0.43784888</v>
      </c>
      <c r="E1385" s="5" t="n">
        <v>0.01748624</v>
      </c>
    </row>
    <row r="1386">
      <c r="A1386" s="2" t="n">
        <v>45832</v>
      </c>
      <c r="B1386" s="3" t="n">
        <v>1466.564399829278</v>
      </c>
      <c r="C1386" s="4" t="n">
        <v>1.01997117</v>
      </c>
      <c r="D1386" s="5" t="n">
        <v>0.4665644</v>
      </c>
      <c r="E1386" s="5" t="n">
        <v>0.01997117</v>
      </c>
    </row>
    <row r="1387">
      <c r="A1387" s="2" t="n">
        <v>45833</v>
      </c>
      <c r="B1387" s="3" t="n">
        <v>1479.750852308259</v>
      </c>
      <c r="C1387" s="4" t="n">
        <v>1.00899139</v>
      </c>
      <c r="D1387" s="5" t="n">
        <v>0.47975085</v>
      </c>
      <c r="E1387" s="5" t="n">
        <v>0.00899139</v>
      </c>
    </row>
    <row r="1388">
      <c r="A1388" s="2" t="n">
        <v>45834</v>
      </c>
      <c r="B1388" s="3" t="n">
        <v>1477.303240815982</v>
      </c>
      <c r="C1388" s="4" t="n">
        <v>0.99834593</v>
      </c>
      <c r="D1388" s="5" t="n">
        <v>0.47730324</v>
      </c>
      <c r="E1388" s="5" t="n">
        <v>-0.00165407</v>
      </c>
    </row>
    <row r="1389">
      <c r="A1389" s="2" t="n">
        <v>45835</v>
      </c>
      <c r="B1389" s="3" t="n">
        <v>1483.556015420929</v>
      </c>
      <c r="C1389" s="4" t="n">
        <v>1.00423256</v>
      </c>
      <c r="D1389" s="5" t="n">
        <v>0.48355602</v>
      </c>
      <c r="E1389" s="5" t="n">
        <v>0.00423256</v>
      </c>
    </row>
    <row r="1390">
      <c r="A1390" s="2" t="n">
        <v>45838</v>
      </c>
      <c r="B1390" s="3" t="n">
        <v>1504.082244245771</v>
      </c>
      <c r="C1390" s="4" t="n">
        <v>1.01383583</v>
      </c>
      <c r="D1390" s="5" t="n">
        <v>0.50408224</v>
      </c>
      <c r="E1390" s="5" t="n">
        <v>0.01383583</v>
      </c>
    </row>
    <row r="1391">
      <c r="A1391" s="2" t="n">
        <v>45839</v>
      </c>
      <c r="B1391" s="3" t="n">
        <v>1507.962595946056</v>
      </c>
      <c r="C1391" s="4" t="n">
        <v>1.00257988</v>
      </c>
      <c r="D1391" s="5" t="n">
        <v>0.5079626</v>
      </c>
      <c r="E1391" s="5" t="n">
        <v>0.00257988</v>
      </c>
    </row>
    <row r="1392">
      <c r="A1392" s="2" t="n">
        <v>45840</v>
      </c>
      <c r="B1392" s="3" t="n">
        <v>1496.532224389159</v>
      </c>
      <c r="C1392" s="4" t="n">
        <v>0.99241999</v>
      </c>
      <c r="D1392" s="5" t="n">
        <v>0.49653222</v>
      </c>
      <c r="E1392" s="5" t="n">
        <v>-0.00758001</v>
      </c>
    </row>
    <row r="1393">
      <c r="A1393" s="2" t="n">
        <v>45841</v>
      </c>
      <c r="B1393" s="3" t="n">
        <v>1506.161780709569</v>
      </c>
      <c r="C1393" s="4" t="n">
        <v>1.00643458</v>
      </c>
      <c r="D1393" s="5" t="n">
        <v>0.50616178</v>
      </c>
      <c r="E1393" s="5" t="n">
        <v>0.00643458</v>
      </c>
    </row>
    <row r="1394">
      <c r="A1394" s="2" t="n">
        <v>45842</v>
      </c>
      <c r="B1394" s="3" t="n">
        <v>1491.567705642442</v>
      </c>
      <c r="C1394" s="4" t="n">
        <v>0.99031042</v>
      </c>
      <c r="D1394" s="5" t="n">
        <v>0.49156771</v>
      </c>
      <c r="E1394" s="5" t="n">
        <v>-0.00968958</v>
      </c>
    </row>
    <row r="1395">
      <c r="A1395" s="2" t="n">
        <v>45845</v>
      </c>
      <c r="B1395" s="3" t="n">
        <v>1500.597895183234</v>
      </c>
      <c r="C1395" s="4" t="n">
        <v>1.00605416</v>
      </c>
      <c r="D1395" s="5" t="n">
        <v>0.5005979</v>
      </c>
      <c r="E1395" s="5" t="n">
        <v>0.00605416</v>
      </c>
    </row>
    <row r="1396">
      <c r="A1396" s="2" t="n">
        <v>45846</v>
      </c>
      <c r="B1396" s="3" t="n">
        <v>1517.963459283389</v>
      </c>
      <c r="C1396" s="4" t="n">
        <v>1.01157243</v>
      </c>
      <c r="D1396" s="5" t="n">
        <v>0.51796346</v>
      </c>
      <c r="E1396" s="5" t="n">
        <v>0.01157243</v>
      </c>
    </row>
    <row r="1397">
      <c r="A1397" s="2" t="n">
        <v>45847</v>
      </c>
      <c r="B1397" s="3" t="n">
        <v>1516.847179314701</v>
      </c>
      <c r="C1397" s="4" t="n">
        <v>0.99926462</v>
      </c>
      <c r="D1397" s="5" t="n">
        <v>0.51684718</v>
      </c>
      <c r="E1397" s="5" t="n">
        <v>-0.00073538</v>
      </c>
    </row>
    <row r="1398">
      <c r="A1398" s="2" t="n">
        <v>45848</v>
      </c>
      <c r="B1398" s="3" t="n">
        <v>1516.16620594202</v>
      </c>
      <c r="C1398" s="4" t="n">
        <v>0.99955106</v>
      </c>
      <c r="D1398" s="5" t="n">
        <v>0.51616621</v>
      </c>
      <c r="E1398" s="5" t="n">
        <v>-0.00044894</v>
      </c>
    </row>
    <row r="1399">
      <c r="A1399" s="2" t="n">
        <v>45849</v>
      </c>
      <c r="B1399" s="3" t="n">
        <v>1522.658080917636</v>
      </c>
      <c r="C1399" s="4" t="n">
        <v>1.00428177</v>
      </c>
      <c r="D1399" s="5" t="n">
        <v>0.52265808</v>
      </c>
      <c r="E1399" s="5" t="n">
        <v>0.00428177</v>
      </c>
    </row>
    <row r="1400">
      <c r="A1400" s="2" t="n">
        <v>45852</v>
      </c>
      <c r="B1400" s="3" t="n">
        <v>1531.34350533016</v>
      </c>
      <c r="C1400" s="4" t="n">
        <v>1.00570412</v>
      </c>
      <c r="D1400" s="5" t="n">
        <v>0.53134351</v>
      </c>
      <c r="E1400" s="5" t="n">
        <v>0.00570412</v>
      </c>
    </row>
    <row r="1401">
      <c r="A1401" s="2" t="n">
        <v>45853</v>
      </c>
      <c r="B1401" s="3" t="n">
        <v>1521.942664118114</v>
      </c>
      <c r="C1401" s="4" t="n">
        <v>0.99386105</v>
      </c>
      <c r="D1401" s="5" t="n">
        <v>0.52194266</v>
      </c>
      <c r="E1401" s="5" t="n">
        <v>-0.00613895</v>
      </c>
    </row>
    <row r="1402">
      <c r="A1402" s="2" t="n">
        <v>45854</v>
      </c>
      <c r="B1402" s="3" t="n">
        <v>1530.734165917392</v>
      </c>
      <c r="C1402" s="4" t="n">
        <v>1.0057765</v>
      </c>
      <c r="D1402" s="5" t="n">
        <v>0.53073417</v>
      </c>
      <c r="E1402" s="5" t="n">
        <v>0.0057765</v>
      </c>
    </row>
    <row r="1403">
      <c r="A1403" s="2" t="n">
        <v>45855</v>
      </c>
      <c r="B1403" s="3" t="n">
        <v>1545.711772129886</v>
      </c>
      <c r="C1403" s="4" t="n">
        <v>1.00978459</v>
      </c>
      <c r="D1403" s="5" t="n">
        <v>0.54571177</v>
      </c>
      <c r="E1403" s="5" t="n">
        <v>0.009784589999999999</v>
      </c>
    </row>
    <row r="1404">
      <c r="A1404" s="2" t="n">
        <v>45856</v>
      </c>
      <c r="B1404" s="3" t="n">
        <v>1546.557152812299</v>
      </c>
      <c r="C1404" s="4" t="n">
        <v>1.00054692</v>
      </c>
      <c r="D1404" s="5" t="n">
        <v>0.54655715</v>
      </c>
      <c r="E1404" s="5" t="n">
        <v>0.00054692</v>
      </c>
    </row>
    <row r="1405">
      <c r="A1405" s="2" t="n">
        <v>45859</v>
      </c>
      <c r="B1405" s="3" t="n">
        <v>1564.213747324383</v>
      </c>
      <c r="C1405" s="4" t="n">
        <v>1.01141671</v>
      </c>
      <c r="D1405" s="5" t="n">
        <v>0.56421375</v>
      </c>
      <c r="E1405" s="5" t="n">
        <v>0.01141671</v>
      </c>
    </row>
    <row r="1406">
      <c r="A1406" s="2" t="n">
        <v>45860</v>
      </c>
      <c r="B1406" s="3" t="n">
        <v>1564.265069177433</v>
      </c>
      <c r="C1406" s="4" t="n">
        <v>1.00003281</v>
      </c>
      <c r="D1406" s="5" t="n">
        <v>0.56426507</v>
      </c>
      <c r="E1406" s="5" t="n">
        <v>3.281e-05</v>
      </c>
    </row>
    <row r="1407">
      <c r="A1407" s="2" t="n">
        <v>45861</v>
      </c>
      <c r="B1407" s="3" t="n">
        <v>1551.741218895283</v>
      </c>
      <c r="C1407" s="4" t="n">
        <v>0.99199378</v>
      </c>
      <c r="D1407" s="5" t="n">
        <v>0.55174122</v>
      </c>
      <c r="E1407" s="5" t="n">
        <v>-0.00800622</v>
      </c>
    </row>
    <row r="1408">
      <c r="A1408" s="2" t="n">
        <v>45862</v>
      </c>
      <c r="B1408" s="3" t="n">
        <v>1567.251058587088</v>
      </c>
      <c r="C1408" s="4" t="n">
        <v>1.00999512</v>
      </c>
      <c r="D1408" s="5" t="n">
        <v>0.56725106</v>
      </c>
      <c r="E1408" s="5" t="n">
        <v>0.00999512</v>
      </c>
    </row>
    <row r="1409">
      <c r="A1409" s="2" t="n">
        <v>45863</v>
      </c>
      <c r="B1409" s="3" t="n">
        <v>1571.422689092282</v>
      </c>
      <c r="C1409" s="4" t="n">
        <v>1.00266175</v>
      </c>
      <c r="D1409" s="5" t="n">
        <v>0.57142269</v>
      </c>
      <c r="E1409" s="5" t="n">
        <v>0.00266175</v>
      </c>
    </row>
    <row r="1410">
      <c r="A1410" s="2" t="n">
        <v>45866</v>
      </c>
      <c r="B1410" s="3" t="n">
        <v>1581.554264023708</v>
      </c>
      <c r="C1410" s="4" t="n">
        <v>1.00644739</v>
      </c>
      <c r="D1410" s="5" t="n">
        <v>0.58155426</v>
      </c>
      <c r="E1410" s="5" t="n">
        <v>0.00644739</v>
      </c>
    </row>
    <row r="1411">
      <c r="A1411" s="2" t="n">
        <v>45867</v>
      </c>
      <c r="B1411" s="3" t="n">
        <v>1586.67092419422</v>
      </c>
      <c r="C1411" s="4" t="n">
        <v>1.00323521</v>
      </c>
      <c r="D1411" s="5" t="n">
        <v>0.58667092</v>
      </c>
      <c r="E1411" s="5" t="n">
        <v>0.00323521</v>
      </c>
    </row>
    <row r="1412">
      <c r="A1412" s="2" t="n">
        <v>45868</v>
      </c>
      <c r="B1412" s="3" t="n">
        <v>1573.928877736712</v>
      </c>
      <c r="C1412" s="4" t="n">
        <v>0.99196932</v>
      </c>
      <c r="D1412" s="5" t="n">
        <v>0.57392888</v>
      </c>
      <c r="E1412" s="5" t="n">
        <v>-0.00803068</v>
      </c>
    </row>
    <row r="1413">
      <c r="A1413" s="2" t="n">
        <v>45869</v>
      </c>
      <c r="B1413" s="3" t="n">
        <v>1564.889835670448</v>
      </c>
      <c r="C1413" s="4" t="n">
        <v>0.99425702</v>
      </c>
      <c r="D1413" s="5" t="n">
        <v>0.56488984</v>
      </c>
      <c r="E1413" s="5" t="n">
        <v>-0.00574298</v>
      </c>
    </row>
    <row r="1414">
      <c r="A1414" s="2" t="n">
        <v>45870</v>
      </c>
      <c r="B1414" s="3" t="n">
        <v>1571.357932232631</v>
      </c>
      <c r="C1414" s="4" t="n">
        <v>1.00413326</v>
      </c>
      <c r="D1414" s="5" t="n">
        <v>0.57135793</v>
      </c>
      <c r="E1414" s="5" t="n">
        <v>0.00413326</v>
      </c>
    </row>
    <row r="1415">
      <c r="A1415" s="2" t="n">
        <v>45873</v>
      </c>
      <c r="B1415" s="3" t="n">
        <v>1593.465854102171</v>
      </c>
      <c r="C1415" s="4" t="n">
        <v>1.01406931</v>
      </c>
      <c r="D1415" s="5" t="n">
        <v>0.59346585</v>
      </c>
      <c r="E1415" s="5" t="n">
        <v>0.01406931</v>
      </c>
    </row>
    <row r="1416">
      <c r="A1416" s="2" t="n">
        <v>45874</v>
      </c>
      <c r="B1416" s="3" t="n">
        <v>1606.3705054523</v>
      </c>
      <c r="C1416" s="4" t="n">
        <v>1.00809848</v>
      </c>
      <c r="D1416" s="5" t="n">
        <v>0.60637051</v>
      </c>
      <c r="E1416" s="5" t="n">
        <v>0.00809848</v>
      </c>
    </row>
    <row r="1417">
      <c r="A1417" s="2" t="n">
        <v>45875</v>
      </c>
      <c r="B1417" s="3" t="n">
        <v>1623.634956395943</v>
      </c>
      <c r="C1417" s="4" t="n">
        <v>1.01074749</v>
      </c>
      <c r="D1417" s="5" t="n">
        <v>0.62363496</v>
      </c>
      <c r="E1417" s="5" t="n">
        <v>0.01074749</v>
      </c>
    </row>
    <row r="1418">
      <c r="A1418" s="2" t="n">
        <v>45876</v>
      </c>
      <c r="B1418" s="3" t="n">
        <v>1624.701911871189</v>
      </c>
      <c r="C1418" s="4" t="n">
        <v>1.00065714</v>
      </c>
      <c r="D1418" s="5" t="n">
        <v>0.62470191</v>
      </c>
      <c r="E1418" s="5" t="n">
        <v>0.00065714</v>
      </c>
    </row>
    <row r="1419">
      <c r="A1419" s="2" t="n">
        <v>45877</v>
      </c>
      <c r="B1419" s="3" t="n">
        <v>1621.396829512927</v>
      </c>
      <c r="C1419" s="4" t="n">
        <v>0.99796573</v>
      </c>
      <c r="D1419" s="5" t="n">
        <v>0.62139683</v>
      </c>
      <c r="E1419" s="5" t="n">
        <v>-0.00203427</v>
      </c>
    </row>
    <row r="1420">
      <c r="A1420" s="2" t="n">
        <v>45880</v>
      </c>
      <c r="B1420" s="3" t="n">
        <v>1646.163147236752</v>
      </c>
      <c r="C1420" s="4" t="n">
        <v>1.01527468</v>
      </c>
      <c r="D1420" s="5" t="n">
        <v>0.64616315</v>
      </c>
      <c r="E1420" s="5" t="n">
        <v>0.01527468</v>
      </c>
    </row>
    <row r="1421">
      <c r="A1421" s="2" t="n">
        <v>45881</v>
      </c>
      <c r="B1421" s="3" t="n">
        <v>1646.931164653095</v>
      </c>
      <c r="C1421" s="4" t="n">
        <v>1.00046655</v>
      </c>
      <c r="D1421" s="5" t="n">
        <v>0.6469311599999999</v>
      </c>
      <c r="E1421" s="5" t="n">
        <v>0.00046655</v>
      </c>
    </row>
    <row r="1422">
      <c r="A1422" s="2" t="n">
        <v>45882</v>
      </c>
      <c r="B1422" s="3" t="n">
        <v>1662.324107967655</v>
      </c>
      <c r="C1422" s="4" t="n">
        <v>1.00934644</v>
      </c>
      <c r="D1422" s="5" t="n">
        <v>0.66232411</v>
      </c>
      <c r="E1422" s="5" t="n">
        <v>0.009346439999999999</v>
      </c>
    </row>
    <row r="1423">
      <c r="A1423" s="2" t="n">
        <v>45883</v>
      </c>
      <c r="B1423" s="3" t="n">
        <v>1634.331534137463</v>
      </c>
      <c r="C1423" s="4" t="n">
        <v>0.98316058</v>
      </c>
      <c r="D1423" s="5" t="n">
        <v>0.63433153</v>
      </c>
      <c r="E1423" s="5" t="n">
        <v>-0.01683942</v>
      </c>
    </row>
    <row r="1424">
      <c r="A1424" s="2" t="n">
        <v>45884</v>
      </c>
      <c r="B1424" s="3" t="n">
        <v>1664.152233728579</v>
      </c>
      <c r="C1424" s="4" t="n">
        <v>1.01824642</v>
      </c>
      <c r="D1424" s="5" t="n">
        <v>0.66415223</v>
      </c>
      <c r="E1424" s="5" t="n">
        <v>0.01824642</v>
      </c>
    </row>
    <row r="1425">
      <c r="A1425" s="2" t="n">
        <v>45887</v>
      </c>
      <c r="B1425" s="3" t="n">
        <v>1695.993373700237</v>
      </c>
      <c r="C1425" s="4" t="n">
        <v>1.01913355</v>
      </c>
      <c r="D1425" s="5" t="n">
        <v>0.6959933699999999</v>
      </c>
      <c r="E1425" s="5" t="n">
        <v>0.01913355</v>
      </c>
    </row>
    <row r="1426">
      <c r="A1426" s="2" t="n">
        <v>45888</v>
      </c>
      <c r="B1426" s="3" t="n">
        <v>1706.611564214631</v>
      </c>
      <c r="C1426" s="4" t="n">
        <v>1.00626075</v>
      </c>
      <c r="D1426" s="5" t="n">
        <v>0.70661156</v>
      </c>
      <c r="E1426" s="5" t="n">
        <v>0.00626075</v>
      </c>
    </row>
    <row r="1427">
      <c r="A1427" s="2" t="n">
        <v>45889</v>
      </c>
      <c r="B1427" s="3" t="n">
        <v>1713.080458282671</v>
      </c>
      <c r="C1427" s="4" t="n">
        <v>1.00379049</v>
      </c>
      <c r="D1427" s="5" t="n">
        <v>0.71308046</v>
      </c>
      <c r="E1427" s="5" t="n">
        <v>0.00379049</v>
      </c>
    </row>
    <row r="1428">
      <c r="A1428" s="2" t="n">
        <v>45890</v>
      </c>
      <c r="B1428" s="3" t="n">
        <v>1701.616540986648</v>
      </c>
      <c r="C1428" s="4" t="n">
        <v>0.99330801</v>
      </c>
      <c r="D1428" s="5" t="n">
        <v>0.70161654</v>
      </c>
      <c r="E1428" s="5" t="n">
        <v>-0.00669199</v>
      </c>
    </row>
    <row r="1429">
      <c r="A1429" s="2" t="n">
        <v>45891</v>
      </c>
      <c r="B1429" s="3" t="n">
        <v>1712.204969026095</v>
      </c>
      <c r="C1429" s="4" t="n">
        <v>1.00622257</v>
      </c>
      <c r="D1429" s="5" t="n">
        <v>0.71220497</v>
      </c>
      <c r="E1429" s="5" t="n">
        <v>0.00622257</v>
      </c>
    </row>
    <row r="1430">
      <c r="A1430" s="2" t="n">
        <v>45894</v>
      </c>
      <c r="B1430" s="3" t="n">
        <v>1730.2753748046</v>
      </c>
      <c r="C1430" s="4" t="n">
        <v>1.01055388</v>
      </c>
      <c r="D1430" s="5" t="n">
        <v>0.73027537</v>
      </c>
      <c r="E1430" s="5" t="n">
        <v>0.01055388</v>
      </c>
    </row>
    <row r="1431">
      <c r="A1431" s="2" t="n">
        <v>45895</v>
      </c>
      <c r="B1431" s="3" t="n">
        <v>1730.586599436266</v>
      </c>
      <c r="C1431" s="4" t="n">
        <v>1.00017987</v>
      </c>
      <c r="D1431" s="5" t="n">
        <v>0.7305866</v>
      </c>
      <c r="E1431" s="5" t="n">
        <v>0.00017987</v>
      </c>
    </row>
    <row r="1432">
      <c r="A1432" s="2" t="n">
        <v>45896</v>
      </c>
      <c r="B1432" s="3" t="n">
        <v>1694.509285574077</v>
      </c>
      <c r="C1432" s="4" t="n">
        <v>0.97915313</v>
      </c>
      <c r="D1432" s="5" t="n">
        <v>0.6945092899999999</v>
      </c>
      <c r="E1432" s="5" t="n">
        <v>-0.02084687</v>
      </c>
    </row>
    <row r="1433">
      <c r="A1433" s="2" t="n">
        <v>45897</v>
      </c>
      <c r="B1433" s="3" t="n">
        <v>1705.497771608796</v>
      </c>
      <c r="C1433" s="4" t="n">
        <v>1.00648476</v>
      </c>
      <c r="D1433" s="5" t="n">
        <v>0.70549777</v>
      </c>
      <c r="E1433" s="5" t="n">
        <v>0.00648476</v>
      </c>
    </row>
    <row r="1434">
      <c r="A1434" s="2" t="n">
        <v>45898</v>
      </c>
      <c r="B1434" s="3" t="n">
        <v>1700.211751815472</v>
      </c>
      <c r="C1434" s="4" t="n">
        <v>0.9969006</v>
      </c>
      <c r="D1434" s="5" t="n">
        <v>0.70021175</v>
      </c>
      <c r="E1434" s="5" t="n">
        <v>-0.0030994</v>
      </c>
    </row>
    <row r="1435">
      <c r="A1435" s="2" t="n">
        <v>45901</v>
      </c>
      <c r="B1435" s="3" t="n">
        <v>1716.609767096089</v>
      </c>
      <c r="C1435" s="4" t="n">
        <v>1.00964469</v>
      </c>
      <c r="D1435" s="5" t="n">
        <v>0.71660977</v>
      </c>
      <c r="E1435" s="5" t="n">
        <v>0.009644689999999999</v>
      </c>
    </row>
    <row r="1436">
      <c r="A1436" s="2" t="n">
        <v>45902</v>
      </c>
      <c r="B1436" s="3" t="n">
        <v>1685.912286942821</v>
      </c>
      <c r="C1436" s="4" t="n">
        <v>0.98211738</v>
      </c>
      <c r="D1436" s="5" t="n">
        <v>0.68591229</v>
      </c>
      <c r="E1436" s="5" t="n">
        <v>-0.01788262</v>
      </c>
    </row>
    <row r="1437">
      <c r="A1437" s="2" t="n">
        <v>45903</v>
      </c>
      <c r="B1437" s="3" t="n">
        <v>1655.21856784674</v>
      </c>
      <c r="C1437" s="4" t="n">
        <v>0.9817939999999999</v>
      </c>
      <c r="D1437" s="5" t="n">
        <v>0.6552185699999999</v>
      </c>
      <c r="E1437" s="5" t="n">
        <v>-0.018206</v>
      </c>
    </row>
    <row r="1438">
      <c r="A1438" s="2" t="n">
        <v>45904</v>
      </c>
      <c r="B1438" s="3" t="n">
        <v>1633.716798637026</v>
      </c>
      <c r="C1438" s="4" t="n">
        <v>0.98700971</v>
      </c>
      <c r="D1438" s="5" t="n">
        <v>0.6337168</v>
      </c>
      <c r="E1438" s="5" t="n">
        <v>-0.01299029</v>
      </c>
    </row>
    <row r="1439">
      <c r="A1439" s="2" t="n">
        <v>45905</v>
      </c>
      <c r="B1439" s="3" t="n">
        <v>1674.017095905453</v>
      </c>
      <c r="C1439" s="4" t="n">
        <v>1.02466786</v>
      </c>
      <c r="D1439" s="5" t="n">
        <v>0.6740171</v>
      </c>
      <c r="E1439" s="5" t="n">
        <v>0.02466786</v>
      </c>
    </row>
    <row r="1440">
      <c r="A1440" s="2" t="n">
        <v>45908</v>
      </c>
      <c r="B1440" s="3" t="n">
        <v>1692.277274387589</v>
      </c>
      <c r="C1440" s="4" t="n">
        <v>1.010908</v>
      </c>
      <c r="D1440" s="5" t="n">
        <v>0.6922772699999999</v>
      </c>
      <c r="E1440" s="5" t="n">
        <v>0.010908</v>
      </c>
    </row>
    <row r="1441">
      <c r="A1441" s="2" t="n">
        <v>45909</v>
      </c>
      <c r="B1441" s="3" t="n">
        <v>1672.538027653177</v>
      </c>
      <c r="C1441" s="4" t="n">
        <v>0.98833569</v>
      </c>
      <c r="D1441" s="5" t="n">
        <v>0.67253803</v>
      </c>
      <c r="E1441" s="5" t="n">
        <v>-0.01166431</v>
      </c>
    </row>
    <row r="1442">
      <c r="A1442" s="2" t="n">
        <v>45910</v>
      </c>
      <c r="B1442" s="3" t="n">
        <v>1677.232089254687</v>
      </c>
      <c r="C1442" s="4" t="n">
        <v>1.00280655</v>
      </c>
      <c r="D1442" s="5" t="n">
        <v>0.67723209</v>
      </c>
      <c r="E1442" s="5" t="n">
        <v>0.00280655</v>
      </c>
    </row>
    <row r="1443">
      <c r="A1443" s="2" t="n">
        <v>45911</v>
      </c>
      <c r="B1443" s="3" t="n">
        <v>1706.133582357814</v>
      </c>
      <c r="C1443" s="4" t="n">
        <v>1.01723166</v>
      </c>
      <c r="D1443" s="5" t="n">
        <v>0.70613358</v>
      </c>
      <c r="E1443" s="5" t="n">
        <v>0.01723166</v>
      </c>
    </row>
    <row r="1444">
      <c r="A1444" s="2" t="n">
        <v>45912</v>
      </c>
      <c r="B1444" s="3" t="n">
        <v>1706.301517086325</v>
      </c>
      <c r="C1444" s="4" t="n">
        <v>1.00009843</v>
      </c>
      <c r="D1444" s="5" t="n">
        <v>0.70630152</v>
      </c>
      <c r="E1444" s="5" t="n">
        <v>9.843e-05</v>
      </c>
    </row>
    <row r="1445">
      <c r="A1445" s="2" t="n">
        <v>45915</v>
      </c>
      <c r="B1445" s="3" t="n">
        <v>1704.661812517451</v>
      </c>
      <c r="C1445" s="4" t="n">
        <v>0.9990390300000001</v>
      </c>
      <c r="D1445" s="5" t="n">
        <v>0.7046618100000001</v>
      </c>
      <c r="E1445" s="5" t="n">
        <v>-0.00096097</v>
      </c>
    </row>
    <row r="1446">
      <c r="A1446" s="2" t="n">
        <v>45916</v>
      </c>
      <c r="B1446" s="3" t="n">
        <v>1729.427650728248</v>
      </c>
      <c r="C1446" s="4" t="n">
        <v>1.0145283</v>
      </c>
      <c r="D1446" s="5" t="n">
        <v>0.72942765</v>
      </c>
      <c r="E1446" s="5" t="n">
        <v>0.0145283</v>
      </c>
    </row>
    <row r="1447">
      <c r="A1447" s="2" t="n">
        <v>45917</v>
      </c>
      <c r="B1447" s="3" t="n">
        <v>1736.075017200799</v>
      </c>
      <c r="C1447" s="4" t="n">
        <v>1.00384368</v>
      </c>
      <c r="D1447" s="5" t="n">
        <v>0.73607502</v>
      </c>
      <c r="E1447" s="5" t="n">
        <v>0.00384368</v>
      </c>
    </row>
    <row r="1448">
      <c r="A1448" s="2" t="n">
        <v>45918</v>
      </c>
      <c r="B1448" s="3" t="n">
        <v>1719.105092236663</v>
      </c>
      <c r="C1448" s="4" t="n">
        <v>0.99022512</v>
      </c>
      <c r="D1448" s="5" t="n">
        <v>0.71910509</v>
      </c>
      <c r="E1448" s="5" t="n">
        <v>-0.00977488</v>
      </c>
    </row>
    <row r="1449">
      <c r="A1449" s="2" t="n">
        <v>45919</v>
      </c>
      <c r="B1449" s="3" t="n">
        <v>1706.036713191244</v>
      </c>
      <c r="C1449" s="4" t="n">
        <v>0.99239815</v>
      </c>
      <c r="D1449" s="5" t="n">
        <v>0.70603671</v>
      </c>
      <c r="E1449" s="5" t="n">
        <v>-0.00760185</v>
      </c>
    </row>
    <row r="1450">
      <c r="A1450" s="2" t="n">
        <v>45922</v>
      </c>
      <c r="B1450" s="3" t="n">
        <v>1712.613297056558</v>
      </c>
      <c r="C1450" s="4" t="n">
        <v>1.00385489</v>
      </c>
      <c r="D1450" s="5" t="n">
        <v>0.7126133</v>
      </c>
      <c r="E1450" s="5" t="n">
        <v>0.00385489</v>
      </c>
    </row>
    <row r="1451">
      <c r="A1451" s="2" t="n">
        <v>45923</v>
      </c>
      <c r="B1451" s="3" t="n">
        <v>1690.526990698259</v>
      </c>
      <c r="C1451" s="4" t="n">
        <v>0.98710374</v>
      </c>
      <c r="D1451" s="5" t="n">
        <v>0.69052699</v>
      </c>
      <c r="E1451" s="5" t="n">
        <v>-0.01289626</v>
      </c>
    </row>
    <row r="1452">
      <c r="A1452" s="2" t="n">
        <v>45924</v>
      </c>
      <c r="B1452" s="3" t="n">
        <v>1711.531568789177</v>
      </c>
      <c r="C1452" s="4" t="n">
        <v>1.01242487</v>
      </c>
      <c r="D1452" s="5" t="n">
        <v>0.71153157</v>
      </c>
      <c r="E1452" s="5" t="n">
        <v>0.01242487</v>
      </c>
    </row>
    <row r="1453">
      <c r="A1453" s="2" t="n">
        <v>45925</v>
      </c>
      <c r="B1453" s="3" t="n">
        <v>1702.049119092667</v>
      </c>
      <c r="C1453" s="4" t="n">
        <v>0.99445967</v>
      </c>
      <c r="D1453" s="5" t="n">
        <v>0.70204912</v>
      </c>
      <c r="E1453" s="5" t="n">
        <v>-0.00554033</v>
      </c>
    </row>
    <row r="1454">
      <c r="A1454" s="2" t="n">
        <v>45926</v>
      </c>
      <c r="B1454" s="3" t="n">
        <v>1678.350433937086</v>
      </c>
      <c r="C1454" s="4" t="n">
        <v>0.98607638</v>
      </c>
      <c r="D1454" s="5" t="n">
        <v>0.6783504299999999</v>
      </c>
      <c r="E1454" s="5" t="n">
        <v>-0.01392362</v>
      </c>
    </row>
    <row r="1455">
      <c r="A1455" s="2" t="n">
        <v>45929</v>
      </c>
      <c r="B1455" s="3" t="n">
        <v>1690.994018395081</v>
      </c>
      <c r="C1455" s="4" t="n">
        <v>1.00753334</v>
      </c>
      <c r="D1455" s="5" t="n">
        <v>0.69099402</v>
      </c>
      <c r="E1455" s="5" t="n">
        <v>0.00753334</v>
      </c>
    </row>
    <row r="1456">
      <c r="A1456" s="2" t="n">
        <v>45930</v>
      </c>
      <c r="B1456" s="3" t="n">
        <v>1695.957305668293</v>
      </c>
      <c r="C1456" s="4" t="n">
        <v>1.00293513</v>
      </c>
      <c r="D1456" s="5" t="n">
        <v>0.6959573100000001</v>
      </c>
      <c r="E1456" s="5" t="n">
        <v>0.00293513</v>
      </c>
    </row>
    <row r="1457">
      <c r="A1457" s="2" t="n">
        <v>45939</v>
      </c>
      <c r="B1457" s="3" t="n">
        <v>1705.766671845559</v>
      </c>
      <c r="C1457" s="4" t="n">
        <v>1.00578397</v>
      </c>
      <c r="D1457" s="5" t="n">
        <v>0.70576667</v>
      </c>
      <c r="E1457" s="5" t="n">
        <v>0.00578397</v>
      </c>
    </row>
    <row r="1458">
      <c r="A1458" s="2" t="n">
        <v>45940</v>
      </c>
      <c r="B1458" s="3" t="n">
        <v>1695.135225198281</v>
      </c>
      <c r="C1458" s="4" t="n">
        <v>0.99376735</v>
      </c>
      <c r="D1458" s="5" t="n">
        <v>0.69513523</v>
      </c>
      <c r="E1458" s="5" t="n">
        <v>-0.00623265</v>
      </c>
    </row>
    <row r="1459">
      <c r="A1459" s="2" t="n">
        <v>45943</v>
      </c>
      <c r="B1459" s="3" t="n">
        <v>1692.282549933204</v>
      </c>
      <c r="C1459" s="4" t="n">
        <v>0.99831714</v>
      </c>
      <c r="D1459" s="5" t="n">
        <v>0.6922825500000001</v>
      </c>
      <c r="E1459" s="5" t="n">
        <v>-0.00168286</v>
      </c>
    </row>
    <row r="1460">
      <c r="A1460" s="2" t="n">
        <v>45944</v>
      </c>
      <c r="B1460" s="3" t="n">
        <v>1668.27019437896</v>
      </c>
      <c r="C1460" s="4" t="n">
        <v>0.98581067</v>
      </c>
      <c r="D1460" s="5" t="n">
        <v>0.66827019</v>
      </c>
      <c r="E1460" s="5" t="n">
        <v>-0.01418933</v>
      </c>
    </row>
    <row r="1461">
      <c r="A1461" s="2" t="n">
        <v>45945</v>
      </c>
      <c r="B1461" s="3" t="n">
        <v>1693.724494177775</v>
      </c>
      <c r="C1461" s="4" t="n">
        <v>1.0152579</v>
      </c>
      <c r="D1461" s="5" t="n">
        <v>0.69372449</v>
      </c>
      <c r="E1461" s="5" t="n">
        <v>0.0152579</v>
      </c>
    </row>
    <row r="1462">
      <c r="A1462" s="2" t="n">
        <v>45946</v>
      </c>
      <c r="B1462" s="3" t="n">
        <v>1674.987650023689</v>
      </c>
      <c r="C1462" s="4" t="n">
        <v>0.98893749</v>
      </c>
      <c r="D1462" s="5" t="n">
        <v>0.6749876500000001</v>
      </c>
      <c r="E1462" s="5" t="n">
        <v>-0.01106251</v>
      </c>
    </row>
    <row r="1463">
      <c r="A1463" s="2" t="n">
        <v>45947</v>
      </c>
      <c r="B1463" s="3" t="n">
        <v>1632.037499452646</v>
      </c>
      <c r="C1463" s="4" t="n">
        <v>0.97435793</v>
      </c>
      <c r="D1463" s="5" t="n">
        <v>0.6320375</v>
      </c>
      <c r="E1463" s="5" t="n">
        <v>-0.02564207</v>
      </c>
    </row>
    <row r="1464">
      <c r="A1464" s="2" t="n">
        <v>45950</v>
      </c>
      <c r="B1464" s="3" t="n">
        <v>1653.014811849985</v>
      </c>
      <c r="C1464" s="4" t="n">
        <v>1.01285345</v>
      </c>
      <c r="D1464" s="5" t="n">
        <v>0.6530148099999999</v>
      </c>
      <c r="E1464" s="5" t="n">
        <v>0.01285345</v>
      </c>
    </row>
    <row r="1465">
      <c r="A1465" s="2" t="n">
        <v>45951</v>
      </c>
      <c r="B1465" s="3" t="n">
        <v>1681.790675526299</v>
      </c>
      <c r="C1465" s="4" t="n">
        <v>1.01740811</v>
      </c>
      <c r="D1465" s="5" t="n">
        <v>0.68179068</v>
      </c>
      <c r="E1465" s="5" t="n">
        <v>0.01740811</v>
      </c>
    </row>
    <row r="1466">
      <c r="A1466" s="2" t="n">
        <v>45952</v>
      </c>
      <c r="B1466" s="3" t="n">
        <v>1676.171880150993</v>
      </c>
      <c r="C1466" s="4" t="n">
        <v>0.9966590400000001</v>
      </c>
      <c r="D1466" s="5" t="n">
        <v>0.6761718799999999</v>
      </c>
      <c r="E1466" s="5" t="n">
        <v>-0.00334096</v>
      </c>
    </row>
    <row r="1467">
      <c r="A1467" s="2" t="n">
        <v>45953</v>
      </c>
      <c r="B1467" s="3" t="n">
        <v>1672.8938075667</v>
      </c>
      <c r="C1467" s="4" t="n">
        <v>0.99804431</v>
      </c>
      <c r="D1467" s="5" t="n">
        <v>0.67289381</v>
      </c>
      <c r="E1467" s="5" t="n">
        <v>-0.00195569</v>
      </c>
    </row>
    <row r="1468">
      <c r="A1468" s="2" t="n">
        <v>45954</v>
      </c>
      <c r="B1468" s="3" t="n">
        <v>1687.0228010024</v>
      </c>
      <c r="C1468" s="4" t="n">
        <v>1.00844584</v>
      </c>
      <c r="D1468" s="5" t="n">
        <v>0.6870228</v>
      </c>
      <c r="E1468" s="5" t="n">
        <v>0.00844584</v>
      </c>
    </row>
    <row r="1469">
      <c r="A1469" s="2" t="n">
        <v>45957</v>
      </c>
      <c r="B1469" s="3" t="n">
        <v>1701.357855498217</v>
      </c>
      <c r="C1469" s="4" t="n">
        <v>1.00849725</v>
      </c>
      <c r="D1469" s="5" t="n">
        <v>0.70135786</v>
      </c>
      <c r="E1469" s="5" t="n">
        <v>0.00849725</v>
      </c>
    </row>
    <row r="1470">
      <c r="A1470" s="2" t="n">
        <v>45958</v>
      </c>
      <c r="B1470" s="3" t="n">
        <v>1704.117457939836</v>
      </c>
      <c r="C1470" s="4" t="n">
        <v>1.001622</v>
      </c>
      <c r="D1470" s="5" t="n">
        <v>0.70411746</v>
      </c>
      <c r="E1470" s="5" t="n">
        <v>0.001622</v>
      </c>
    </row>
    <row r="1471">
      <c r="A1471" s="2" t="n">
        <v>45959</v>
      </c>
      <c r="B1471" s="3" t="n">
        <v>1708.800083014286</v>
      </c>
      <c r="C1471" s="4" t="n">
        <v>1.00274783</v>
      </c>
      <c r="D1471" s="5" t="n">
        <v>0.7088000800000001</v>
      </c>
      <c r="E1471" s="5" t="n">
        <v>0.00274783</v>
      </c>
    </row>
    <row r="1472">
      <c r="A1472" s="2" t="n">
        <v>45960</v>
      </c>
      <c r="B1472" s="3" t="n">
        <v>1685.678753379042</v>
      </c>
      <c r="C1472" s="4" t="n">
        <v>0.98646926</v>
      </c>
      <c r="D1472" s="5" t="n">
        <v>0.68567875</v>
      </c>
      <c r="E1472" s="5" t="n">
        <v>-0.01353074</v>
      </c>
    </row>
    <row r="1473">
      <c r="A1473" s="2" t="n">
        <v>45961</v>
      </c>
      <c r="B1473" s="3" t="n">
        <v>1701.7403556745</v>
      </c>
      <c r="C1473" s="4" t="n">
        <v>1.00952827</v>
      </c>
      <c r="D1473" s="5" t="n">
        <v>0.70174036</v>
      </c>
      <c r="E1473" s="5" t="n">
        <v>0.00952827</v>
      </c>
    </row>
    <row r="1474">
      <c r="A1474" s="2" t="n">
        <v>45964</v>
      </c>
      <c r="B1474" s="3" t="n">
        <v>1713.612394109231</v>
      </c>
      <c r="C1474" s="4" t="n">
        <v>1.00697641</v>
      </c>
      <c r="D1474" s="5" t="n">
        <v>0.71361239</v>
      </c>
      <c r="E1474" s="5" t="n">
        <v>0.00697641</v>
      </c>
    </row>
    <row r="1475">
      <c r="A1475" s="2" t="n">
        <v>45965</v>
      </c>
      <c r="B1475" s="3" t="n">
        <v>1700.392028713794</v>
      </c>
      <c r="C1475" s="4" t="n">
        <v>0.99228509</v>
      </c>
      <c r="D1475" s="5" t="n">
        <v>0.7003920300000001</v>
      </c>
      <c r="E1475" s="5" t="n">
        <v>-0.00771491</v>
      </c>
    </row>
    <row r="1476">
      <c r="A1476" s="2" t="n">
        <v>45966</v>
      </c>
      <c r="B1476" s="3" t="n">
        <v>1712.252977278725</v>
      </c>
      <c r="C1476" s="4" t="n">
        <v>1.00697542</v>
      </c>
      <c r="D1476" s="5" t="n">
        <v>0.71225298</v>
      </c>
      <c r="E1476" s="5" t="n">
        <v>0.00697542</v>
      </c>
    </row>
    <row r="1477">
      <c r="A1477" s="2" t="n">
        <v>45967</v>
      </c>
      <c r="B1477" s="3" t="n">
        <v>1721.476284778783</v>
      </c>
      <c r="C1477" s="4" t="n">
        <v>1.00538665</v>
      </c>
      <c r="D1477" s="5" t="n">
        <v>0.72147628</v>
      </c>
      <c r="E1477" s="5" t="n">
        <v>0.00538665</v>
      </c>
    </row>
    <row r="1478">
      <c r="A1478" s="2" t="n">
        <v>45968</v>
      </c>
      <c r="B1478" s="3" t="n">
        <v>1715.252183982589</v>
      </c>
      <c r="C1478" s="4" t="n">
        <v>0.99638444</v>
      </c>
      <c r="D1478" s="5" t="n">
        <v>0.71525218</v>
      </c>
      <c r="E1478" s="5" t="n">
        <v>-0.00361556</v>
      </c>
    </row>
    <row r="1479">
      <c r="A1479" s="2" t="n">
        <v>45971</v>
      </c>
      <c r="B1479" s="3" t="n">
        <v>1724.737494254968</v>
      </c>
      <c r="C1479" s="4" t="n">
        <v>1.00552998</v>
      </c>
      <c r="D1479" s="5" t="n">
        <v>0.72473749</v>
      </c>
      <c r="E1479" s="5" t="n">
        <v>0.00552998</v>
      </c>
    </row>
    <row r="1480">
      <c r="A1480" s="2" t="n">
        <v>45972</v>
      </c>
      <c r="B1480" s="3" t="n">
        <v>1730.963951835603</v>
      </c>
      <c r="C1480" s="4" t="n">
        <v>1.00361009</v>
      </c>
      <c r="D1480" s="5" t="n">
        <v>0.73096395</v>
      </c>
      <c r="E1480" s="5" t="n">
        <v>0.00361009</v>
      </c>
    </row>
    <row r="1481">
      <c r="A1481" s="2" t="n">
        <v>45973</v>
      </c>
      <c r="B1481" s="3" t="n">
        <v>1720.335400430345</v>
      </c>
      <c r="C1481" s="4" t="n">
        <v>0.99385975</v>
      </c>
      <c r="D1481" s="5" t="n">
        <v>0.7203354</v>
      </c>
      <c r="E1481" s="5" t="n">
        <v>-0.00614025</v>
      </c>
    </row>
    <row r="1482">
      <c r="A1482" s="2" t="n">
        <v>45974</v>
      </c>
      <c r="B1482" s="3" t="n">
        <v>1739.322570211354</v>
      </c>
      <c r="C1482" s="4" t="n">
        <v>1.0110369</v>
      </c>
      <c r="D1482" s="5" t="n">
        <v>0.73932257</v>
      </c>
      <c r="E1482" s="5" t="n">
        <v>0.0110369</v>
      </c>
    </row>
    <row r="1483">
      <c r="A1483" s="2" t="n">
        <v>45975</v>
      </c>
      <c r="B1483" s="3" t="n">
        <v>1728.994890226856</v>
      </c>
      <c r="C1483" s="4" t="n">
        <v>0.99406224</v>
      </c>
      <c r="D1483" s="5" t="n">
        <v>0.72899489</v>
      </c>
      <c r="E1483" s="5" t="n">
        <v>-0.00593776</v>
      </c>
    </row>
    <row r="1484">
      <c r="A1484" s="2" t="n">
        <v>45978</v>
      </c>
      <c r="B1484" s="3" t="n">
        <v>1738.788522433313</v>
      </c>
      <c r="C1484" s="4" t="n">
        <v>1.00566435</v>
      </c>
      <c r="D1484" s="5" t="n">
        <v>0.7387885199999999</v>
      </c>
      <c r="E1484" s="5" t="n">
        <v>0.00566435</v>
      </c>
    </row>
    <row r="1485">
      <c r="A1485" s="2" t="n">
        <v>45979</v>
      </c>
      <c r="B1485" s="3" t="n">
        <v>1718.162769549816</v>
      </c>
      <c r="C1485" s="4" t="n">
        <v>0.98813786</v>
      </c>
      <c r="D1485" s="5" t="n">
        <v>0.71816277</v>
      </c>
      <c r="E1485" s="5" t="n">
        <v>-0.01186214</v>
      </c>
    </row>
    <row r="1486">
      <c r="A1486" s="2" t="n">
        <v>45980</v>
      </c>
      <c r="B1486" s="3" t="n">
        <v>1696.275764112001</v>
      </c>
      <c r="C1486" s="4" t="n">
        <v>0.98726139</v>
      </c>
      <c r="D1486" s="5" t="n">
        <v>0.69627576</v>
      </c>
      <c r="E1486" s="5" t="n">
        <v>-0.01273861</v>
      </c>
    </row>
    <row r="1487">
      <c r="A1487" s="2" t="n">
        <v>45981</v>
      </c>
      <c r="B1487" s="3" t="n">
        <v>1683.594677903622</v>
      </c>
      <c r="C1487" s="4" t="n">
        <v>0.99252416</v>
      </c>
      <c r="D1487" s="5" t="n">
        <v>0.68359468</v>
      </c>
      <c r="E1487" s="5" t="n">
        <v>-0.00747584</v>
      </c>
    </row>
    <row r="1488">
      <c r="A1488" s="2" t="n">
        <v>45982</v>
      </c>
      <c r="B1488" s="3" t="n">
        <v>1623.188513048608</v>
      </c>
      <c r="C1488" s="4" t="n">
        <v>0.96412072</v>
      </c>
      <c r="D1488" s="5" t="n">
        <v>0.62318851</v>
      </c>
      <c r="E1488" s="5" t="n">
        <v>-0.03587928</v>
      </c>
    </row>
    <row r="1489">
      <c r="A1489" s="2" t="n">
        <v>45985</v>
      </c>
      <c r="B1489" s="3" t="n">
        <v>1650.322235421168</v>
      </c>
      <c r="C1489" s="4" t="n">
        <v>1.01671631</v>
      </c>
      <c r="D1489" s="5" t="n">
        <v>0.6503222400000001</v>
      </c>
      <c r="E1489" s="5" t="n">
        <v>0.01671631</v>
      </c>
    </row>
    <row r="1490">
      <c r="A1490" s="2" t="n">
        <v>45986</v>
      </c>
      <c r="B1490" s="3" t="n">
        <v>1676.243962295484</v>
      </c>
      <c r="C1490" s="4" t="n">
        <v>1.01570707</v>
      </c>
      <c r="D1490" s="5" t="n">
        <v>0.67624396</v>
      </c>
      <c r="E1490" s="5" t="n">
        <v>0.01570707</v>
      </c>
    </row>
    <row r="1491">
      <c r="A1491" s="2" t="n">
        <v>45987</v>
      </c>
      <c r="B1491" s="3" t="n">
        <v>1671.06264192071</v>
      </c>
      <c r="C1491" s="4" t="n">
        <v>0.99690897</v>
      </c>
      <c r="D1491" s="5" t="n">
        <v>0.67106264</v>
      </c>
      <c r="E1491" s="5" t="n">
        <v>-0.00309103</v>
      </c>
    </row>
    <row r="1492">
      <c r="A1492" s="2" t="n">
        <v>45988</v>
      </c>
      <c r="B1492" s="3" t="n">
        <v>1675.705121309989</v>
      </c>
      <c r="C1492" s="4" t="n">
        <v>1.00277816</v>
      </c>
      <c r="D1492" s="5" t="n">
        <v>0.67570512</v>
      </c>
      <c r="E1492" s="5" t="n">
        <v>0.00277816</v>
      </c>
    </row>
    <row r="1493">
      <c r="A1493" s="2" t="n">
        <v>45989</v>
      </c>
      <c r="B1493" s="3" t="n">
        <v>1695.71111339754</v>
      </c>
      <c r="C1493" s="4" t="n">
        <v>1.01193885</v>
      </c>
      <c r="D1493" s="5" t="n">
        <v>0.69571111</v>
      </c>
      <c r="E1493" s="5" t="n">
        <v>0.01193885</v>
      </c>
    </row>
    <row r="1494">
      <c r="A1494" s="2" t="n">
        <v>45992</v>
      </c>
      <c r="B1494" s="3" t="n">
        <v>1706.364672824127</v>
      </c>
      <c r="C1494" s="4" t="n">
        <v>1.00628265</v>
      </c>
      <c r="D1494" s="5" t="n">
        <v>0.70636467</v>
      </c>
      <c r="E1494" s="5" t="n">
        <v>0.00628265</v>
      </c>
    </row>
    <row r="1495">
      <c r="A1495" s="2" t="n">
        <v>45993</v>
      </c>
      <c r="B1495" s="3" t="n">
        <v>1699.0577292131</v>
      </c>
      <c r="C1495" s="4" t="n">
        <v>0.99571783</v>
      </c>
      <c r="D1495" s="5" t="n">
        <v>0.69905773</v>
      </c>
      <c r="E1495" s="5" t="n">
        <v>-0.00428217</v>
      </c>
    </row>
    <row r="1496">
      <c r="A1496" s="2" t="n">
        <v>45994</v>
      </c>
      <c r="B1496" s="3" t="n">
        <v>1683.295587649767</v>
      </c>
      <c r="C1496" s="4" t="n">
        <v>0.99072301</v>
      </c>
      <c r="D1496" s="5" t="n">
        <v>0.68329559</v>
      </c>
      <c r="E1496" s="5" t="n">
        <v>-0.009276990000000001</v>
      </c>
    </row>
    <row r="1497">
      <c r="A1497" s="2" t="n">
        <v>45995</v>
      </c>
      <c r="B1497" s="3" t="n">
        <v>1671.862879679833</v>
      </c>
      <c r="C1497" s="4" t="n">
        <v>0.99320814</v>
      </c>
      <c r="D1497" s="5" t="n">
        <v>0.6718628800000001</v>
      </c>
      <c r="E1497" s="5" t="n">
        <v>-0.00679186</v>
      </c>
    </row>
    <row r="1498">
      <c r="A1498" s="2" t="n">
        <v>45996</v>
      </c>
      <c r="B1498" s="3" t="n">
        <v>1699.948972317181</v>
      </c>
      <c r="C1498" s="4" t="n">
        <v>1.01679928</v>
      </c>
      <c r="D1498" s="5" t="n">
        <v>0.69994897</v>
      </c>
      <c r="E1498" s="5" t="n">
        <v>0.01679928</v>
      </c>
    </row>
    <row r="1499">
      <c r="A1499" s="2" t="n">
        <v>45999</v>
      </c>
      <c r="B1499" s="3" t="n">
        <v>1722.350899874376</v>
      </c>
      <c r="C1499" s="4" t="n">
        <v>1.013178</v>
      </c>
      <c r="D1499" s="5" t="n">
        <v>0.7223509</v>
      </c>
      <c r="E1499" s="5" t="n">
        <v>0.013178</v>
      </c>
    </row>
    <row r="1500">
      <c r="A1500" s="2" t="n">
        <v>46000</v>
      </c>
      <c r="B1500" s="3" t="n">
        <v>1714.136836197785</v>
      </c>
      <c r="C1500" s="4" t="n">
        <v>0.9952309</v>
      </c>
      <c r="D1500" s="5" t="n">
        <v>0.71413684</v>
      </c>
      <c r="E1500" s="5" t="n">
        <v>-0.0047691</v>
      </c>
    </row>
    <row r="1501">
      <c r="A1501" s="2" t="n">
        <v>46001</v>
      </c>
      <c r="B1501" s="3" t="n">
        <v>1716.885094645893</v>
      </c>
      <c r="C1501" s="4" t="n">
        <v>1.00160329</v>
      </c>
      <c r="D1501" s="5" t="n">
        <v>0.71688509</v>
      </c>
      <c r="E1501" s="5" t="n">
        <v>0.00160329</v>
      </c>
    </row>
    <row r="1502">
      <c r="A1502" s="2" t="n">
        <v>46002</v>
      </c>
      <c r="B1502" s="3" t="n">
        <v>1690.741278373726</v>
      </c>
      <c r="C1502" s="4" t="n">
        <v>0.98477253</v>
      </c>
      <c r="D1502" s="5" t="n">
        <v>0.69074128</v>
      </c>
      <c r="E1502" s="5" t="n">
        <v>-0.01522747</v>
      </c>
    </row>
    <row r="1503">
      <c r="A1503" s="2" t="n">
        <v>46003</v>
      </c>
      <c r="B1503" s="3" t="n">
        <v>1700.80854370461</v>
      </c>
      <c r="C1503" s="4" t="n">
        <v>1.00595435</v>
      </c>
      <c r="D1503" s="5" t="n">
        <v>0.70080854</v>
      </c>
      <c r="E1503" s="5" t="n">
        <v>0.00595435</v>
      </c>
    </row>
    <row r="1504">
      <c r="A1504" s="2" t="n">
        <v>46006</v>
      </c>
      <c r="B1504" s="3" t="n">
        <v>1697.10761832968</v>
      </c>
      <c r="C1504" s="4" t="n">
        <v>0.99782402</v>
      </c>
      <c r="D1504" s="5" t="n">
        <v>0.69710762</v>
      </c>
      <c r="E1504" s="5" t="n">
        <v>-0.00217598</v>
      </c>
    </row>
    <row r="1505">
      <c r="A1505" s="2" t="n">
        <v>46007</v>
      </c>
      <c r="B1505" s="3" t="n">
        <v>1670.72614828705</v>
      </c>
      <c r="C1505" s="4" t="n">
        <v>0.9844550399999999</v>
      </c>
      <c r="D1505" s="5" t="n">
        <v>0.67072615</v>
      </c>
      <c r="E1505" s="5" t="n">
        <v>-0.01554496</v>
      </c>
    </row>
    <row r="1506">
      <c r="A1506" s="2" t="n">
        <v>46008</v>
      </c>
      <c r="B1506" s="3" t="n">
        <v>1682.091145959942</v>
      </c>
      <c r="C1506" s="4" t="n">
        <v>1.00680243</v>
      </c>
      <c r="D1506" s="5" t="n">
        <v>0.68209115</v>
      </c>
      <c r="E1506" s="5" t="n">
        <v>0.00680243</v>
      </c>
    </row>
    <row r="1507">
      <c r="A1507" s="2" t="n">
        <v>46009</v>
      </c>
      <c r="B1507" s="3" t="n">
        <v>1683.20990478112</v>
      </c>
      <c r="C1507" s="4" t="n">
        <v>1.0006651</v>
      </c>
      <c r="D1507" s="5" t="n">
        <v>0.6832099</v>
      </c>
      <c r="E1507" s="5" t="n">
        <v>0.0006651</v>
      </c>
    </row>
    <row r="1508">
      <c r="A1508" s="2" t="n">
        <v>46010</v>
      </c>
      <c r="B1508" s="3" t="n">
        <v>1705.51297464664</v>
      </c>
      <c r="C1508" s="4" t="n">
        <v>1.01325032</v>
      </c>
      <c r="D1508" s="5" t="n">
        <v>0.70551297</v>
      </c>
      <c r="E1508" s="5" t="n">
        <v>0.01325032</v>
      </c>
    </row>
    <row r="1509">
      <c r="A1509" s="2" t="n">
        <v>46013</v>
      </c>
      <c r="B1509" s="3" t="n">
        <v>1718.70117777056</v>
      </c>
      <c r="C1509" s="4" t="n">
        <v>1.00773269</v>
      </c>
      <c r="D1509" s="5" t="n">
        <v>0.7187011800000001</v>
      </c>
      <c r="E1509" s="5" t="n">
        <v>0.00773269</v>
      </c>
    </row>
    <row r="1510">
      <c r="A1510" s="2" t="n">
        <v>46014</v>
      </c>
      <c r="B1510" s="3" t="n">
        <v>1709.079080787847</v>
      </c>
      <c r="C1510" s="4" t="n">
        <v>0.99440153</v>
      </c>
      <c r="D1510" s="5" t="n">
        <v>0.70907908</v>
      </c>
      <c r="E1510" s="5" t="n">
        <v>-0.00559847</v>
      </c>
    </row>
    <row r="1511">
      <c r="A1511" s="2" t="n">
        <v>46015</v>
      </c>
      <c r="B1511" s="3" t="n">
        <v>1732.997710886636</v>
      </c>
      <c r="C1511" s="4" t="n">
        <v>1.01399504</v>
      </c>
      <c r="D1511" s="5" t="n">
        <v>0.73299771</v>
      </c>
      <c r="E1511" s="5" t="n">
        <v>0.01399504</v>
      </c>
    </row>
    <row r="1512">
      <c r="A1512" s="2" t="n">
        <v>46016</v>
      </c>
      <c r="B1512" s="3" t="n">
        <v>1753.394192784962</v>
      </c>
      <c r="C1512" s="4" t="n">
        <v>1.01176948</v>
      </c>
      <c r="D1512" s="5" t="n">
        <v>0.75339419</v>
      </c>
      <c r="E1512" s="5" t="n">
        <v>0.01176948</v>
      </c>
    </row>
    <row r="1513">
      <c r="A1513" s="2" t="n">
        <v>46017</v>
      </c>
      <c r="B1513" s="3" t="n">
        <v>1752.622190855821</v>
      </c>
      <c r="C1513" s="4" t="n">
        <v>0.99955971</v>
      </c>
      <c r="D1513" s="5" t="n">
        <v>0.75262219</v>
      </c>
      <c r="E1513" s="5" t="n">
        <v>-0.00044029</v>
      </c>
    </row>
    <row r="1514">
      <c r="A1514" s="2" t="n">
        <v>46020</v>
      </c>
      <c r="B1514" s="3" t="n">
        <v>1752.231408685926</v>
      </c>
      <c r="C1514" s="4" t="n">
        <v>0.99977703</v>
      </c>
      <c r="D1514" s="5" t="n">
        <v>0.75223141</v>
      </c>
      <c r="E1514" s="5" t="n">
        <v>-0.00022297</v>
      </c>
    </row>
    <row r="1515">
      <c r="A1515" s="2" t="n">
        <v>46021</v>
      </c>
      <c r="B1515" s="3" t="n">
        <v>1749.392355746003</v>
      </c>
      <c r="C1515" s="4" t="n">
        <v>0.99837975</v>
      </c>
      <c r="D1515" s="5" t="n">
        <v>0.74939236</v>
      </c>
      <c r="E1515" s="5" t="n">
        <v>-0.00162025</v>
      </c>
    </row>
    <row r="1516">
      <c r="A1516" s="2" t="n">
        <v>46022</v>
      </c>
      <c r="B1516" s="3" t="n">
        <v>1750.888383606866</v>
      </c>
      <c r="C1516" s="4" t="n">
        <v>1.00085517</v>
      </c>
      <c r="D1516" s="5" t="n">
        <v>0.75088838</v>
      </c>
      <c r="E1516" s="5" t="n">
        <v>0.00085517</v>
      </c>
    </row>
    <row r="1517">
      <c r="A1517" s="2" t="n">
        <v>46027</v>
      </c>
      <c r="B1517" s="3" t="n">
        <v>1777.35199348317</v>
      </c>
      <c r="C1517" s="4" t="n">
        <v>1.01511439</v>
      </c>
      <c r="D1517" s="5" t="n">
        <v>0.77735199</v>
      </c>
      <c r="E1517" s="5" t="n">
        <v>0.01511439</v>
      </c>
    </row>
    <row r="1518">
      <c r="A1518" s="2" t="n">
        <v>46028</v>
      </c>
      <c r="B1518" s="3" t="n">
        <v>1796.778770695299</v>
      </c>
      <c r="C1518" s="4" t="n">
        <v>1.01093018</v>
      </c>
      <c r="D1518" s="5" t="n">
        <v>0.79677877</v>
      </c>
      <c r="E1518" s="5" t="n">
        <v>0.01093018</v>
      </c>
    </row>
    <row r="1519">
      <c r="A1519" s="2" t="n">
        <v>46029</v>
      </c>
      <c r="B1519" s="3" t="n">
        <v>1805.120208331526</v>
      </c>
      <c r="C1519" s="4" t="n">
        <v>1.00464244</v>
      </c>
      <c r="D1519" s="5" t="n">
        <v>0.80512021</v>
      </c>
      <c r="E1519" s="5" t="n">
        <v>0.00464244</v>
      </c>
    </row>
    <row r="1520">
      <c r="A1520" s="2" t="n">
        <v>46030</v>
      </c>
      <c r="B1520" s="3" t="n">
        <v>1826.213200426699</v>
      </c>
      <c r="C1520" s="4" t="n">
        <v>1.01168509</v>
      </c>
      <c r="D1520" s="5" t="n">
        <v>0.8262132</v>
      </c>
      <c r="E1520" s="5" t="n">
        <v>0.01168509</v>
      </c>
    </row>
    <row r="1521">
      <c r="A1521" s="2" t="n">
        <v>46031</v>
      </c>
      <c r="B1521" s="3" t="n">
        <v>1853.63592830055</v>
      </c>
      <c r="C1521" s="4" t="n">
        <v>1.01501617</v>
      </c>
      <c r="D1521" s="5" t="n">
        <v>0.85363593</v>
      </c>
      <c r="E1521" s="5" t="n">
        <v>0.01501617</v>
      </c>
    </row>
    <row r="1522">
      <c r="A1522" s="2" t="n">
        <v>46034</v>
      </c>
      <c r="B1522" s="3" t="n">
        <v>1899.761526694992</v>
      </c>
      <c r="C1522" s="4" t="n">
        <v>1.02488385</v>
      </c>
      <c r="D1522" s="5" t="n">
        <v>0.89976153</v>
      </c>
      <c r="E1522" s="5" t="n">
        <v>0.02488385</v>
      </c>
    </row>
    <row r="1523">
      <c r="A1523" s="2" t="n">
        <v>46035</v>
      </c>
      <c r="B1523" s="3" t="n">
        <v>1869.178405733645</v>
      </c>
      <c r="C1523" s="4" t="n">
        <v>0.9839016</v>
      </c>
      <c r="D1523" s="5" t="n">
        <v>0.86917841</v>
      </c>
      <c r="E1523" s="5" t="n">
        <v>-0.0160984</v>
      </c>
    </row>
    <row r="1524">
      <c r="A1524" s="2" t="n">
        <v>46036</v>
      </c>
      <c r="B1524" s="3" t="n">
        <v>1885.330555782895</v>
      </c>
      <c r="C1524" s="4" t="n">
        <v>1.00864131</v>
      </c>
      <c r="D1524" s="5" t="n">
        <v>0.88533056</v>
      </c>
      <c r="E1524" s="5" t="n">
        <v>0.008641309999999999</v>
      </c>
    </row>
    <row r="1525">
      <c r="A1525" s="2" t="n">
        <v>46037</v>
      </c>
      <c r="B1525" s="3" t="n">
        <v>1868.818038936515</v>
      </c>
      <c r="C1525" s="4" t="n">
        <v>0.99124158</v>
      </c>
      <c r="D1525" s="5" t="n">
        <v>0.86881804</v>
      </c>
      <c r="E1525" s="5" t="n">
        <v>-0.008758419999999999</v>
      </c>
    </row>
    <row r="1526">
      <c r="A1526" s="2" t="n">
        <v>46038</v>
      </c>
      <c r="B1526" s="3" t="n">
        <v>1869.624004092167</v>
      </c>
      <c r="C1526" s="4" t="n">
        <v>1.00043127</v>
      </c>
      <c r="D1526" s="5" t="n">
        <v>0.869624</v>
      </c>
      <c r="E1526" s="5" t="n">
        <v>0.00043127</v>
      </c>
    </row>
    <row r="1527">
      <c r="A1527" s="2" t="n">
        <v>46041</v>
      </c>
      <c r="B1527" s="3" t="n">
        <v>1888.862846411556</v>
      </c>
      <c r="C1527" s="4" t="n">
        <v>1.01029022</v>
      </c>
      <c r="D1527" s="5" t="n">
        <v>0.88886285</v>
      </c>
      <c r="E1527" s="5" t="n">
        <v>0.01029022</v>
      </c>
    </row>
    <row r="1528">
      <c r="A1528" s="2" t="n">
        <v>46042</v>
      </c>
      <c r="B1528" s="3" t="n">
        <v>1872.033871772425</v>
      </c>
      <c r="C1528" s="4" t="n">
        <v>0.99109042</v>
      </c>
      <c r="D1528" s="5" t="n">
        <v>0.87203387</v>
      </c>
      <c r="E1528" s="5" t="n">
        <v>-0.00890958</v>
      </c>
    </row>
    <row r="1529">
      <c r="A1529" s="2" t="n">
        <v>46043</v>
      </c>
      <c r="B1529" s="3" t="n">
        <v>1888.890095321654</v>
      </c>
      <c r="C1529" s="4" t="n">
        <v>1.00900423</v>
      </c>
      <c r="D1529" s="5" t="n">
        <v>0.8888901</v>
      </c>
      <c r="E1529" s="5" t="n">
        <v>0.00900423</v>
      </c>
    </row>
    <row r="1530">
      <c r="A1530" s="2" t="n">
        <v>46044</v>
      </c>
      <c r="B1530" s="3" t="n">
        <v>1905.926013980261</v>
      </c>
      <c r="C1530" s="4" t="n">
        <v>1.00901901</v>
      </c>
      <c r="D1530" s="5" t="n">
        <v>0.9059260099999999</v>
      </c>
      <c r="E1530" s="5" t="n">
        <v>0.009019009999999999</v>
      </c>
    </row>
    <row r="1531">
      <c r="A1531" s="2" t="n">
        <v>46045</v>
      </c>
      <c r="B1531" s="3" t="n">
        <v>1937.821418994579</v>
      </c>
      <c r="C1531" s="4" t="n">
        <v>1.01673486</v>
      </c>
      <c r="D1531" s="5" t="n">
        <v>0.93782142</v>
      </c>
      <c r="E1531" s="5" t="n">
        <v>0.01673486</v>
      </c>
    </row>
    <row r="1532">
      <c r="A1532" s="2" t="n">
        <v>46048</v>
      </c>
      <c r="B1532" s="3" t="n">
        <v>1910.207463773906</v>
      </c>
      <c r="C1532" s="4" t="n">
        <v>0.98575</v>
      </c>
      <c r="D1532" s="5" t="n">
        <v>0.91020746</v>
      </c>
      <c r="E1532" s="5" t="n">
        <v>-0.01425</v>
      </c>
    </row>
    <row r="1533">
      <c r="A1533" s="2" t="n">
        <v>46049</v>
      </c>
      <c r="B1533" s="3" t="n">
        <v>1914.849726360668</v>
      </c>
      <c r="C1533" s="4" t="n">
        <v>1.00243024</v>
      </c>
      <c r="D1533" s="5" t="n">
        <v>0.91484973</v>
      </c>
      <c r="E1533" s="5" t="n">
        <v>0.00243024</v>
      </c>
    </row>
    <row r="1534">
      <c r="A1534" s="2" t="n">
        <v>46050</v>
      </c>
      <c r="B1534" s="3" t="n">
        <v>1902.28279738853</v>
      </c>
      <c r="C1534" s="4" t="n">
        <v>0.99343712</v>
      </c>
      <c r="D1534" s="5" t="n">
        <v>0.9022828000000001</v>
      </c>
      <c r="E1534" s="5" t="n">
        <v>-0.00656288</v>
      </c>
    </row>
    <row r="1535">
      <c r="A1535" s="2" t="n">
        <v>46051</v>
      </c>
      <c r="B1535" s="3" t="n">
        <v>1881.543767920497</v>
      </c>
      <c r="C1535" s="4" t="n">
        <v>0.98909782</v>
      </c>
      <c r="D1535" s="5" t="n">
        <v>0.8815437699999999</v>
      </c>
      <c r="E1535" s="5" t="n">
        <v>-0.01090218</v>
      </c>
    </row>
    <row r="1536">
      <c r="A1536" s="2" t="n">
        <v>46052</v>
      </c>
      <c r="B1536" s="3" t="n">
        <v>1879.520769692104</v>
      </c>
      <c r="C1536" s="4" t="n">
        <v>0.99892482</v>
      </c>
      <c r="D1536" s="5" t="n">
        <v>0.87952077</v>
      </c>
      <c r="E1536" s="5" t="n">
        <v>-0.00107518</v>
      </c>
    </row>
    <row r="1537">
      <c r="A1537" s="2" t="n">
        <v>46055</v>
      </c>
      <c r="B1537" s="3" t="n">
        <v>1838.84367372382</v>
      </c>
      <c r="C1537" s="4" t="n">
        <v>0.97835773</v>
      </c>
      <c r="D1537" s="5" t="n">
        <v>0.83884367</v>
      </c>
      <c r="E1537" s="5" t="n">
        <v>-0.02164227</v>
      </c>
    </row>
    <row r="1538">
      <c r="A1538" s="2" t="n">
        <v>46056</v>
      </c>
      <c r="B1538" s="3" t="n">
        <v>1885.598186525668</v>
      </c>
      <c r="C1538" s="4" t="n">
        <v>1.02542604</v>
      </c>
      <c r="D1538" s="5" t="n">
        <v>0.88559819</v>
      </c>
      <c r="E1538" s="5" t="n">
        <v>0.02542604</v>
      </c>
    </row>
    <row r="1539">
      <c r="A1539" s="2" t="n">
        <v>46057</v>
      </c>
      <c r="B1539" s="3" t="n">
        <v>1887.493948086419</v>
      </c>
      <c r="C1539" s="4" t="n">
        <v>1.00100539</v>
      </c>
      <c r="D1539" s="5" t="n">
        <v>0.88749395</v>
      </c>
      <c r="E1539" s="5" t="n">
        <v>0.00100539</v>
      </c>
    </row>
    <row r="1540">
      <c r="A1540" s="2" t="n">
        <v>46058</v>
      </c>
      <c r="B1540" s="3" t="n">
        <v>1866.714961335544</v>
      </c>
      <c r="C1540" s="4" t="n">
        <v>0.98899123</v>
      </c>
      <c r="D1540" s="5" t="n">
        <v>0.86671496</v>
      </c>
      <c r="E1540" s="5" t="n">
        <v>-0.01100877</v>
      </c>
    </row>
    <row r="1541">
      <c r="A1541" s="2" t="n">
        <v>46059</v>
      </c>
      <c r="B1541" s="3" t="n">
        <v>1873.892293690383</v>
      </c>
      <c r="C1541" s="4" t="n">
        <v>1.0038449</v>
      </c>
      <c r="D1541" s="5" t="n">
        <v>0.87389229</v>
      </c>
      <c r="E1541" s="5" t="n">
        <v>0.0038449</v>
      </c>
    </row>
    <row r="1542">
      <c r="A1542" s="2" t="n">
        <v>46062</v>
      </c>
      <c r="B1542" s="3" t="n">
        <v>1909.611416690871</v>
      </c>
      <c r="C1542" s="4" t="n">
        <v>1.01906146</v>
      </c>
      <c r="D1542" s="5" t="n">
        <v>0.9096114199999999</v>
      </c>
      <c r="E1542" s="5" t="n">
        <v>0.01906146</v>
      </c>
    </row>
    <row r="1543">
      <c r="A1543" s="2" t="n">
        <v>46063</v>
      </c>
      <c r="B1543" s="3" t="n">
        <v>1907.86958373325</v>
      </c>
      <c r="C1543" s="4" t="n">
        <v>0.99908786</v>
      </c>
      <c r="D1543" s="5" t="n">
        <v>0.90786958</v>
      </c>
      <c r="E1543" s="5" t="n">
        <v>-0.00091214</v>
      </c>
    </row>
    <row r="1544">
      <c r="A1544" s="2" t="n">
        <v>46064</v>
      </c>
      <c r="B1544" s="3" t="n">
        <v>1900.454362415634</v>
      </c>
      <c r="C1544" s="4" t="n">
        <v>0.99611335</v>
      </c>
      <c r="D1544" s="5" t="n">
        <v>0.90045436</v>
      </c>
      <c r="E1544" s="5" t="n">
        <v>-0.00388665</v>
      </c>
    </row>
    <row r="1545">
      <c r="A1545" s="2" t="n">
        <v>46065</v>
      </c>
      <c r="B1545" s="3" t="n">
        <v>1905.025240225398</v>
      </c>
      <c r="C1545" s="4" t="n">
        <v>1.00240515</v>
      </c>
      <c r="D1545" s="5" t="n">
        <v>0.90502524</v>
      </c>
      <c r="E1545" s="5" t="n">
        <v>0.00240515</v>
      </c>
    </row>
    <row r="1546">
      <c r="A1546" s="2" t="n">
        <v>46066</v>
      </c>
      <c r="B1546" s="3" t="n">
        <v>1893.762731005185</v>
      </c>
      <c r="C1546" s="4" t="n">
        <v>0.994088</v>
      </c>
      <c r="D1546" s="5" t="n">
        <v>0.8937627299999999</v>
      </c>
      <c r="E1546" s="5" t="n">
        <v>-0.005912</v>
      </c>
    </row>
    <row r="1547">
      <c r="A1547" s="2" t="n">
        <v>46077</v>
      </c>
      <c r="B1547" s="3" t="n">
        <v>1915.014877249817</v>
      </c>
      <c r="C1547" s="4" t="n">
        <v>1.01122218</v>
      </c>
      <c r="D1547" s="5" t="n">
        <v>0.91501488</v>
      </c>
      <c r="E1547" s="5" t="n">
        <v>0.01122218</v>
      </c>
    </row>
    <row r="1548">
      <c r="A1548" s="2" t="n">
        <v>46078</v>
      </c>
      <c r="B1548" s="3" t="n">
        <v>1932.956996337448</v>
      </c>
      <c r="C1548" s="4" t="n">
        <v>1.00936918</v>
      </c>
      <c r="D1548" s="5" t="n">
        <v>0.932957</v>
      </c>
      <c r="E1548" s="5" t="n">
        <v>0.00936918</v>
      </c>
    </row>
    <row r="1549">
      <c r="A1549" s="2" t="n">
        <v>46079</v>
      </c>
      <c r="B1549" s="3" t="n">
        <v>1946.622673698865</v>
      </c>
      <c r="C1549" s="4" t="n">
        <v>1.00706983</v>
      </c>
      <c r="D1549" s="5" t="n">
        <v>0.94662267</v>
      </c>
      <c r="E1549" s="5" t="n">
        <v>0.00706983</v>
      </c>
    </row>
    <row r="1550">
      <c r="A1550" s="2" t="n">
        <v>46080</v>
      </c>
      <c r="B1550" s="3" t="n">
        <v>1960.698994245782</v>
      </c>
      <c r="C1550" s="4" t="n">
        <v>1.00723115</v>
      </c>
      <c r="D1550" s="5" t="n">
        <v>0.96069899</v>
      </c>
      <c r="E1550" s="5" t="n">
        <v>0.00723115</v>
      </c>
    </row>
    <row r="1551">
      <c r="A1551" s="2" t="n">
        <v>46083</v>
      </c>
      <c r="B1551" s="3" t="n">
        <v>1931.303547893381</v>
      </c>
      <c r="C1551" s="4" t="n">
        <v>0.98500767</v>
      </c>
      <c r="D1551" s="5" t="n">
        <v>0.93130355</v>
      </c>
      <c r="E1551" s="5" t="n">
        <v>-0.01499233</v>
      </c>
    </row>
    <row r="1552">
      <c r="A1552" s="2" t="n">
        <v>46084</v>
      </c>
      <c r="B1552" s="3" t="n">
        <v>1859.021963292788</v>
      </c>
      <c r="C1552" s="4" t="n">
        <v>0.96257368</v>
      </c>
      <c r="D1552" s="5" t="n">
        <v>0.85902196</v>
      </c>
      <c r="E1552" s="5" t="n">
        <v>-0.03742632</v>
      </c>
    </row>
    <row r="1553">
      <c r="A1553" s="2" t="n">
        <v>46085</v>
      </c>
      <c r="B1553" s="3" t="n">
        <v>1857.974850581744</v>
      </c>
      <c r="C1553" s="4" t="n">
        <v>0.99943674</v>
      </c>
      <c r="D1553" s="5" t="n">
        <v>0.85797485</v>
      </c>
      <c r="E1553" s="5" t="n">
        <v>-0.00056326</v>
      </c>
    </row>
    <row r="1554">
      <c r="A1554" s="2" t="n">
        <v>46086</v>
      </c>
      <c r="B1554" s="3" t="n">
        <v>1885.232772280413</v>
      </c>
      <c r="C1554" s="4" t="n">
        <v>1.01467077</v>
      </c>
      <c r="D1554" s="5" t="n">
        <v>0.88523277</v>
      </c>
      <c r="E1554" s="5" t="n">
        <v>0.01467077</v>
      </c>
    </row>
    <row r="1555">
      <c r="A1555" s="2" t="n">
        <v>46087</v>
      </c>
      <c r="B1555" s="3" t="n">
        <v>1908.01822343137</v>
      </c>
      <c r="C1555" s="4" t="n">
        <v>1.01208628</v>
      </c>
      <c r="D1555" s="5" t="n">
        <v>0.90801822</v>
      </c>
      <c r="E1555" s="5" t="n">
        <v>0.01208628</v>
      </c>
    </row>
    <row r="1556">
      <c r="A1556" s="2" t="n">
        <v>46090</v>
      </c>
      <c r="B1556" s="3" t="n">
        <v>1893.611083109156</v>
      </c>
      <c r="C1556" s="4" t="n">
        <v>0.9924491600000001</v>
      </c>
      <c r="D1556" s="5" t="n">
        <v>0.89361108</v>
      </c>
      <c r="E1556" s="5" t="n">
        <v>-0.00755084</v>
      </c>
    </row>
    <row r="1557">
      <c r="A1557" s="2" t="n">
        <v>46091</v>
      </c>
      <c r="B1557" s="3" t="n">
        <v>1930.860268852774</v>
      </c>
      <c r="C1557" s="4" t="n">
        <v>1.01967098</v>
      </c>
      <c r="D1557" s="5" t="n">
        <v>0.93086027</v>
      </c>
      <c r="E1557" s="5" t="n">
        <v>0.01967098</v>
      </c>
    </row>
    <row r="1558">
      <c r="A1558" s="2" t="n">
        <v>46092</v>
      </c>
      <c r="B1558" s="3" t="n">
        <v>1926.106568105269</v>
      </c>
      <c r="C1558" s="4" t="n">
        <v>0.99753804</v>
      </c>
      <c r="D1558" s="5" t="n">
        <v>0.92610657</v>
      </c>
      <c r="E1558" s="5" t="n">
        <v>-0.00246196</v>
      </c>
    </row>
    <row r="1559">
      <c r="A1559" s="2" t="n">
        <v>46093</v>
      </c>
      <c r="B1559" s="3" t="n">
        <v>1906.03293584633</v>
      </c>
      <c r="C1559" s="4" t="n">
        <v>0.9895781299999999</v>
      </c>
      <c r="D1559" s="5" t="n">
        <v>0.90603294</v>
      </c>
      <c r="E1559" s="5" t="n">
        <v>-0.01042187</v>
      </c>
    </row>
    <row r="1560">
      <c r="A1560" s="2" t="n">
        <v>46094</v>
      </c>
      <c r="B1560" s="3" t="n">
        <v>1883.359015825783</v>
      </c>
      <c r="C1560" s="4" t="n">
        <v>0.98810413</v>
      </c>
      <c r="D1560" s="5" t="n">
        <v>0.88335902</v>
      </c>
      <c r="E1560" s="5" t="n">
        <v>-0.01189587</v>
      </c>
    </row>
    <row r="1561">
      <c r="A1561" s="2" t="n">
        <v>46097</v>
      </c>
      <c r="B1561" s="3" t="n">
        <v>1888.498156405857</v>
      </c>
      <c r="C1561" s="4" t="n">
        <v>1.00272871</v>
      </c>
      <c r="D1561" s="5" t="n">
        <v>0.88849816</v>
      </c>
      <c r="E1561" s="5" t="n">
        <v>0.00272871</v>
      </c>
    </row>
    <row r="1562">
      <c r="A1562" s="2" t="n">
        <v>46098</v>
      </c>
      <c r="B1562" s="3" t="n">
        <v>1846.051724178014</v>
      </c>
      <c r="C1562" s="4" t="n">
        <v>0.97752371</v>
      </c>
      <c r="D1562" s="5" t="n">
        <v>0.84605172</v>
      </c>
      <c r="E1562" s="5" t="n">
        <v>-0.02247629</v>
      </c>
    </row>
    <row r="1563">
      <c r="A1563" s="2" t="n">
        <v>46099</v>
      </c>
      <c r="B1563" s="3" t="n">
        <v>1872.116146932201</v>
      </c>
      <c r="C1563" s="4" t="n">
        <v>1.01411901</v>
      </c>
      <c r="D1563" s="5" t="n">
        <v>0.87211615</v>
      </c>
      <c r="E1563" s="5" t="n">
        <v>0.01411901</v>
      </c>
    </row>
    <row r="1564">
      <c r="A1564" s="2" t="n">
        <v>46100</v>
      </c>
      <c r="B1564" s="3" t="n">
        <v>1829.104446946887</v>
      </c>
      <c r="C1564" s="4" t="n">
        <v>0.97702509</v>
      </c>
      <c r="D1564" s="5" t="n">
        <v>0.82910445</v>
      </c>
      <c r="E1564" s="5" t="n">
        <v>-0.02297491</v>
      </c>
    </row>
    <row r="1565">
      <c r="A1565" s="2" t="n">
        <v>46101</v>
      </c>
      <c r="B1565" s="3" t="n">
        <v>1786.580493920997</v>
      </c>
      <c r="C1565" s="4" t="n">
        <v>0.9767514900000001</v>
      </c>
      <c r="D1565" s="5" t="n">
        <v>0.78658049</v>
      </c>
      <c r="E1565" s="5" t="n">
        <v>-0.02324851</v>
      </c>
    </row>
    <row r="1566">
      <c r="A1566" s="2" t="n">
        <v>46104</v>
      </c>
      <c r="B1566" s="3" t="n">
        <v>1699.919155486861</v>
      </c>
      <c r="C1566" s="4" t="n">
        <v>0.95149318</v>
      </c>
      <c r="D1566" s="5" t="n">
        <v>0.69991916</v>
      </c>
      <c r="E1566" s="5" t="n">
        <v>-0.04850682</v>
      </c>
    </row>
    <row r="1567">
      <c r="A1567" s="2" t="n">
        <v>46105</v>
      </c>
      <c r="B1567" s="3" t="n">
        <v>1757.181561209523</v>
      </c>
      <c r="C1567" s="4" t="n">
        <v>1.03368537</v>
      </c>
      <c r="D1567" s="5" t="n">
        <v>0.75718156</v>
      </c>
      <c r="E1567" s="5" t="n">
        <v>0.03368537</v>
      </c>
    </row>
    <row r="1568">
      <c r="A1568" s="2" t="n">
        <v>46106</v>
      </c>
      <c r="B1568" s="3" t="n">
        <v>1793.310654996871</v>
      </c>
      <c r="C1568" s="4" t="n">
        <v>1.02056082</v>
      </c>
      <c r="D1568" s="5" t="n">
        <v>0.79331065</v>
      </c>
      <c r="E1568" s="5" t="n">
        <v>0.02056082</v>
      </c>
    </row>
    <row r="1569">
      <c r="A1569" s="2" t="n">
        <v>46107</v>
      </c>
      <c r="B1569" s="3" t="n">
        <v>1767.828607244693</v>
      </c>
      <c r="C1569" s="4" t="n">
        <v>0.9857905</v>
      </c>
      <c r="D1569" s="5" t="n">
        <v>0.76782861</v>
      </c>
      <c r="E1569" s="5" t="n">
        <v>-0.0142095</v>
      </c>
    </row>
    <row r="1570">
      <c r="A1570" s="2" t="n">
        <v>46108</v>
      </c>
      <c r="B1570" s="3" t="n">
        <v>1792.746505029529</v>
      </c>
      <c r="C1570" s="4" t="n">
        <v>1.0140952</v>
      </c>
      <c r="D1570" s="5" t="n">
        <v>0.79274651</v>
      </c>
      <c r="E1570" s="5" t="n">
        <v>0.0140952</v>
      </c>
    </row>
    <row r="1571">
      <c r="A1571" s="2" t="n">
        <v>46111</v>
      </c>
      <c r="B1571" s="3" t="n">
        <v>1798.721478146281</v>
      </c>
      <c r="C1571" s="4" t="n">
        <v>1.00333286</v>
      </c>
      <c r="D1571" s="5" t="n">
        <v>0.79872148</v>
      </c>
      <c r="E1571" s="5" t="n">
        <v>0.00333286</v>
      </c>
    </row>
    <row r="1572">
      <c r="A1572" s="2" t="n">
        <v>46112</v>
      </c>
      <c r="B1572" s="3" t="n">
        <v>1771.759308715815</v>
      </c>
      <c r="C1572" s="4" t="n">
        <v>0.98501037</v>
      </c>
      <c r="D1572" s="5" t="n">
        <v>0.77175931</v>
      </c>
      <c r="E1572" s="5" t="n">
        <v>-0.01498963</v>
      </c>
    </row>
    <row r="1573">
      <c r="A1573" s="2" t="n">
        <v>46113</v>
      </c>
      <c r="B1573" s="3" t="n">
        <v>1804.604608003023</v>
      </c>
      <c r="C1573" s="4" t="n">
        <v>1.01853824</v>
      </c>
      <c r="D1573" s="5" t="n">
        <v>0.8046046100000001</v>
      </c>
      <c r="E1573" s="5" t="n">
        <v>0.01853824</v>
      </c>
    </row>
    <row r="1574">
      <c r="A1574" s="2" t="n">
        <v>46114</v>
      </c>
      <c r="B1574" s="3" t="n">
        <v>1776.137619969435</v>
      </c>
      <c r="C1574" s="4" t="n">
        <v>0.98422536</v>
      </c>
      <c r="D1574" s="5" t="n">
        <v>0.77613762</v>
      </c>
      <c r="E1574" s="5" t="n">
        <v>-0.01577464</v>
      </c>
    </row>
    <row r="1575">
      <c r="A1575" s="2" t="n">
        <v>46115</v>
      </c>
      <c r="B1575" s="3" t="n">
        <v>1743.183073761641</v>
      </c>
      <c r="C1575" s="4" t="n">
        <v>0.98144595</v>
      </c>
      <c r="D1575" s="5" t="n">
        <v>0.7431830699999999</v>
      </c>
      <c r="E1575" s="5" t="n">
        <v>-0.01855405</v>
      </c>
    </row>
    <row r="1576">
      <c r="A1576" s="2" t="n">
        <v>46119</v>
      </c>
      <c r="B1576" s="3" t="n">
        <v>1764.755679004502</v>
      </c>
      <c r="C1576" s="4" t="n">
        <v>1.01237541</v>
      </c>
      <c r="D1576" s="5" t="n">
        <v>0.76475568</v>
      </c>
      <c r="E1576" s="5" t="n">
        <v>0.01237541</v>
      </c>
    </row>
    <row r="1577">
      <c r="A1577" s="2" t="n">
        <v>46120</v>
      </c>
      <c r="B1577" s="3" t="n">
        <v>1834.796502426694</v>
      </c>
      <c r="C1577" s="4" t="n">
        <v>1.03968868</v>
      </c>
      <c r="D1577" s="5" t="n">
        <v>0.8347965000000001</v>
      </c>
      <c r="E1577" s="5" t="n">
        <v>0.03968868</v>
      </c>
    </row>
    <row r="1578">
      <c r="A1578" s="2" t="n">
        <v>46121</v>
      </c>
      <c r="B1578" s="3" t="n">
        <v>1822.467715764393</v>
      </c>
      <c r="C1578" s="4" t="n">
        <v>0.99328057</v>
      </c>
      <c r="D1578" s="5" t="n">
        <v>0.82246772</v>
      </c>
      <c r="E1578" s="5" t="n">
        <v>-0.00671943</v>
      </c>
    </row>
    <row r="1579">
      <c r="A1579" s="2" t="n">
        <v>46122</v>
      </c>
      <c r="B1579" s="3" t="n">
        <v>1834.046345228928</v>
      </c>
      <c r="C1579" s="4" t="n">
        <v>1.00635327</v>
      </c>
      <c r="D1579" s="5" t="n">
        <v>0.83404635</v>
      </c>
      <c r="E1579" s="5" t="n">
        <v>0.00635327</v>
      </c>
    </row>
    <row r="1580">
      <c r="A1580" s="2" t="n">
        <v>46125</v>
      </c>
      <c r="B1580" s="3" t="n">
        <v>1839.120711295053</v>
      </c>
      <c r="C1580" s="4" t="n">
        <v>1.00276676</v>
      </c>
      <c r="D1580" s="5" t="n">
        <v>0.83912071</v>
      </c>
      <c r="E1580" s="5" t="n">
        <v>0.00276676</v>
      </c>
    </row>
    <row r="1581">
      <c r="A1581" s="2" t="n">
        <v>46126</v>
      </c>
      <c r="B1581" s="3" t="n">
        <v>1860.29809432958</v>
      </c>
      <c r="C1581" s="4" t="n">
        <v>1.01151495</v>
      </c>
      <c r="D1581" s="5" t="n">
        <v>0.86029809</v>
      </c>
      <c r="E1581" s="5" t="n">
        <v>0.01151495</v>
      </c>
    </row>
    <row r="1582">
      <c r="A1582" s="2" t="n">
        <v>46127</v>
      </c>
      <c r="B1582" s="3" t="n">
        <v>1852.430447217118</v>
      </c>
      <c r="C1582" s="4" t="n">
        <v>0.99577076</v>
      </c>
      <c r="D1582" s="5" t="n">
        <v>0.85243045</v>
      </c>
      <c r="E1582" s="5" t="n">
        <v>-0.00422924</v>
      </c>
    </row>
    <row r="1583">
      <c r="A1583" s="2" t="n">
        <v>46128</v>
      </c>
      <c r="B1583" s="3" t="n">
        <v>1883.689599711859</v>
      </c>
      <c r="C1583" s="4" t="n">
        <v>1.01687467</v>
      </c>
      <c r="D1583" s="5" t="n">
        <v>0.8836896</v>
      </c>
      <c r="E1583" s="5" t="n">
        <v>0.01687467</v>
      </c>
    </row>
    <row r="1584">
      <c r="A1584" s="2" t="n">
        <v>46129</v>
      </c>
      <c r="B1584" s="3" t="n">
        <v>1892.331515509833</v>
      </c>
      <c r="C1584" s="4" t="n">
        <v>1.00458776</v>
      </c>
      <c r="D1584" s="5" t="n">
        <v>0.89233152</v>
      </c>
      <c r="E1584" s="5" t="n">
        <v>0.00458776</v>
      </c>
    </row>
    <row r="1585">
      <c r="A1585" s="2" t="n">
        <v>46132</v>
      </c>
      <c r="B1585" s="3" t="n">
        <v>1908.422975475286</v>
      </c>
      <c r="C1585" s="4" t="n">
        <v>1.00850351</v>
      </c>
      <c r="D1585" s="5" t="n">
        <v>0.90842298</v>
      </c>
      <c r="E1585" s="5" t="n">
        <v>0.008503510000000001</v>
      </c>
    </row>
    <row r="1586">
      <c r="A1586" s="2" t="n">
        <v>46133</v>
      </c>
      <c r="B1586" s="3" t="n">
        <v>1905.372056001313</v>
      </c>
      <c r="C1586" s="4" t="n">
        <v>0.99840134</v>
      </c>
      <c r="D1586" s="5" t="n">
        <v>0.90537206</v>
      </c>
      <c r="E1586" s="5" t="n">
        <v>-0.00159866</v>
      </c>
    </row>
    <row r="1587">
      <c r="A1587" s="2" t="n">
        <v>46134</v>
      </c>
      <c r="B1587" s="3" t="n">
        <v>1919.308804636332</v>
      </c>
      <c r="C1587" s="4" t="n">
        <v>1.00731445</v>
      </c>
      <c r="D1587" s="5" t="n">
        <v>0.9193088</v>
      </c>
      <c r="E1587" s="5" t="n">
        <v>0.00731445</v>
      </c>
    </row>
    <row r="1588">
      <c r="A1588" s="2" t="n">
        <v>46135</v>
      </c>
      <c r="B1588" s="3" t="n">
        <v>1891.722886276702</v>
      </c>
      <c r="C1588" s="4" t="n">
        <v>0.9856271599999999</v>
      </c>
      <c r="D1588" s="5" t="n">
        <v>0.89172289</v>
      </c>
      <c r="E1588" s="5" t="n">
        <v>-0.01437284</v>
      </c>
    </row>
    <row r="1589">
      <c r="A1589" s="2" t="n">
        <v>46136</v>
      </c>
      <c r="B1589" s="3" t="n">
        <v>1878.74273510637</v>
      </c>
      <c r="C1589" s="4" t="n">
        <v>0.99313845</v>
      </c>
      <c r="D1589" s="5" t="n">
        <v>0.87874274</v>
      </c>
      <c r="E1589" s="5" t="n">
        <v>-0.00686155</v>
      </c>
    </row>
    <row r="1590">
      <c r="A1590" s="2" t="n">
        <v>46139</v>
      </c>
      <c r="B1590" s="3" t="n">
        <v>1895.713812768561</v>
      </c>
      <c r="C1590" s="4" t="n">
        <v>1.00903321</v>
      </c>
      <c r="D1590" s="5" t="n">
        <v>0.8957138100000001</v>
      </c>
      <c r="E1590" s="5" t="n">
        <v>0.00903321</v>
      </c>
    </row>
    <row r="1591">
      <c r="A1591" s="2" t="n">
        <v>46140</v>
      </c>
      <c r="B1591" s="3" t="n">
        <v>1875.872324147218</v>
      </c>
      <c r="C1591" s="4" t="n">
        <v>0.9895335</v>
      </c>
      <c r="D1591" s="5" t="n">
        <v>0.87587232</v>
      </c>
      <c r="E1591" s="5" t="n">
        <v>-0.0104665</v>
      </c>
    </row>
    <row r="1592">
      <c r="A1592" s="2" t="n">
        <v>46141</v>
      </c>
      <c r="B1592" s="3" t="n">
        <v>1896.083366500768</v>
      </c>
      <c r="C1592" s="4" t="n">
        <v>1.01077421</v>
      </c>
      <c r="D1592" s="5" t="n">
        <v>0.89608337</v>
      </c>
      <c r="E1592" s="5" t="n">
        <v>0.01077421</v>
      </c>
    </row>
    <row r="1593">
      <c r="A1593" s="2" t="n">
        <v>46142</v>
      </c>
      <c r="B1593" s="3" t="n">
        <v>1904.929884742184</v>
      </c>
      <c r="C1593" s="4" t="n">
        <v>1.00466568</v>
      </c>
      <c r="D1593" s="5" t="n">
        <v>0.90492988</v>
      </c>
      <c r="E1593" s="5" t="n">
        <v>0.00466568</v>
      </c>
    </row>
    <row r="1594">
      <c r="A1594" s="2" t="n">
        <v>46148</v>
      </c>
      <c r="B1594" s="3" t="n">
        <v>1939.709504049542</v>
      </c>
      <c r="C1594" s="4" t="n">
        <v>1.01825769</v>
      </c>
      <c r="D1594" s="5" t="n">
        <v>0.9397095</v>
      </c>
      <c r="E1594" s="5" t="n">
        <v>0.01825769</v>
      </c>
    </row>
    <row r="1595">
      <c r="A1595" s="2" t="n">
        <v>46149</v>
      </c>
      <c r="B1595" s="3" t="n">
        <v>1973.422935438196</v>
      </c>
      <c r="C1595" s="4" t="n">
        <v>1.01738066</v>
      </c>
      <c r="D1595" s="5" t="n">
        <v>0.97342294</v>
      </c>
      <c r="E1595" s="5" t="n">
        <v>0.01738066</v>
      </c>
    </row>
    <row r="1596">
      <c r="A1596" s="2" t="n">
        <v>46150</v>
      </c>
      <c r="B1596" s="3" t="n">
        <v>1991.159685831557</v>
      </c>
      <c r="C1596" s="4" t="n">
        <v>1.00898781</v>
      </c>
      <c r="D1596" s="5" t="n">
        <v>0.99115969</v>
      </c>
      <c r="E1596" s="5" t="n">
        <v>0.008987810000000001</v>
      </c>
    </row>
    <row r="1597">
      <c r="A1597" s="2" t="n">
        <v>46153</v>
      </c>
      <c r="B1597" s="3" t="n">
        <v>2011.627851645256</v>
      </c>
      <c r="C1597" s="4" t="n">
        <v>1.01027952</v>
      </c>
      <c r="D1597" s="5" t="n">
        <v>1.01162785</v>
      </c>
      <c r="E1597" s="5" t="n">
        <v>0.01027952</v>
      </c>
    </row>
    <row r="1598">
      <c r="A1598" s="2" t="n">
        <v>46154</v>
      </c>
      <c r="B1598" s="3" t="n">
        <v>1995.791271150621</v>
      </c>
      <c r="C1598" s="4" t="n">
        <v>0.99212748</v>
      </c>
      <c r="D1598" s="5" t="n">
        <v>0.99579127</v>
      </c>
      <c r="E1598" s="5" t="n">
        <v>-0.007872519999999999</v>
      </c>
    </row>
    <row r="1599">
      <c r="A1599" s="2" t="n">
        <v>46155</v>
      </c>
      <c r="B1599" s="3" t="n">
        <v>2022.22588577944</v>
      </c>
      <c r="C1599" s="4" t="n">
        <v>1.01324518</v>
      </c>
      <c r="D1599" s="5" t="n">
        <v>1.02222589</v>
      </c>
      <c r="E1599" s="5" t="n">
        <v>0.01324518</v>
      </c>
    </row>
    <row r="1600">
      <c r="A1600" s="2" t="n">
        <v>46156</v>
      </c>
      <c r="B1600" s="3" t="n">
        <v>1986.364318366534</v>
      </c>
      <c r="C1600" s="4" t="n">
        <v>0.98226629</v>
      </c>
      <c r="D1600" s="5" t="n">
        <v>0.98636432</v>
      </c>
      <c r="E1600" s="5" t="n">
        <v>-0.01773371</v>
      </c>
    </row>
    <row r="1601">
      <c r="A1601" s="2" t="n">
        <v>46157</v>
      </c>
      <c r="B1601" s="3" t="n">
        <v>1978.832302962293</v>
      </c>
      <c r="C1601" s="4" t="n">
        <v>0.99620814</v>
      </c>
      <c r="D1601" s="5" t="n">
        <v>0.9788323</v>
      </c>
      <c r="E1601" s="5" t="n">
        <v>-0.00379186</v>
      </c>
    </row>
    <row r="1602">
      <c r="A1602" s="2" t="n">
        <v>46160</v>
      </c>
      <c r="B1602" s="3" t="n">
        <v>1984.147862082834</v>
      </c>
      <c r="C1602" s="4" t="n">
        <v>1.00268621</v>
      </c>
      <c r="D1602" s="5" t="n">
        <v>0.98414786</v>
      </c>
      <c r="E1602" s="5" t="n">
        <v>0.00268621</v>
      </c>
    </row>
    <row r="1603">
      <c r="A1603" s="2" t="n">
        <v>46161</v>
      </c>
      <c r="B1603" s="3" t="n">
        <v>2003.631162331599</v>
      </c>
      <c r="C1603" s="4" t="n">
        <v>1.00981948</v>
      </c>
      <c r="D1603" s="5" t="n">
        <v>1.00363116</v>
      </c>
      <c r="E1603" s="5" t="n">
        <v>0.00981948</v>
      </c>
    </row>
    <row r="1604">
      <c r="A1604" s="2" t="n">
        <v>46162</v>
      </c>
      <c r="B1604" s="3" t="n">
        <v>1996.833863649701</v>
      </c>
      <c r="C1604" s="4" t="n">
        <v>0.99660751</v>
      </c>
      <c r="D1604" s="5" t="n">
        <v>0.99683386</v>
      </c>
      <c r="E1604" s="5" t="n">
        <v>-0.00339249</v>
      </c>
    </row>
    <row r="1605">
      <c r="A1605" s="2" t="n">
        <v>46163</v>
      </c>
      <c r="B1605" s="3" t="n">
        <v>1933.639682968344</v>
      </c>
      <c r="C1605" s="4" t="n">
        <v>0.96835281</v>
      </c>
      <c r="D1605" s="5" t="n">
        <v>0.93363968</v>
      </c>
      <c r="E1605" s="5" t="n">
        <v>-0.03164719</v>
      </c>
    </row>
    <row r="1606">
      <c r="A1606" s="2" t="n">
        <v>46164</v>
      </c>
      <c r="B1606" s="3" t="n">
        <v>1979.440104535895</v>
      </c>
      <c r="C1606" s="4" t="n">
        <v>1.02368612</v>
      </c>
      <c r="D1606" s="5" t="n">
        <v>0.9794401</v>
      </c>
      <c r="E1606" s="5" t="n">
        <v>0.02368612</v>
      </c>
    </row>
    <row r="1607">
      <c r="A1607" s="2" t="n">
        <v>46167</v>
      </c>
      <c r="B1607" s="3" t="n">
        <v>1984.442961250499</v>
      </c>
      <c r="C1607" s="4" t="n">
        <v>1.00252741</v>
      </c>
      <c r="D1607" s="5" t="n">
        <v>0.98444296</v>
      </c>
      <c r="E1607" s="5" t="n">
        <v>0.00252741</v>
      </c>
    </row>
    <row r="1608">
      <c r="A1608" s="2" t="n">
        <v>46168</v>
      </c>
      <c r="B1608" s="3" t="n">
        <v>1952.578304199819</v>
      </c>
      <c r="C1608" s="4" t="n">
        <v>0.98394277</v>
      </c>
      <c r="D1608" s="5" t="n">
        <v>0.9525783</v>
      </c>
      <c r="E1608" s="5" t="n">
        <v>-0.01605723</v>
      </c>
    </row>
    <row r="1609">
      <c r="A1609" s="2" t="n">
        <v>46169</v>
      </c>
      <c r="B1609" s="3" t="n">
        <v>1916.129817882066</v>
      </c>
      <c r="C1609" s="4" t="n">
        <v>0.98133315</v>
      </c>
      <c r="D1609" s="5" t="n">
        <v>0.91612982</v>
      </c>
      <c r="E1609" s="5" t="n">
        <v>-0.01866685</v>
      </c>
    </row>
    <row r="1610">
      <c r="A1610" s="2" t="n">
        <v>46170</v>
      </c>
      <c r="B1610" s="3" t="n">
        <v>1943.263710684535</v>
      </c>
      <c r="C1610" s="4" t="n">
        <v>1.01416078</v>
      </c>
      <c r="D1610" s="5" t="n">
        <v>0.94326371</v>
      </c>
      <c r="E1610" s="5" t="n">
        <v>0.01416078</v>
      </c>
    </row>
    <row r="1611">
      <c r="A1611" s="2" t="n">
        <v>46171</v>
      </c>
      <c r="B1611" s="3" t="n">
        <v>1885.307755479168</v>
      </c>
      <c r="C1611" s="4" t="n">
        <v>0.97017597</v>
      </c>
      <c r="D1611" s="5" t="n">
        <v>0.88530776</v>
      </c>
      <c r="E1611" s="5" t="n">
        <v>-0.02982403</v>
      </c>
    </row>
    <row r="1612">
      <c r="A1612" s="2" t="n">
        <v>46174</v>
      </c>
      <c r="B1612" s="3" t="n">
        <v>1884.47673067363</v>
      </c>
      <c r="C1612" s="4" t="n">
        <v>0.99955921</v>
      </c>
      <c r="D1612" s="5" t="n">
        <v>0.88447673</v>
      </c>
      <c r="E1612" s="5" t="n">
        <v>-0.00044079</v>
      </c>
    </row>
    <row r="1613">
      <c r="A1613" s="2" t="n">
        <v>46175</v>
      </c>
      <c r="B1613" s="3" t="n">
        <v>1880.311924030237</v>
      </c>
      <c r="C1613" s="4" t="n">
        <v>0.99778994</v>
      </c>
      <c r="D1613" s="5" t="n">
        <v>0.88031192</v>
      </c>
      <c r="E1613" s="5" t="n">
        <v>-0.00221006</v>
      </c>
    </row>
    <row r="1614">
      <c r="A1614" s="2" t="n">
        <v>46176</v>
      </c>
      <c r="B1614" s="3" t="n">
        <v>1883.580827507044</v>
      </c>
      <c r="C1614" s="4" t="n">
        <v>1.00173849</v>
      </c>
      <c r="D1614" s="5" t="n">
        <v>0.88358083</v>
      </c>
      <c r="E1614" s="5" t="n">
        <v>0.00173849</v>
      </c>
    </row>
    <row r="1615">
      <c r="A1615" s="2" t="n">
        <v>46177</v>
      </c>
      <c r="B1615" s="3" t="n">
        <v>1881.262271359041</v>
      </c>
      <c r="C1615" s="4" t="n">
        <v>0.99876907</v>
      </c>
      <c r="D1615" s="5" t="n">
        <v>0.88126227</v>
      </c>
      <c r="E1615" s="5" t="n">
        <v>-0.00123093</v>
      </c>
    </row>
    <row r="1616">
      <c r="A1616" s="2" t="n">
        <v>46178</v>
      </c>
      <c r="B1616" s="3" t="n">
        <v>1883.340821604798</v>
      </c>
      <c r="C1616" s="4" t="n">
        <v>1.00110487</v>
      </c>
      <c r="D1616" s="5" t="n">
        <v>0.88334082</v>
      </c>
      <c r="E1616" s="5" t="n">
        <v>0.00110487</v>
      </c>
    </row>
    <row r="1617">
      <c r="A1617" s="2" t="n">
        <v>46181</v>
      </c>
      <c r="B1617" s="3" t="n">
        <v>1828.631107909162</v>
      </c>
      <c r="C1617" s="4" t="n">
        <v>0.97095071</v>
      </c>
      <c r="D1617" s="5" t="n">
        <v>0.82863111</v>
      </c>
      <c r="E1617" s="5" t="n">
        <v>-0.02904929</v>
      </c>
    </row>
    <row r="1618">
      <c r="A1618" s="2" t="n">
        <v>46182</v>
      </c>
      <c r="B1618" s="3" t="n">
        <v>1865.259302166714</v>
      </c>
      <c r="C1618" s="4" t="n">
        <v>1.02003039</v>
      </c>
      <c r="D1618" s="5" t="n">
        <v>0.8652593</v>
      </c>
      <c r="E1618" s="5" t="n">
        <v>0.02003039</v>
      </c>
    </row>
    <row r="1619">
      <c r="A1619" s="2" t="n">
        <v>46183</v>
      </c>
      <c r="B1619" s="3" t="n">
        <v>1835.124545932769</v>
      </c>
      <c r="C1619" s="4" t="n">
        <v>0.9838441999999999</v>
      </c>
      <c r="D1619" s="5" t="n">
        <v>0.83512455</v>
      </c>
      <c r="E1619" s="5" t="n">
        <v>-0.0161558</v>
      </c>
    </row>
    <row r="1620">
      <c r="A1620" s="2" t="n">
        <v>46184</v>
      </c>
      <c r="B1620" s="3" t="n">
        <v>1824.689568983459</v>
      </c>
      <c r="C1620" s="4" t="n">
        <v>0.99431375</v>
      </c>
      <c r="D1620" s="5" t="n">
        <v>0.82468957</v>
      </c>
      <c r="E1620" s="5" t="n">
        <v>-0.00568625</v>
      </c>
    </row>
    <row r="1621">
      <c r="A1621" s="2" t="n">
        <v>46185</v>
      </c>
      <c r="B1621" s="3" t="n">
        <v>1832.857372160413</v>
      </c>
      <c r="C1621" s="4" t="n">
        <v>1.00447627</v>
      </c>
      <c r="D1621" s="5" t="n">
        <v>0.83285737</v>
      </c>
      <c r="E1621" s="5" t="n">
        <v>0.00447627</v>
      </c>
    </row>
    <row r="1622">
      <c r="A1622" s="2" t="n">
        <v>46188</v>
      </c>
      <c r="B1622" s="3" t="n">
        <v>1890.074212275782</v>
      </c>
      <c r="C1622" s="4" t="n">
        <v>1.03121729</v>
      </c>
      <c r="D1622" s="5" t="n">
        <v>0.89007421</v>
      </c>
      <c r="E1622" s="5" t="n">
        <v>0.03121729</v>
      </c>
    </row>
    <row r="1623">
      <c r="A1623" s="2" t="n">
        <v>46189</v>
      </c>
      <c r="B1623" s="3" t="n">
        <v>1918.341236058215</v>
      </c>
      <c r="C1623" s="4" t="n">
        <v>1.01495551</v>
      </c>
      <c r="D1623" s="5" t="n">
        <v>0.9183412399999999</v>
      </c>
      <c r="E1623" s="5" t="n">
        <v>0.01495551</v>
      </c>
    </row>
    <row r="1624">
      <c r="A1624" s="2" t="n">
        <v>46190</v>
      </c>
      <c r="B1624" s="3" t="n">
        <v>1923.262260914013</v>
      </c>
      <c r="C1624" s="4" t="n">
        <v>1.00256525</v>
      </c>
      <c r="D1624" s="5" t="n">
        <v>0.92326226</v>
      </c>
      <c r="E1624" s="5" t="n">
        <v>0.00256525</v>
      </c>
    </row>
    <row r="1625">
      <c r="A1625" s="2" t="n">
        <v>46191</v>
      </c>
      <c r="B1625" s="3" t="n">
        <v>1929.99056314235</v>
      </c>
      <c r="C1625" s="4" t="n">
        <v>1.00349838</v>
      </c>
      <c r="D1625" s="5" t="n">
        <v>0.92999056</v>
      </c>
      <c r="E1625" s="5" t="n">
        <v>0.00349838</v>
      </c>
    </row>
    <row r="1626">
      <c r="A1626" s="2" t="n">
        <v>46195</v>
      </c>
      <c r="B1626" s="3" t="n">
        <v>1943.316144385755</v>
      </c>
      <c r="C1626" s="4" t="n">
        <v>1.00690448</v>
      </c>
      <c r="D1626" s="5" t="n">
        <v>0.94331614</v>
      </c>
      <c r="E1626" s="5" t="n">
        <v>0.00690448</v>
      </c>
    </row>
    <row r="1627">
      <c r="A1627" s="2" t="n">
        <v>46196</v>
      </c>
      <c r="B1627" s="3" t="n">
        <v>1934.685449858986</v>
      </c>
      <c r="C1627" s="4" t="n">
        <v>0.99555878</v>
      </c>
      <c r="D1627" s="5" t="n">
        <v>0.93468545</v>
      </c>
      <c r="E1627" s="5" t="n">
        <v>-0.00444122</v>
      </c>
    </row>
    <row r="1628">
      <c r="A1628" s="2" t="n">
        <v>46197</v>
      </c>
      <c r="B1628" s="3" t="n">
        <v>1933.722924500826</v>
      </c>
      <c r="C1628" s="4" t="n">
        <v>0.99950249</v>
      </c>
      <c r="D1628" s="5" t="n">
        <v>0.93372292</v>
      </c>
      <c r="E1628" s="5" t="n">
        <v>-0.0004975100000000001</v>
      </c>
    </row>
    <row r="1629">
      <c r="A1629" s="2" t="n">
        <v>46198</v>
      </c>
      <c r="B1629" s="3" t="n">
        <v>1918.489519395111</v>
      </c>
      <c r="C1629" s="4" t="n">
        <v>0.99212224</v>
      </c>
      <c r="D1629" s="5" t="n">
        <v>0.9184895199999999</v>
      </c>
      <c r="E1629" s="5" t="n">
        <v>-0.007877759999999999</v>
      </c>
    </row>
    <row r="1630">
      <c r="A1630" s="2" t="n">
        <v>46199</v>
      </c>
      <c r="B1630" s="3" t="n">
        <v>1874.047287610629</v>
      </c>
      <c r="C1630" s="4" t="n">
        <v>0.97683478</v>
      </c>
      <c r="D1630" s="5" t="n">
        <v>0.87404729</v>
      </c>
      <c r="E1630" s="5" t="n">
        <v>-0.02316522</v>
      </c>
    </row>
    <row r="1631">
      <c r="A1631" s="2" t="n">
        <v>46202</v>
      </c>
      <c r="B1631" s="3" t="n">
        <v>1858.457537996345</v>
      </c>
      <c r="C1631" s="4" t="n">
        <v>0.99168124</v>
      </c>
      <c r="D1631" s="5" t="n">
        <v>0.85845754</v>
      </c>
      <c r="E1631" s="5" t="n">
        <v>-0.00831876</v>
      </c>
    </row>
    <row r="1632">
      <c r="A1632" s="2" t="n">
        <v>46203</v>
      </c>
      <c r="B1632" s="3" t="n">
        <v>1897.408299075072</v>
      </c>
      <c r="C1632" s="4" t="n">
        <v>1.02095865</v>
      </c>
      <c r="D1632" s="5" t="n">
        <v>0.8974083</v>
      </c>
      <c r="E1632" s="5" t="n">
        <v>0.02095865</v>
      </c>
    </row>
    <row r="1633">
      <c r="A1633" s="2" t="n">
        <v>46204</v>
      </c>
      <c r="B1633" s="3" t="n">
        <v>1922.161432366814</v>
      </c>
      <c r="C1633" s="4" t="n">
        <v>1.01304576</v>
      </c>
      <c r="D1633" s="5" t="n">
        <v>0.9221614299999999</v>
      </c>
      <c r="E1633" s="5" t="n">
        <v>0.01304576</v>
      </c>
    </row>
    <row r="1634">
      <c r="A1634" s="2" t="n">
        <v>46205</v>
      </c>
      <c r="B1634" s="3" t="n">
        <v>1891.100553024697</v>
      </c>
      <c r="C1634" s="4" t="n">
        <v>0.98384065</v>
      </c>
      <c r="D1634" s="5" t="n">
        <v>0.89110055</v>
      </c>
      <c r="E1634" s="5" t="n">
        <v>-0.01615935</v>
      </c>
    </row>
    <row r="1635">
      <c r="A1635" s="2" t="n">
        <v>46206</v>
      </c>
      <c r="B1635" s="3" t="n">
        <v>1894.035976036119</v>
      </c>
      <c r="C1635" s="4" t="n">
        <v>1.00155223</v>
      </c>
      <c r="D1635" s="5" t="n">
        <v>0.89403598</v>
      </c>
      <c r="E1635" s="5" t="n">
        <v>0.00155223</v>
      </c>
    </row>
    <row r="1636">
      <c r="A1636" s="2" t="n">
        <v>46209</v>
      </c>
      <c r="B1636" s="3" t="n">
        <v>1857.829982065767</v>
      </c>
      <c r="C1636" s="4" t="n">
        <v>0.98088421</v>
      </c>
      <c r="D1636" s="5" t="n">
        <v>0.85782998</v>
      </c>
      <c r="E1636" s="5" t="n">
        <v>-0.01911579</v>
      </c>
    </row>
    <row r="1637">
      <c r="A1637" s="2" t="n">
        <v>46210</v>
      </c>
      <c r="B1637" s="3" t="n">
        <v>1808.639121510922</v>
      </c>
      <c r="C1637" s="4" t="n">
        <v>0.9735224099999999</v>
      </c>
      <c r="D1637" s="5" t="n">
        <v>0.80863912</v>
      </c>
      <c r="E1637" s="5" t="n">
        <v>-0.02647759</v>
      </c>
    </row>
    <row r="1638">
      <c r="A1638" s="2" t="n">
        <v>46211</v>
      </c>
      <c r="B1638" s="3" t="n">
        <v>1769.536723518072</v>
      </c>
      <c r="C1638" s="4" t="n">
        <v>0.97838021</v>
      </c>
      <c r="D1638" s="5" t="n">
        <v>0.76953672</v>
      </c>
      <c r="E1638" s="5" t="n">
        <v>-0.02161979</v>
      </c>
    </row>
    <row r="1639">
      <c r="A1639" s="2" t="n">
        <v>46212</v>
      </c>
      <c r="B1639" s="3" t="n">
        <v>1791.033267979776</v>
      </c>
      <c r="C1639" s="4" t="n">
        <v>1.01214812</v>
      </c>
      <c r="D1639" s="5" t="n">
        <v>0.79103327</v>
      </c>
      <c r="E1639" s="5" t="n">
        <v>0.01214812</v>
      </c>
    </row>
    <row r="1640">
      <c r="A1640" s="2" t="n">
        <v>46213</v>
      </c>
      <c r="B1640" s="3" t="n">
        <v>1789.031680840813</v>
      </c>
      <c r="C1640" s="4" t="n">
        <v>0.99888244</v>
      </c>
      <c r="D1640" s="5" t="n">
        <v>0.78903168</v>
      </c>
      <c r="E1640" s="5" t="n">
        <v>-0.00111756</v>
      </c>
    </row>
    <row r="1641">
      <c r="A1641" s="2" t="n">
        <v>46216</v>
      </c>
      <c r="B1641" s="3" t="n">
        <v>1698.023102526936</v>
      </c>
      <c r="C1641" s="4" t="n">
        <v>0.9491297</v>
      </c>
      <c r="D1641" s="5" t="n">
        <v>0.6980231</v>
      </c>
      <c r="E1641" s="5" t="n">
        <v>-0.0508703</v>
      </c>
    </row>
    <row r="1642">
      <c r="A1642" s="2" t="n">
        <v>46217</v>
      </c>
      <c r="B1642" s="3" t="n">
        <v>1725.622090826168</v>
      </c>
      <c r="C1642" s="4" t="n">
        <v>1.0162536</v>
      </c>
      <c r="D1642" s="5" t="n">
        <v>0.72562209</v>
      </c>
      <c r="E1642" s="5" t="n">
        <v>0.0162536</v>
      </c>
    </row>
    <row r="1643">
      <c r="A1643" s="2" t="n">
        <v>46218</v>
      </c>
      <c r="B1643" s="3" t="n">
        <v>1713.275920502701</v>
      </c>
      <c r="C1643" s="4" t="n">
        <v>0.99284538</v>
      </c>
      <c r="D1643" s="5" t="n">
        <v>0.71327592</v>
      </c>
      <c r="E1643" s="5" t="n">
        <v>-0.00715462</v>
      </c>
    </row>
    <row r="1644">
      <c r="A1644" s="2" t="n">
        <v>46219</v>
      </c>
      <c r="B1644" s="3" t="n">
        <v>1684.527938663589</v>
      </c>
      <c r="C1644" s="4" t="n">
        <v>0.98322046</v>
      </c>
      <c r="D1644" s="5" t="n">
        <v>0.6845279399999999</v>
      </c>
      <c r="E1644" s="5" t="n">
        <v>-0.01677954</v>
      </c>
    </row>
    <row r="1645">
      <c r="A1645" s="2" t="n">
        <v>46220</v>
      </c>
      <c r="B1645" s="3" t="n">
        <v>1590.816183896427</v>
      </c>
      <c r="C1645" s="4" t="n">
        <v>0.94436913</v>
      </c>
      <c r="D1645" s="5" t="n">
        <v>0.59081618</v>
      </c>
      <c r="E1645" s="5" t="n">
        <v>-0.05563087</v>
      </c>
    </row>
    <row r="1646">
      <c r="A1646" s="2" t="n">
        <v>46223</v>
      </c>
      <c r="B1646" s="3" t="n">
        <v>1532.627579960615</v>
      </c>
      <c r="C1646" s="4" t="n">
        <v>0.96342217</v>
      </c>
      <c r="D1646" s="5" t="n">
        <v>0.53262758</v>
      </c>
      <c r="E1646" s="5" t="n">
        <v>-0.03657783</v>
      </c>
    </row>
    <row r="1647">
      <c r="A1647" s="2" t="n">
        <v>46224</v>
      </c>
      <c r="B1647" s="3" t="n">
        <v>1566.223711416175</v>
      </c>
      <c r="C1647" s="4" t="n">
        <v>1.02192061</v>
      </c>
      <c r="D1647" s="5" t="n">
        <v>0.56622371</v>
      </c>
      <c r="E1647" s="5" t="n">
        <v>0.02192061</v>
      </c>
    </row>
    <row r="1648">
      <c r="A1648" s="2" t="n">
        <v>46225</v>
      </c>
      <c r="B1648" s="3" t="n">
        <v>1548.532024265709</v>
      </c>
      <c r="C1648" s="4" t="n">
        <v>0.98870424</v>
      </c>
      <c r="D1648" s="5" t="n">
        <v>0.54853202</v>
      </c>
      <c r="E1648" s="5" t="n">
        <v>-0.01129576</v>
      </c>
    </row>
    <row r="1649">
      <c r="A1649" s="2" t="n">
        <v>46226</v>
      </c>
      <c r="B1649" s="3" t="n">
        <v>1571.844027977331</v>
      </c>
      <c r="C1649" s="4" t="n">
        <v>1.01505426</v>
      </c>
      <c r="D1649" s="5" t="n">
        <v>0.5718440299999999</v>
      </c>
      <c r="E1649" s="5" t="n">
        <v>0.01505426</v>
      </c>
    </row>
    <row r="1650">
      <c r="A1650" s="2" t="n">
        <v>46227</v>
      </c>
      <c r="B1650" s="3" t="n">
        <v>1532.80819321205</v>
      </c>
      <c r="C1650" s="4" t="n">
        <v>0.97516558</v>
      </c>
      <c r="D1650" s="5" t="n">
        <v>0.53280819</v>
      </c>
      <c r="E1650" s="5" t="n">
        <v>-0.02483442</v>
      </c>
    </row>
    <row r="1651">
      <c r="A1651" s="2" t="n">
        <v>46230</v>
      </c>
      <c r="B1651" s="3" t="n">
        <v>1581.43762143552</v>
      </c>
      <c r="C1651" s="4" t="n">
        <v>1.03172571</v>
      </c>
      <c r="D1651" s="5" t="n">
        <v>0.58143762</v>
      </c>
      <c r="E1651" s="5" t="n">
        <v>0.03172571</v>
      </c>
    </row>
    <row r="1652">
      <c r="A1652" s="2" t="n">
        <v>46231</v>
      </c>
      <c r="B1652" s="3" t="n">
        <v>1557.310196962822</v>
      </c>
      <c r="C1652" s="4" t="n">
        <v>0.98474336</v>
      </c>
      <c r="D1652" s="5" t="n">
        <v>0.5573102</v>
      </c>
      <c r="E1652" s="5" t="n">
        <v>-0.01525664</v>
      </c>
    </row>
    <row r="1653">
      <c r="A1653" s="2" t="n">
        <v>46232</v>
      </c>
      <c r="B1653" s="3" t="n">
        <v>1563.184900511232</v>
      </c>
      <c r="C1653" s="4" t="n">
        <v>1.00377234</v>
      </c>
      <c r="D1653" s="5" t="n">
        <v>0.5631849</v>
      </c>
      <c r="E1653" s="5" t="n">
        <v>0.00377234</v>
      </c>
    </row>
    <row r="1654">
      <c r="A1654" s="2" t="n">
        <v>46233</v>
      </c>
      <c r="B1654" s="3" t="n">
        <v>1516.750211668264</v>
      </c>
      <c r="C1654" s="4" t="n">
        <v>0.97029482</v>
      </c>
      <c r="D1654" s="5" t="n">
        <v>0.51675021</v>
      </c>
      <c r="E1654" s="5" t="n">
        <v>-0.02970518</v>
      </c>
    </row>
    <row r="1655">
      <c r="A1655" s="2" t="n">
        <v>46234</v>
      </c>
      <c r="B1655" s="3" t="n">
        <v>1560.451728816977</v>
      </c>
      <c r="C1655" s="4" t="n">
        <v>1.0288126</v>
      </c>
      <c r="D1655" s="5" t="n">
        <v>0.56045173</v>
      </c>
      <c r="E1655" s="5" t="n">
        <v>0.0288126</v>
      </c>
    </row>
    <row r="1656">
      <c r="A1656" s="2" t="n">
        <v>46237</v>
      </c>
      <c r="B1656" s="3" t="n">
        <v>1575.44570376173</v>
      </c>
      <c r="C1656" s="4" t="n">
        <v>1.00960874</v>
      </c>
      <c r="D1656" s="5" t="n">
        <v>0.5754456999999999</v>
      </c>
      <c r="E1656" s="5" t="n">
        <v>0.009608739999999999</v>
      </c>
    </row>
    <row r="1657">
      <c r="A1657" s="2" t="n">
        <v>46238</v>
      </c>
      <c r="B1657" s="3" t="n">
        <v>1616.240877729847</v>
      </c>
      <c r="C1657" s="4" t="n">
        <v>1.02589437</v>
      </c>
      <c r="D1657" s="5" t="n">
        <v>0.61624088</v>
      </c>
      <c r="E1657" s="5" t="n">
        <v>0.02589437</v>
      </c>
    </row>
    <row r="1658">
      <c r="A1658" s="2" t="n">
        <v>46239</v>
      </c>
      <c r="B1658" s="3" t="n">
        <v>1655.830277807211</v>
      </c>
      <c r="C1658" s="4" t="n">
        <v>1.02449474</v>
      </c>
      <c r="D1658" s="5" t="n">
        <v>0.65583028</v>
      </c>
      <c r="E1658" s="5" t="n">
        <v>0.02449474</v>
      </c>
    </row>
    <row r="1659">
      <c r="A1659" s="2" t="n">
        <v>46240</v>
      </c>
      <c r="B1659" s="3" t="n">
        <v>1673.803338532945</v>
      </c>
      <c r="C1659" s="4" t="n">
        <v>1.01085441</v>
      </c>
      <c r="D1659" s="5" t="n">
        <v>0.67380334</v>
      </c>
      <c r="E1659" s="5" t="n">
        <v>0.01085441</v>
      </c>
    </row>
    <row r="1660">
      <c r="A1660" s="2" t="n">
        <v>46241</v>
      </c>
      <c r="B1660" s="3" t="n">
        <v>1698.029348747635</v>
      </c>
      <c r="C1660" s="4" t="n">
        <v>1.01447363</v>
      </c>
      <c r="D1660" s="5" t="n">
        <v>0.69802935</v>
      </c>
      <c r="E1660" s="5" t="n">
        <v>0.01447363</v>
      </c>
    </row>
    <row r="1661">
      <c r="A1661" s="2" t="n">
        <v>46244</v>
      </c>
      <c r="B1661" s="3" t="n">
        <v>1715.696138520517</v>
      </c>
      <c r="C1661" s="4" t="n">
        <v>1.01040429</v>
      </c>
      <c r="D1661" s="5" t="n">
        <v>0.71569614</v>
      </c>
      <c r="E1661" s="5" t="n">
        <v>0.01040429</v>
      </c>
    </row>
    <row r="1662">
      <c r="A1662" s="2" t="n">
        <v>46245</v>
      </c>
      <c r="B1662" s="3" t="n">
        <v>1708.218877394424</v>
      </c>
      <c r="C1662" s="4" t="n">
        <v>0.9956418500000001</v>
      </c>
      <c r="D1662" s="5" t="n">
        <v>0.70821888</v>
      </c>
      <c r="E1662" s="5" t="n">
        <v>-0.00435815</v>
      </c>
    </row>
    <row r="1663">
      <c r="A1663" s="2" t="n">
        <v>46246</v>
      </c>
      <c r="B1663" s="3" t="n">
        <v>1735.067465956095</v>
      </c>
      <c r="C1663" s="4" t="n">
        <v>1.0157173</v>
      </c>
      <c r="D1663" s="5" t="n">
        <v>0.7350674699999999</v>
      </c>
      <c r="E1663" s="5" t="n">
        <v>0.0157173</v>
      </c>
    </row>
    <row r="1664">
      <c r="A1664" s="2" t="n">
        <v>46247</v>
      </c>
      <c r="B1664" s="3" t="n">
        <v>1717.729526691734</v>
      </c>
      <c r="C1664" s="4" t="n">
        <v>0.99000734</v>
      </c>
      <c r="D1664" s="5" t="n">
        <v>0.7177295299999999</v>
      </c>
      <c r="E1664" s="5" t="n">
        <v>-0.00999266</v>
      </c>
    </row>
    <row r="1665">
      <c r="A1665" s="2" t="n">
        <v>46248</v>
      </c>
      <c r="B1665" s="3" t="n">
        <v>1729.804323576909</v>
      </c>
      <c r="C1665" s="4" t="n">
        <v>1.00702951</v>
      </c>
      <c r="D1665" s="5" t="n">
        <v>0.72980432</v>
      </c>
      <c r="E1665" s="5" t="n">
        <v>0.00702951</v>
      </c>
    </row>
    <row r="1666">
      <c r="A1666" s="2" t="n">
        <v>46251</v>
      </c>
      <c r="B1666" s="3" t="n">
        <v>1767.633915972466</v>
      </c>
      <c r="C1666" s="4" t="n">
        <v>1.02186929</v>
      </c>
      <c r="D1666" s="5" t="n">
        <v>0.76763392</v>
      </c>
      <c r="E1666" s="5" t="n">
        <v>0.02186929</v>
      </c>
    </row>
    <row r="1667">
      <c r="A1667" s="2" t="n">
        <v>46252</v>
      </c>
      <c r="B1667" s="3" t="n">
        <v>1763.472941086945</v>
      </c>
      <c r="C1667" s="4" t="n">
        <v>0.99764602</v>
      </c>
      <c r="D1667" s="5" t="n">
        <v>0.76347294</v>
      </c>
      <c r="E1667" s="5" t="n">
        <v>-0.00235398</v>
      </c>
    </row>
    <row r="1668">
      <c r="A1668" s="2" t="n">
        <v>46253</v>
      </c>
      <c r="B1668" s="3" t="n">
        <v>1674.65955895376</v>
      </c>
      <c r="C1668" s="4" t="n">
        <v>0.94963723</v>
      </c>
      <c r="D1668" s="5" t="n">
        <v>0.67465956</v>
      </c>
      <c r="E1668" s="5" t="n">
        <v>-0.05036277</v>
      </c>
    </row>
    <row r="1669">
      <c r="A1669" s="2" t="n">
        <v>46254</v>
      </c>
      <c r="B1669" s="3" t="n">
        <v>1698.203530706709</v>
      </c>
      <c r="C1669" s="4" t="n">
        <v>1.01405896</v>
      </c>
      <c r="D1669" s="5" t="n">
        <v>0.69820353</v>
      </c>
      <c r="E1669" s="5" t="n">
        <v>0.01405896</v>
      </c>
    </row>
    <row r="1670">
      <c r="A1670" s="2" t="n">
        <v>46255</v>
      </c>
      <c r="B1670" s="3" t="n">
        <v>1701.543761195326</v>
      </c>
      <c r="C1670" s="4" t="n">
        <v>1.00196692</v>
      </c>
      <c r="D1670" s="5" t="n">
        <v>0.70154376</v>
      </c>
      <c r="E1670" s="5" t="n">
        <v>0.00196692</v>
      </c>
    </row>
    <row r="1671">
      <c r="A1671" s="2" t="n">
        <v>46258</v>
      </c>
      <c r="B1671" s="3" t="n">
        <v>1678.66311925397</v>
      </c>
      <c r="C1671" s="4" t="n">
        <v>0.98655301</v>
      </c>
      <c r="D1671" s="5" t="n">
        <v>0.67866312</v>
      </c>
      <c r="E1671" s="5" t="n">
        <v>-0.01344699</v>
      </c>
    </row>
    <row r="1672">
      <c r="A1672" s="2" t="n">
        <v>46259</v>
      </c>
      <c r="B1672" s="3" t="n">
        <v>1703.032489982386</v>
      </c>
      <c r="C1672" s="4" t="n">
        <v>1.01451713</v>
      </c>
      <c r="D1672" s="5" t="n">
        <v>0.70303249</v>
      </c>
      <c r="E1672" s="5" t="n">
        <v>0.01451713</v>
      </c>
    </row>
    <row r="1673">
      <c r="A1673" s="2" t="n">
        <v>46260</v>
      </c>
      <c r="B1673" s="3" t="n">
        <v>1701.547922500218</v>
      </c>
      <c r="C1673" s="4" t="n">
        <v>0.99912828</v>
      </c>
      <c r="D1673" s="5" t="n">
        <v>0.70154792</v>
      </c>
      <c r="E1673" s="5" t="n">
        <v>-0.00087172</v>
      </c>
    </row>
    <row r="1674">
      <c r="A1674" s="2" t="n">
        <v>46261</v>
      </c>
      <c r="B1674" s="3" t="n">
        <v>1731.773334990592</v>
      </c>
      <c r="C1674" s="4" t="n">
        <v>1.01776348</v>
      </c>
      <c r="D1674" s="5" t="n">
        <v>0.73177333</v>
      </c>
      <c r="E1674" s="5" t="n">
        <v>0.01776348</v>
      </c>
    </row>
    <row r="1675">
      <c r="A1675" s="2" t="n">
        <v>46262</v>
      </c>
      <c r="B1675" s="3" t="n">
        <v>1730.136566740759</v>
      </c>
      <c r="C1675" s="4" t="n">
        <v>0.99905486</v>
      </c>
      <c r="D1675" s="5" t="n">
        <v>0.73013657</v>
      </c>
      <c r="E1675" s="5" t="n">
        <v>-0.00094514</v>
      </c>
    </row>
    <row r="1676">
      <c r="A1676" s="2" t="n">
        <v>46265</v>
      </c>
      <c r="B1676" s="3" t="n">
        <v>1745.447514096326</v>
      </c>
      <c r="C1676" s="4" t="n">
        <v>1.00884956</v>
      </c>
      <c r="D1676" s="5" t="n">
        <v>0.74544751</v>
      </c>
      <c r="E1676" s="5" t="n">
        <v>0.008849559999999999</v>
      </c>
    </row>
    <row r="1677">
      <c r="A1677" s="2" t="n">
        <v>46266</v>
      </c>
      <c r="B1677" s="3" t="n">
        <v>1742.758530019534</v>
      </c>
      <c r="C1677" s="4" t="n">
        <v>0.99845943</v>
      </c>
      <c r="D1677" s="5" t="n">
        <v>0.74275853</v>
      </c>
      <c r="E1677" s="5" t="n">
        <v>-0.00154057</v>
      </c>
    </row>
    <row r="1678">
      <c r="A1678" s="2" t="n">
        <v>46267</v>
      </c>
      <c r="B1678" s="3" t="n">
        <v>1732.750460319533</v>
      </c>
      <c r="C1678" s="4" t="n">
        <v>0.99425734</v>
      </c>
      <c r="D1678" s="5" t="n">
        <v>0.73275046</v>
      </c>
      <c r="E1678" s="5" t="n">
        <v>-0.00574266</v>
      </c>
    </row>
    <row r="1679">
      <c r="A1679" s="2" t="n">
        <v>46268</v>
      </c>
      <c r="B1679" s="3" t="n">
        <v>1732.487307507124</v>
      </c>
      <c r="C1679" s="4" t="n">
        <v>0.9998481299999999</v>
      </c>
      <c r="D1679" s="5" t="n">
        <v>0.73248731</v>
      </c>
      <c r="E1679" s="5" t="n">
        <v>-0.00015187</v>
      </c>
    </row>
    <row r="1680">
      <c r="A1680" s="2" t="n">
        <v>46269</v>
      </c>
      <c r="B1680" s="3" t="n">
        <v>1716.098046877599</v>
      </c>
      <c r="C1680" s="4" t="n">
        <v>0.99054004</v>
      </c>
      <c r="D1680" s="5" t="n">
        <v>0.71609805</v>
      </c>
      <c r="E1680" s="5" t="n">
        <v>-0.00945996</v>
      </c>
    </row>
    <row r="1681">
      <c r="A1681" s="2" t="n">
        <v>46272</v>
      </c>
      <c r="B1681" s="3" t="n">
        <v>1741.730064847333</v>
      </c>
      <c r="C1681" s="4" t="n">
        <v>1.01493622</v>
      </c>
      <c r="D1681" s="5" t="n">
        <v>0.74173006</v>
      </c>
      <c r="E1681" s="5" t="n">
        <v>0.01493622</v>
      </c>
    </row>
    <row r="1682">
      <c r="A1682" s="2" t="n">
        <v>46273</v>
      </c>
      <c r="B1682" s="3" t="n">
        <v>1750.325816228766</v>
      </c>
      <c r="C1682" s="4" t="n">
        <v>1.00493518</v>
      </c>
      <c r="D1682" s="5" t="n">
        <v>0.75032582</v>
      </c>
      <c r="E1682" s="5" t="n">
        <v>0.00493518</v>
      </c>
    </row>
    <row r="1683">
      <c r="A1683" s="2" t="n">
        <v>46274</v>
      </c>
      <c r="B1683" s="3" t="n">
        <v>1746.430571144298</v>
      </c>
      <c r="C1683" s="4" t="n">
        <v>0.99777456</v>
      </c>
      <c r="D1683" s="5" t="n">
        <v>0.74643057</v>
      </c>
      <c r="E1683" s="5" t="n">
        <v>-0.00222544</v>
      </c>
    </row>
    <row r="1684">
      <c r="A1684" s="2" t="n">
        <v>46275</v>
      </c>
      <c r="B1684" s="3" t="n">
        <v>1721.264698721471</v>
      </c>
      <c r="C1684" s="4" t="n">
        <v>0.98559011</v>
      </c>
      <c r="D1684" s="5" t="n">
        <v>0.7212647</v>
      </c>
      <c r="E1684" s="5" t="n">
        <v>-0.01440989</v>
      </c>
    </row>
    <row r="1685">
      <c r="A1685" s="2" t="n">
        <v>46276</v>
      </c>
      <c r="B1685" s="3" t="n">
        <v>1692.895932779198</v>
      </c>
      <c r="C1685" s="4" t="n">
        <v>0.98351865</v>
      </c>
      <c r="D1685" s="5" t="n">
        <v>0.69289593</v>
      </c>
      <c r="E1685" s="5" t="n">
        <v>-0.01648135</v>
      </c>
    </row>
    <row r="1686">
      <c r="A1686" s="2" t="n">
        <v>46279</v>
      </c>
      <c r="B1686" s="3" t="n">
        <v>1708.197663607443</v>
      </c>
      <c r="C1686" s="4" t="n">
        <v>1.00903879</v>
      </c>
      <c r="D1686" s="5" t="n">
        <v>0.70819766</v>
      </c>
      <c r="E1686" s="5" t="n">
        <v>0.00903879</v>
      </c>
    </row>
    <row r="1687">
      <c r="A1687" s="2" t="n">
        <v>46280</v>
      </c>
      <c r="B1687" s="3" t="n">
        <v>1690.387465225396</v>
      </c>
      <c r="C1687" s="4" t="n">
        <v>0.98957369</v>
      </c>
      <c r="D1687" s="5" t="n">
        <v>0.69038747</v>
      </c>
      <c r="E1687" s="5" t="n">
        <v>-0.01042631</v>
      </c>
    </row>
    <row r="1688">
      <c r="A1688" s="2" t="n">
        <v>46281</v>
      </c>
      <c r="B1688" s="3" t="n">
        <v>1722.305513478654</v>
      </c>
      <c r="C1688" s="4" t="n">
        <v>1.01888209</v>
      </c>
      <c r="D1688" s="5" t="n">
        <v>0.72230551</v>
      </c>
      <c r="E1688" s="5" t="n">
        <v>0.01888209</v>
      </c>
    </row>
    <row r="1689">
      <c r="A1689" s="2" t="n">
        <v>46282</v>
      </c>
      <c r="B1689" s="3" t="n">
        <v>1724.101171983951</v>
      </c>
      <c r="C1689" s="4" t="n">
        <v>1.00104259</v>
      </c>
      <c r="D1689" s="5" t="n">
        <v>0.72410117</v>
      </c>
      <c r="E1689" s="5" t="n">
        <v>0.00104259</v>
      </c>
    </row>
    <row r="1690">
      <c r="A1690" s="2" t="n">
        <v>46283</v>
      </c>
      <c r="B1690" s="3" t="n">
        <v>1751.652274230232</v>
      </c>
      <c r="C1690" s="4" t="n">
        <v>1.01597998</v>
      </c>
      <c r="D1690" s="5" t="n">
        <v>0.75165227</v>
      </c>
      <c r="E1690" s="5" t="n">
        <v>0.01597998</v>
      </c>
    </row>
    <row r="1691">
      <c r="A1691" s="2" t="n">
        <v>46286</v>
      </c>
      <c r="B1691" s="3" t="n">
        <v>1783.443747049191</v>
      </c>
      <c r="C1691" s="4" t="n">
        <v>1.01814942</v>
      </c>
      <c r="D1691" s="5" t="n">
        <v>0.78344375</v>
      </c>
      <c r="E1691" s="5" t="n">
        <v>0.01814942</v>
      </c>
    </row>
    <row r="1692">
      <c r="A1692" s="2" t="n">
        <v>46287</v>
      </c>
      <c r="B1692" s="3" t="n">
        <v>1784.53546430451</v>
      </c>
      <c r="C1692" s="4" t="n">
        <v>1.00061214</v>
      </c>
      <c r="D1692" s="5" t="n">
        <v>0.78453546</v>
      </c>
      <c r="E1692" s="5" t="n">
        <v>0.0006121399999999999</v>
      </c>
    </row>
    <row r="1693">
      <c r="A1693" s="2" t="n">
        <v>46288</v>
      </c>
      <c r="B1693" s="3" t="n">
        <v>1785.092257214728</v>
      </c>
      <c r="C1693" s="4" t="n">
        <v>1.00031201</v>
      </c>
      <c r="D1693" s="5" t="n">
        <v>0.78509226</v>
      </c>
      <c r="E1693" s="5" t="n">
        <v>0.00031201</v>
      </c>
    </row>
    <row r="1694">
      <c r="A1694" s="2" t="n">
        <v>46289</v>
      </c>
      <c r="B1694" s="3" t="n">
        <v>1760.423353275375</v>
      </c>
      <c r="C1694" s="4" t="n">
        <v>0.9861806</v>
      </c>
      <c r="D1694" s="5" t="n">
        <v>0.7604233500000001</v>
      </c>
      <c r="E1694" s="5" t="n">
        <v>-0.0138194</v>
      </c>
    </row>
    <row r="1695">
      <c r="A1695" s="2" t="n">
        <v>46293</v>
      </c>
      <c r="B1695" s="3" t="n">
        <v>1708.660692394642</v>
      </c>
      <c r="C1695" s="4" t="n">
        <v>0.97059647</v>
      </c>
      <c r="D1695" s="5" t="n">
        <v>0.70866069</v>
      </c>
      <c r="E1695" s="5" t="n">
        <v>-0.02940353</v>
      </c>
    </row>
    <row r="1696">
      <c r="A1696" s="2" t="n">
        <v>46294</v>
      </c>
      <c r="B1696" s="3" t="n">
        <v>1720.655883447211</v>
      </c>
      <c r="C1696" s="4" t="n">
        <v>1.00702023</v>
      </c>
      <c r="D1696" s="5" t="n">
        <v>0.72065588</v>
      </c>
      <c r="E1696" s="5" t="n">
        <v>0.00702023</v>
      </c>
    </row>
    <row r="1697">
      <c r="A1697" s="2" t="n">
        <v>46295</v>
      </c>
      <c r="B1697" s="3" t="n">
        <v>1709.857029916138</v>
      </c>
      <c r="C1697" s="4" t="n">
        <v>0.99372399</v>
      </c>
      <c r="D1697" s="5" t="n">
        <v>0.70985703</v>
      </c>
      <c r="E1697" s="5" t="n">
        <v>-0.00627601</v>
      </c>
    </row>
    <row r="1698">
      <c r="A1698" s="2" t="n">
        <v>46303</v>
      </c>
      <c r="B1698" s="3" t="n">
        <v>1688.446131793247</v>
      </c>
      <c r="C1698" s="4" t="n">
        <v>0.98747796</v>
      </c>
      <c r="D1698" s="5" t="n">
        <v>0.68844613</v>
      </c>
      <c r="E1698" s="5" t="n">
        <v>-0.01252204</v>
      </c>
    </row>
    <row r="1699">
      <c r="A1699" s="2" t="n">
        <v>46304</v>
      </c>
      <c r="B1699" s="3" t="n">
        <v>1689.132147456595</v>
      </c>
      <c r="C1699" s="4" t="n">
        <v>1.0004063</v>
      </c>
      <c r="D1699" s="5" t="n">
        <v>0.6891321500000001</v>
      </c>
      <c r="E1699" s="5" t="n">
        <v>0.0004063</v>
      </c>
    </row>
    <row r="1700">
      <c r="A1700" s="2" t="n">
        <v>46307</v>
      </c>
      <c r="B1700" s="3" t="n">
        <v>1657.308340384904</v>
      </c>
      <c r="C1700" s="4" t="n">
        <v>0.98115967</v>
      </c>
      <c r="D1700" s="5" t="n">
        <v>0.65730834</v>
      </c>
      <c r="E1700" s="5" t="n">
        <v>-0.01884033</v>
      </c>
    </row>
    <row r="1701">
      <c r="A1701" s="2" t="n">
        <v>46308</v>
      </c>
      <c r="B1701" s="3" t="n">
        <v>1669.261411620595</v>
      </c>
      <c r="C1701" s="4" t="n">
        <v>1.00721234</v>
      </c>
      <c r="D1701" s="5" t="n">
        <v>0.6692614099999999</v>
      </c>
      <c r="E1701" s="5" t="n">
        <v>0.00721234</v>
      </c>
    </row>
    <row r="1702">
      <c r="A1702" s="2" t="n">
        <v>46309</v>
      </c>
      <c r="B1702" s="3" t="n">
        <v>1637.137343769891</v>
      </c>
      <c r="C1702" s="4" t="n">
        <v>0.98075552</v>
      </c>
      <c r="D1702" s="5" t="n">
        <v>0.63713734</v>
      </c>
      <c r="E1702" s="5" t="n">
        <v>-0.01924448</v>
      </c>
    </row>
    <row r="1703">
      <c r="A1703" s="2" t="n">
        <v>46310</v>
      </c>
      <c r="B1703" s="3" t="n">
        <v>1588.546501665983</v>
      </c>
      <c r="C1703" s="4" t="n">
        <v>0.97031963</v>
      </c>
      <c r="D1703" s="5" t="n">
        <v>0.5885465</v>
      </c>
      <c r="E1703" s="5" t="n">
        <v>-0.02968037</v>
      </c>
    </row>
    <row r="1704">
      <c r="A1704" s="2" t="n">
        <v>46311</v>
      </c>
      <c r="B1704" s="3" t="n">
        <v>1591.774364615509</v>
      </c>
      <c r="C1704" s="4" t="n">
        <v>1.00203196</v>
      </c>
      <c r="D1704" s="5" t="n">
        <v>0.5917743600000001</v>
      </c>
      <c r="E1704" s="5" t="n">
        <v>0.00203196</v>
      </c>
    </row>
    <row r="1705">
      <c r="A1705" s="2" t="n">
        <v>46314</v>
      </c>
      <c r="B1705" s="3" t="n">
        <v>1585.120859195622</v>
      </c>
      <c r="C1705" s="4" t="n">
        <v>0.9958200699999999</v>
      </c>
      <c r="D1705" s="5" t="n">
        <v>0.58512086</v>
      </c>
      <c r="E1705" s="5" t="n">
        <v>-0.00417993</v>
      </c>
    </row>
    <row r="1706">
      <c r="A1706" s="2" t="n">
        <v>46315</v>
      </c>
      <c r="B1706" s="3" t="n">
        <v>1608.621496476258</v>
      </c>
      <c r="C1706" s="4" t="n">
        <v>1.01482577</v>
      </c>
      <c r="D1706" s="5" t="n">
        <v>0.6086215</v>
      </c>
      <c r="E1706" s="5" t="n">
        <v>0.01482577</v>
      </c>
    </row>
  </sheetData>
  <autoFilter ref="A1:E17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30" customWidth="1" min="13" max="13"/>
  </cols>
  <sheetData>
    <row r="1" ht="42" customHeight="1">
      <c r="A1" s="1" t="inlineStr">
        <is>
          <t>交易日期</t>
        </is>
      </c>
      <c r="B1" s="1" t="inlineStr">
        <is>
          <t>中证2000指数点位
932000.CSI</t>
        </is>
      </c>
      <c r="C1" s="1" t="inlineStr">
        <is>
          <t>中债-综合全价(总值)指数点位
CBA00203.CS</t>
        </is>
      </c>
      <c r="D1" s="1" t="inlineStr">
        <is>
          <t>活期存款基准利率
(年化,%)</t>
        </is>
      </c>
      <c r="E1" s="1" t="inlineStr">
        <is>
          <t>自然日间隔
(天)</t>
        </is>
      </c>
      <c r="F1" s="1" t="inlineStr">
        <is>
          <t>中证2000
日收益率</t>
        </is>
      </c>
      <c r="G1" s="1" t="inlineStr">
        <is>
          <t>中债指数
日收益率</t>
        </is>
      </c>
      <c r="H1" s="1" t="inlineStr">
        <is>
          <t>活期存款
日收益率</t>
        </is>
      </c>
      <c r="I1" s="1" t="inlineStr">
        <is>
          <t>中证2000
累计净值</t>
        </is>
      </c>
      <c r="J1" s="1" t="inlineStr">
        <is>
          <t>中债指数
累计净值</t>
        </is>
      </c>
      <c r="K1" s="1" t="inlineStr">
        <is>
          <t>活期存款
累计净值</t>
        </is>
      </c>
      <c r="L1" s="1" t="inlineStr">
        <is>
          <t>基准日收益率
(加权)</t>
        </is>
      </c>
      <c r="M1" s="1" t="inlineStr">
        <is>
          <t>备注</t>
        </is>
      </c>
    </row>
    <row r="2">
      <c r="A2" s="6" t="n">
        <v>43746</v>
      </c>
      <c r="B2" s="7" t="n">
        <v>1766.25</v>
      </c>
      <c r="C2" s="7" t="n">
        <v>119.77</v>
      </c>
      <c r="D2" s="7" t="n">
        <v>0.35</v>
      </c>
      <c r="F2" s="4" t="n"/>
      <c r="G2" s="4" t="n"/>
      <c r="H2" s="4" t="n"/>
      <c r="I2" s="4" t="n">
        <v>1</v>
      </c>
      <c r="J2" s="4" t="n">
        <v>1</v>
      </c>
      <c r="K2" s="4" t="n">
        <v>1</v>
      </c>
      <c r="L2" s="4" t="n"/>
    </row>
    <row r="3">
      <c r="A3" s="2" t="n">
        <v>43747</v>
      </c>
      <c r="B3" s="8" t="n">
        <v>1787.54</v>
      </c>
      <c r="C3" s="8" t="n">
        <v>119.8</v>
      </c>
      <c r="D3" s="8" t="n">
        <v>0.35</v>
      </c>
      <c r="E3">
        <f>A3-A2</f>
        <v/>
      </c>
      <c r="F3" s="4">
        <f>ROUND(B3/B2-1,8)</f>
        <v/>
      </c>
      <c r="G3" s="4">
        <f>ROUND(C3/C2-1,8)</f>
        <v/>
      </c>
      <c r="H3" s="4">
        <f>ROUND(D3/100/(DATE(YEAR(A3)+1,1,1)-DATE(YEAR(A3),1,1))*E3,8)</f>
        <v/>
      </c>
      <c r="I3" s="4">
        <f>ROUND(I2*(1+F3),8)</f>
        <v/>
      </c>
      <c r="J3" s="4">
        <f>ROUND(J2*(1+G3),8)</f>
        <v/>
      </c>
      <c r="K3" s="4">
        <f>ROUND(K2+H3,8)</f>
        <v/>
      </c>
      <c r="L3" s="4">
        <f>ROUND(0.9*F3+0.05*G3+0.05*H3,8)</f>
        <v/>
      </c>
    </row>
    <row r="4">
      <c r="A4" s="2" t="n">
        <v>43748</v>
      </c>
      <c r="B4" s="8" t="n">
        <v>1811.29</v>
      </c>
      <c r="C4" s="8" t="n">
        <v>119.7792</v>
      </c>
      <c r="D4" s="8" t="n">
        <v>0.35</v>
      </c>
      <c r="E4">
        <f>A4-A3</f>
        <v/>
      </c>
      <c r="F4" s="4">
        <f>ROUND(B4/B3-1,8)</f>
        <v/>
      </c>
      <c r="G4" s="4">
        <f>ROUND(C4/C3-1,8)</f>
        <v/>
      </c>
      <c r="H4" s="4">
        <f>ROUND(D4/100/(DATE(YEAR(A4)+1,1,1)-DATE(YEAR(A4),1,1))*E4,8)</f>
        <v/>
      </c>
      <c r="I4" s="4">
        <f>ROUND(I3*(1+F4),8)</f>
        <v/>
      </c>
      <c r="J4" s="4">
        <f>ROUND(J3*(1+G4),8)</f>
        <v/>
      </c>
      <c r="K4" s="4">
        <f>ROUND(K3+H4,8)</f>
        <v/>
      </c>
      <c r="L4" s="4">
        <f>ROUND(0.9*F4+0.05*G4+0.05*H4,8)</f>
        <v/>
      </c>
    </row>
    <row r="5">
      <c r="A5" s="2" t="n">
        <v>43749</v>
      </c>
      <c r="B5" s="8" t="n">
        <v>1815.88</v>
      </c>
      <c r="C5" s="8" t="n">
        <v>119.7243</v>
      </c>
      <c r="D5" s="8" t="n">
        <v>0.35</v>
      </c>
      <c r="E5">
        <f>A5-A4</f>
        <v/>
      </c>
      <c r="F5" s="4">
        <f>ROUND(B5/B4-1,8)</f>
        <v/>
      </c>
      <c r="G5" s="4">
        <f>ROUND(C5/C4-1,8)</f>
        <v/>
      </c>
      <c r="H5" s="4">
        <f>ROUND(D5/100/(DATE(YEAR(A5)+1,1,1)-DATE(YEAR(A5),1,1))*E5,8)</f>
        <v/>
      </c>
      <c r="I5" s="4">
        <f>ROUND(I4*(1+F5),8)</f>
        <v/>
      </c>
      <c r="J5" s="4">
        <f>ROUND(J4*(1+G5),8)</f>
        <v/>
      </c>
      <c r="K5" s="4">
        <f>ROUND(K4+H5,8)</f>
        <v/>
      </c>
      <c r="L5" s="4">
        <f>ROUND(0.9*F5+0.05*G5+0.05*H5,8)</f>
        <v/>
      </c>
    </row>
    <row r="6">
      <c r="A6" s="2" t="n">
        <v>43752</v>
      </c>
      <c r="B6" s="8" t="n">
        <v>1845.29</v>
      </c>
      <c r="C6" s="8" t="n">
        <v>119.6957</v>
      </c>
      <c r="D6" s="8" t="n">
        <v>0.35</v>
      </c>
      <c r="E6">
        <f>A6-A5</f>
        <v/>
      </c>
      <c r="F6" s="4">
        <f>ROUND(B6/B5-1,8)</f>
        <v/>
      </c>
      <c r="G6" s="4">
        <f>ROUND(C6/C5-1,8)</f>
        <v/>
      </c>
      <c r="H6" s="4">
        <f>ROUND(D6/100/(DATE(YEAR(A6)+1,1,1)-DATE(YEAR(A6),1,1))*E6,8)</f>
        <v/>
      </c>
      <c r="I6" s="4">
        <f>ROUND(I5*(1+F6),8)</f>
        <v/>
      </c>
      <c r="J6" s="4">
        <f>ROUND(J5*(1+G6),8)</f>
        <v/>
      </c>
      <c r="K6" s="4">
        <f>ROUND(K5+H6,8)</f>
        <v/>
      </c>
      <c r="L6" s="4">
        <f>ROUND(0.9*F6+0.05*G6+0.05*H6,8)</f>
        <v/>
      </c>
    </row>
    <row r="7">
      <c r="A7" s="2" t="n">
        <v>43753</v>
      </c>
      <c r="B7" s="8" t="n">
        <v>1825.9</v>
      </c>
      <c r="C7" s="8" t="n">
        <v>119.6791</v>
      </c>
      <c r="D7" s="8" t="n">
        <v>0.35</v>
      </c>
      <c r="E7">
        <f>A7-A6</f>
        <v/>
      </c>
      <c r="F7" s="4">
        <f>ROUND(B7/B6-1,8)</f>
        <v/>
      </c>
      <c r="G7" s="4">
        <f>ROUND(C7/C6-1,8)</f>
        <v/>
      </c>
      <c r="H7" s="4">
        <f>ROUND(D7/100/(DATE(YEAR(A7)+1,1,1)-DATE(YEAR(A7),1,1))*E7,8)</f>
        <v/>
      </c>
      <c r="I7" s="4">
        <f>ROUND(I6*(1+F7),8)</f>
        <v/>
      </c>
      <c r="J7" s="4">
        <f>ROUND(J6*(1+G7),8)</f>
        <v/>
      </c>
      <c r="K7" s="4">
        <f>ROUND(K6+H7,8)</f>
        <v/>
      </c>
      <c r="L7" s="4">
        <f>ROUND(0.9*F7+0.05*G7+0.05*H7,8)</f>
        <v/>
      </c>
    </row>
    <row r="8">
      <c r="A8" s="2" t="n">
        <v>43754</v>
      </c>
      <c r="B8" s="8" t="n">
        <v>1812.11</v>
      </c>
      <c r="C8" s="8" t="n">
        <v>119.6822</v>
      </c>
      <c r="D8" s="8" t="n">
        <v>0.35</v>
      </c>
      <c r="E8">
        <f>A8-A7</f>
        <v/>
      </c>
      <c r="F8" s="4">
        <f>ROUND(B8/B7-1,8)</f>
        <v/>
      </c>
      <c r="G8" s="4">
        <f>ROUND(C8/C7-1,8)</f>
        <v/>
      </c>
      <c r="H8" s="4">
        <f>ROUND(D8/100/(DATE(YEAR(A8)+1,1,1)-DATE(YEAR(A8),1,1))*E8,8)</f>
        <v/>
      </c>
      <c r="I8" s="4">
        <f>ROUND(I7*(1+F8),8)</f>
        <v/>
      </c>
      <c r="J8" s="4">
        <f>ROUND(J7*(1+G8),8)</f>
        <v/>
      </c>
      <c r="K8" s="4">
        <f>ROUND(K7+H8,8)</f>
        <v/>
      </c>
      <c r="L8" s="4">
        <f>ROUND(0.9*F8+0.05*G8+0.05*H8,8)</f>
        <v/>
      </c>
    </row>
    <row r="9">
      <c r="A9" s="2" t="n">
        <v>43755</v>
      </c>
      <c r="B9" s="8" t="n">
        <v>1809.81</v>
      </c>
      <c r="C9" s="8" t="n">
        <v>119.6861</v>
      </c>
      <c r="D9" s="8" t="n">
        <v>0.35</v>
      </c>
      <c r="E9">
        <f>A9-A8</f>
        <v/>
      </c>
      <c r="F9" s="4">
        <f>ROUND(B9/B8-1,8)</f>
        <v/>
      </c>
      <c r="G9" s="4">
        <f>ROUND(C9/C8-1,8)</f>
        <v/>
      </c>
      <c r="H9" s="4">
        <f>ROUND(D9/100/(DATE(YEAR(A9)+1,1,1)-DATE(YEAR(A9),1,1))*E9,8)</f>
        <v/>
      </c>
      <c r="I9" s="4">
        <f>ROUND(I8*(1+F9),8)</f>
        <v/>
      </c>
      <c r="J9" s="4">
        <f>ROUND(J8*(1+G9),8)</f>
        <v/>
      </c>
      <c r="K9" s="4">
        <f>ROUND(K8+H9,8)</f>
        <v/>
      </c>
      <c r="L9" s="4">
        <f>ROUND(0.9*F9+0.05*G9+0.05*H9,8)</f>
        <v/>
      </c>
    </row>
    <row r="10">
      <c r="A10" s="2" t="n">
        <v>43756</v>
      </c>
      <c r="B10" s="8" t="n">
        <v>1785.59</v>
      </c>
      <c r="C10" s="8" t="n">
        <v>119.6365</v>
      </c>
      <c r="D10" s="8" t="n">
        <v>0.35</v>
      </c>
      <c r="E10">
        <f>A10-A9</f>
        <v/>
      </c>
      <c r="F10" s="4">
        <f>ROUND(B10/B9-1,8)</f>
        <v/>
      </c>
      <c r="G10" s="4">
        <f>ROUND(C10/C9-1,8)</f>
        <v/>
      </c>
      <c r="H10" s="4">
        <f>ROUND(D10/100/(DATE(YEAR(A10)+1,1,1)-DATE(YEAR(A10),1,1))*E10,8)</f>
        <v/>
      </c>
      <c r="I10" s="4">
        <f>ROUND(I9*(1+F10),8)</f>
        <v/>
      </c>
      <c r="J10" s="4">
        <f>ROUND(J9*(1+G10),8)</f>
        <v/>
      </c>
      <c r="K10" s="4">
        <f>ROUND(K9+H10,8)</f>
        <v/>
      </c>
      <c r="L10" s="4">
        <f>ROUND(0.9*F10+0.05*G10+0.05*H10,8)</f>
        <v/>
      </c>
    </row>
    <row r="11">
      <c r="A11" s="2" t="n">
        <v>43759</v>
      </c>
      <c r="B11" s="8" t="n">
        <v>1779.31</v>
      </c>
      <c r="C11" s="8" t="n">
        <v>119.5428</v>
      </c>
      <c r="D11" s="8" t="n">
        <v>0.35</v>
      </c>
      <c r="E11">
        <f>A11-A10</f>
        <v/>
      </c>
      <c r="F11" s="4">
        <f>ROUND(B11/B10-1,8)</f>
        <v/>
      </c>
      <c r="G11" s="4">
        <f>ROUND(C11/C10-1,8)</f>
        <v/>
      </c>
      <c r="H11" s="4">
        <f>ROUND(D11/100/(DATE(YEAR(A11)+1,1,1)-DATE(YEAR(A11),1,1))*E11,8)</f>
        <v/>
      </c>
      <c r="I11" s="4">
        <f>ROUND(I10*(1+F11),8)</f>
        <v/>
      </c>
      <c r="J11" s="4">
        <f>ROUND(J10*(1+G11),8)</f>
        <v/>
      </c>
      <c r="K11" s="4">
        <f>ROUND(K10+H11,8)</f>
        <v/>
      </c>
      <c r="L11" s="4">
        <f>ROUND(0.9*F11+0.05*G11+0.05*H11,8)</f>
        <v/>
      </c>
    </row>
    <row r="12">
      <c r="A12" s="2" t="n">
        <v>43760</v>
      </c>
      <c r="B12" s="8" t="n">
        <v>1803.23</v>
      </c>
      <c r="C12" s="8" t="n">
        <v>119.5072</v>
      </c>
      <c r="D12" s="8" t="n">
        <v>0.35</v>
      </c>
      <c r="E12">
        <f>A12-A11</f>
        <v/>
      </c>
      <c r="F12" s="4">
        <f>ROUND(B12/B11-1,8)</f>
        <v/>
      </c>
      <c r="G12" s="4">
        <f>ROUND(C12/C11-1,8)</f>
        <v/>
      </c>
      <c r="H12" s="4">
        <f>ROUND(D12/100/(DATE(YEAR(A12)+1,1,1)-DATE(YEAR(A12),1,1))*E12,8)</f>
        <v/>
      </c>
      <c r="I12" s="4">
        <f>ROUND(I11*(1+F12),8)</f>
        <v/>
      </c>
      <c r="J12" s="4">
        <f>ROUND(J11*(1+G12),8)</f>
        <v/>
      </c>
      <c r="K12" s="4">
        <f>ROUND(K11+H12,8)</f>
        <v/>
      </c>
      <c r="L12" s="4">
        <f>ROUND(0.9*F12+0.05*G12+0.05*H12,8)</f>
        <v/>
      </c>
    </row>
    <row r="13">
      <c r="A13" s="2" t="n">
        <v>43761</v>
      </c>
      <c r="B13" s="8" t="n">
        <v>1792.4</v>
      </c>
      <c r="C13" s="8" t="n">
        <v>119.4982</v>
      </c>
      <c r="D13" s="8" t="n">
        <v>0.35</v>
      </c>
      <c r="E13">
        <f>A13-A12</f>
        <v/>
      </c>
      <c r="F13" s="4">
        <f>ROUND(B13/B12-1,8)</f>
        <v/>
      </c>
      <c r="G13" s="4">
        <f>ROUND(C13/C12-1,8)</f>
        <v/>
      </c>
      <c r="H13" s="4">
        <f>ROUND(D13/100/(DATE(YEAR(A13)+1,1,1)-DATE(YEAR(A13),1,1))*E13,8)</f>
        <v/>
      </c>
      <c r="I13" s="4">
        <f>ROUND(I12*(1+F13),8)</f>
        <v/>
      </c>
      <c r="J13" s="4">
        <f>ROUND(J12*(1+G13),8)</f>
        <v/>
      </c>
      <c r="K13" s="4">
        <f>ROUND(K12+H13,8)</f>
        <v/>
      </c>
      <c r="L13" s="4">
        <f>ROUND(0.9*F13+0.05*G13+0.05*H13,8)</f>
        <v/>
      </c>
    </row>
    <row r="14">
      <c r="A14" s="2" t="n">
        <v>43762</v>
      </c>
      <c r="B14" s="8" t="n">
        <v>1791.41</v>
      </c>
      <c r="C14" s="8" t="n">
        <v>119.4705</v>
      </c>
      <c r="D14" s="8" t="n">
        <v>0.35</v>
      </c>
      <c r="E14">
        <f>A14-A13</f>
        <v/>
      </c>
      <c r="F14" s="4">
        <f>ROUND(B14/B13-1,8)</f>
        <v/>
      </c>
      <c r="G14" s="4">
        <f>ROUND(C14/C13-1,8)</f>
        <v/>
      </c>
      <c r="H14" s="4">
        <f>ROUND(D14/100/(DATE(YEAR(A14)+1,1,1)-DATE(YEAR(A14),1,1))*E14,8)</f>
        <v/>
      </c>
      <c r="I14" s="4">
        <f>ROUND(I13*(1+F14),8)</f>
        <v/>
      </c>
      <c r="J14" s="4">
        <f>ROUND(J13*(1+G14),8)</f>
        <v/>
      </c>
      <c r="K14" s="4">
        <f>ROUND(K13+H14,8)</f>
        <v/>
      </c>
      <c r="L14" s="4">
        <f>ROUND(0.9*F14+0.05*G14+0.05*H14,8)</f>
        <v/>
      </c>
    </row>
    <row r="15">
      <c r="A15" s="2" t="n">
        <v>43763</v>
      </c>
      <c r="B15" s="8" t="n">
        <v>1800.95</v>
      </c>
      <c r="C15" s="8" t="n">
        <v>119.4414</v>
      </c>
      <c r="D15" s="8" t="n">
        <v>0.35</v>
      </c>
      <c r="E15">
        <f>A15-A14</f>
        <v/>
      </c>
      <c r="F15" s="4">
        <f>ROUND(B15/B14-1,8)</f>
        <v/>
      </c>
      <c r="G15" s="4">
        <f>ROUND(C15/C14-1,8)</f>
        <v/>
      </c>
      <c r="H15" s="4">
        <f>ROUND(D15/100/(DATE(YEAR(A15)+1,1,1)-DATE(YEAR(A15),1,1))*E15,8)</f>
        <v/>
      </c>
      <c r="I15" s="4">
        <f>ROUND(I14*(1+F15),8)</f>
        <v/>
      </c>
      <c r="J15" s="4">
        <f>ROUND(J14*(1+G15),8)</f>
        <v/>
      </c>
      <c r="K15" s="4">
        <f>ROUND(K14+H15,8)</f>
        <v/>
      </c>
      <c r="L15" s="4">
        <f>ROUND(0.9*F15+0.05*G15+0.05*H15,8)</f>
        <v/>
      </c>
    </row>
    <row r="16">
      <c r="A16" s="2" t="n">
        <v>43766</v>
      </c>
      <c r="B16" s="8" t="n">
        <v>1838.63</v>
      </c>
      <c r="C16" s="8" t="n">
        <v>119.3055</v>
      </c>
      <c r="D16" s="8" t="n">
        <v>0.35</v>
      </c>
      <c r="E16">
        <f>A16-A15</f>
        <v/>
      </c>
      <c r="F16" s="4">
        <f>ROUND(B16/B15-1,8)</f>
        <v/>
      </c>
      <c r="G16" s="4">
        <f>ROUND(C16/C15-1,8)</f>
        <v/>
      </c>
      <c r="H16" s="4">
        <f>ROUND(D16/100/(DATE(YEAR(A16)+1,1,1)-DATE(YEAR(A16),1,1))*E16,8)</f>
        <v/>
      </c>
      <c r="I16" s="4">
        <f>ROUND(I15*(1+F16),8)</f>
        <v/>
      </c>
      <c r="J16" s="4">
        <f>ROUND(J15*(1+G16),8)</f>
        <v/>
      </c>
      <c r="K16" s="4">
        <f>ROUND(K15+H16,8)</f>
        <v/>
      </c>
      <c r="L16" s="4">
        <f>ROUND(0.9*F16+0.05*G16+0.05*H16,8)</f>
        <v/>
      </c>
    </row>
    <row r="17">
      <c r="A17" s="2" t="n">
        <v>43767</v>
      </c>
      <c r="B17" s="8" t="n">
        <v>1808.47</v>
      </c>
      <c r="C17" s="8" t="n">
        <v>119.2655</v>
      </c>
      <c r="D17" s="8" t="n">
        <v>0.35</v>
      </c>
      <c r="E17">
        <f>A17-A16</f>
        <v/>
      </c>
      <c r="F17" s="4">
        <f>ROUND(B17/B16-1,8)</f>
        <v/>
      </c>
      <c r="G17" s="4">
        <f>ROUND(C17/C16-1,8)</f>
        <v/>
      </c>
      <c r="H17" s="4">
        <f>ROUND(D17/100/(DATE(YEAR(A17)+1,1,1)-DATE(YEAR(A17),1,1))*E17,8)</f>
        <v/>
      </c>
      <c r="I17" s="4">
        <f>ROUND(I16*(1+F17),8)</f>
        <v/>
      </c>
      <c r="J17" s="4">
        <f>ROUND(J16*(1+G17),8)</f>
        <v/>
      </c>
      <c r="K17" s="4">
        <f>ROUND(K16+H17,8)</f>
        <v/>
      </c>
      <c r="L17" s="4">
        <f>ROUND(0.9*F17+0.05*G17+0.05*H17,8)</f>
        <v/>
      </c>
    </row>
    <row r="18">
      <c r="A18" s="2" t="n">
        <v>43768</v>
      </c>
      <c r="B18" s="8" t="n">
        <v>1781.64</v>
      </c>
      <c r="C18" s="8" t="n">
        <v>119.1552</v>
      </c>
      <c r="D18" s="8" t="n">
        <v>0.35</v>
      </c>
      <c r="E18">
        <f>A18-A17</f>
        <v/>
      </c>
      <c r="F18" s="4">
        <f>ROUND(B18/B17-1,8)</f>
        <v/>
      </c>
      <c r="G18" s="4">
        <f>ROUND(C18/C17-1,8)</f>
        <v/>
      </c>
      <c r="H18" s="4">
        <f>ROUND(D18/100/(DATE(YEAR(A18)+1,1,1)-DATE(YEAR(A18),1,1))*E18,8)</f>
        <v/>
      </c>
      <c r="I18" s="4">
        <f>ROUND(I17*(1+F18),8)</f>
        <v/>
      </c>
      <c r="J18" s="4">
        <f>ROUND(J17*(1+G18),8)</f>
        <v/>
      </c>
      <c r="K18" s="4">
        <f>ROUND(K17+H18,8)</f>
        <v/>
      </c>
      <c r="L18" s="4">
        <f>ROUND(0.9*F18+0.05*G18+0.05*H18,8)</f>
        <v/>
      </c>
    </row>
    <row r="19">
      <c r="A19" s="2" t="n">
        <v>43769</v>
      </c>
      <c r="B19" s="8" t="n">
        <v>1754.72</v>
      </c>
      <c r="C19" s="8" t="n">
        <v>119.2026</v>
      </c>
      <c r="D19" s="8" t="n">
        <v>0.35</v>
      </c>
      <c r="E19">
        <f>A19-A18</f>
        <v/>
      </c>
      <c r="F19" s="4">
        <f>ROUND(B19/B18-1,8)</f>
        <v/>
      </c>
      <c r="G19" s="4">
        <f>ROUND(C19/C18-1,8)</f>
        <v/>
      </c>
      <c r="H19" s="4">
        <f>ROUND(D19/100/(DATE(YEAR(A19)+1,1,1)-DATE(YEAR(A19),1,1))*E19,8)</f>
        <v/>
      </c>
      <c r="I19" s="4">
        <f>ROUND(I18*(1+F19),8)</f>
        <v/>
      </c>
      <c r="J19" s="4">
        <f>ROUND(J18*(1+G19),8)</f>
        <v/>
      </c>
      <c r="K19" s="4">
        <f>ROUND(K18+H19,8)</f>
        <v/>
      </c>
      <c r="L19" s="4">
        <f>ROUND(0.9*F19+0.05*G19+0.05*H19,8)</f>
        <v/>
      </c>
    </row>
    <row r="20">
      <c r="A20" s="2" t="n">
        <v>43770</v>
      </c>
      <c r="B20" s="8" t="n">
        <v>1772.1</v>
      </c>
      <c r="C20" s="8" t="n">
        <v>119.2406</v>
      </c>
      <c r="D20" s="8" t="n">
        <v>0.35</v>
      </c>
      <c r="E20">
        <f>A20-A19</f>
        <v/>
      </c>
      <c r="F20" s="4">
        <f>ROUND(B20/B19-1,8)</f>
        <v/>
      </c>
      <c r="G20" s="4">
        <f>ROUND(C20/C19-1,8)</f>
        <v/>
      </c>
      <c r="H20" s="4">
        <f>ROUND(D20/100/(DATE(YEAR(A20)+1,1,1)-DATE(YEAR(A20),1,1))*E20,8)</f>
        <v/>
      </c>
      <c r="I20" s="4">
        <f>ROUND(I19*(1+F20),8)</f>
        <v/>
      </c>
      <c r="J20" s="4">
        <f>ROUND(J19*(1+G20),8)</f>
        <v/>
      </c>
      <c r="K20" s="4">
        <f>ROUND(K19+H20,8)</f>
        <v/>
      </c>
      <c r="L20" s="4">
        <f>ROUND(0.9*F20+0.05*G20+0.05*H20,8)</f>
        <v/>
      </c>
    </row>
    <row r="21">
      <c r="A21" s="2" t="n">
        <v>43773</v>
      </c>
      <c r="B21" s="8" t="n">
        <v>1774.8</v>
      </c>
      <c r="C21" s="8" t="n">
        <v>119.1864</v>
      </c>
      <c r="D21" s="8" t="n">
        <v>0.35</v>
      </c>
      <c r="E21">
        <f>A21-A20</f>
        <v/>
      </c>
      <c r="F21" s="4">
        <f>ROUND(B21/B20-1,8)</f>
        <v/>
      </c>
      <c r="G21" s="4">
        <f>ROUND(C21/C20-1,8)</f>
        <v/>
      </c>
      <c r="H21" s="4">
        <f>ROUND(D21/100/(DATE(YEAR(A21)+1,1,1)-DATE(YEAR(A21),1,1))*E21,8)</f>
        <v/>
      </c>
      <c r="I21" s="4">
        <f>ROUND(I20*(1+F21),8)</f>
        <v/>
      </c>
      <c r="J21" s="4">
        <f>ROUND(J20*(1+G21),8)</f>
        <v/>
      </c>
      <c r="K21" s="4">
        <f>ROUND(K20+H21,8)</f>
        <v/>
      </c>
      <c r="L21" s="4">
        <f>ROUND(0.9*F21+0.05*G21+0.05*H21,8)</f>
        <v/>
      </c>
    </row>
    <row r="22">
      <c r="A22" s="2" t="n">
        <v>43774</v>
      </c>
      <c r="B22" s="8" t="n">
        <v>1772.89</v>
      </c>
      <c r="C22" s="8" t="n">
        <v>119.2913</v>
      </c>
      <c r="D22" s="8" t="n">
        <v>0.35</v>
      </c>
      <c r="E22">
        <f>A22-A21</f>
        <v/>
      </c>
      <c r="F22" s="4">
        <f>ROUND(B22/B21-1,8)</f>
        <v/>
      </c>
      <c r="G22" s="4">
        <f>ROUND(C22/C21-1,8)</f>
        <v/>
      </c>
      <c r="H22" s="4">
        <f>ROUND(D22/100/(DATE(YEAR(A22)+1,1,1)-DATE(YEAR(A22),1,1))*E22,8)</f>
        <v/>
      </c>
      <c r="I22" s="4">
        <f>ROUND(I21*(1+F22),8)</f>
        <v/>
      </c>
      <c r="J22" s="4">
        <f>ROUND(J21*(1+G22),8)</f>
        <v/>
      </c>
      <c r="K22" s="4">
        <f>ROUND(K21+H22,8)</f>
        <v/>
      </c>
      <c r="L22" s="4">
        <f>ROUND(0.9*F22+0.05*G22+0.05*H22,8)</f>
        <v/>
      </c>
    </row>
    <row r="23">
      <c r="A23" s="2" t="n">
        <v>43775</v>
      </c>
      <c r="B23" s="8" t="n">
        <v>1754.42</v>
      </c>
      <c r="C23" s="8" t="n">
        <v>119.3213</v>
      </c>
      <c r="D23" s="8" t="n">
        <v>0.35</v>
      </c>
      <c r="E23">
        <f>A23-A22</f>
        <v/>
      </c>
      <c r="F23" s="4">
        <f>ROUND(B23/B22-1,8)</f>
        <v/>
      </c>
      <c r="G23" s="4">
        <f>ROUND(C23/C22-1,8)</f>
        <v/>
      </c>
      <c r="H23" s="4">
        <f>ROUND(D23/100/(DATE(YEAR(A23)+1,1,1)-DATE(YEAR(A23),1,1))*E23,8)</f>
        <v/>
      </c>
      <c r="I23" s="4">
        <f>ROUND(I22*(1+F23),8)</f>
        <v/>
      </c>
      <c r="J23" s="4">
        <f>ROUND(J22*(1+G23),8)</f>
        <v/>
      </c>
      <c r="K23" s="4">
        <f>ROUND(K22+H23,8)</f>
        <v/>
      </c>
      <c r="L23" s="4">
        <f>ROUND(0.9*F23+0.05*G23+0.05*H23,8)</f>
        <v/>
      </c>
    </row>
    <row r="24">
      <c r="A24" s="2" t="n">
        <v>43776</v>
      </c>
      <c r="B24" s="8" t="n">
        <v>1768.23</v>
      </c>
      <c r="C24" s="8" t="n">
        <v>119.3179</v>
      </c>
      <c r="D24" s="8" t="n">
        <v>0.35</v>
      </c>
      <c r="E24">
        <f>A24-A23</f>
        <v/>
      </c>
      <c r="F24" s="4">
        <f>ROUND(B24/B23-1,8)</f>
        <v/>
      </c>
      <c r="G24" s="4">
        <f>ROUND(C24/C23-1,8)</f>
        <v/>
      </c>
      <c r="H24" s="4">
        <f>ROUND(D24/100/(DATE(YEAR(A24)+1,1,1)-DATE(YEAR(A24),1,1))*E24,8)</f>
        <v/>
      </c>
      <c r="I24" s="4">
        <f>ROUND(I23*(1+F24),8)</f>
        <v/>
      </c>
      <c r="J24" s="4">
        <f>ROUND(J23*(1+G24),8)</f>
        <v/>
      </c>
      <c r="K24" s="4">
        <f>ROUND(K23+H24,8)</f>
        <v/>
      </c>
      <c r="L24" s="4">
        <f>ROUND(0.9*F24+0.05*G24+0.05*H24,8)</f>
        <v/>
      </c>
    </row>
    <row r="25">
      <c r="A25" s="2" t="n">
        <v>43777</v>
      </c>
      <c r="B25" s="8" t="n">
        <v>1763.63</v>
      </c>
      <c r="C25" s="8" t="n">
        <v>119.3296</v>
      </c>
      <c r="D25" s="8" t="n">
        <v>0.35</v>
      </c>
      <c r="E25">
        <f>A25-A24</f>
        <v/>
      </c>
      <c r="F25" s="4">
        <f>ROUND(B25/B24-1,8)</f>
        <v/>
      </c>
      <c r="G25" s="4">
        <f>ROUND(C25/C24-1,8)</f>
        <v/>
      </c>
      <c r="H25" s="4">
        <f>ROUND(D25/100/(DATE(YEAR(A25)+1,1,1)-DATE(YEAR(A25),1,1))*E25,8)</f>
        <v/>
      </c>
      <c r="I25" s="4">
        <f>ROUND(I24*(1+F25),8)</f>
        <v/>
      </c>
      <c r="J25" s="4">
        <f>ROUND(J24*(1+G25),8)</f>
        <v/>
      </c>
      <c r="K25" s="4">
        <f>ROUND(K24+H25,8)</f>
        <v/>
      </c>
      <c r="L25" s="4">
        <f>ROUND(0.9*F25+0.05*G25+0.05*H25,8)</f>
        <v/>
      </c>
    </row>
    <row r="26">
      <c r="A26" s="2" t="n">
        <v>43780</v>
      </c>
      <c r="B26" s="8" t="n">
        <v>1717.85</v>
      </c>
      <c r="C26" s="8" t="n">
        <v>119.3952</v>
      </c>
      <c r="D26" s="8" t="n">
        <v>0.35</v>
      </c>
      <c r="E26">
        <f>A26-A25</f>
        <v/>
      </c>
      <c r="F26" s="4">
        <f>ROUND(B26/B25-1,8)</f>
        <v/>
      </c>
      <c r="G26" s="4">
        <f>ROUND(C26/C25-1,8)</f>
        <v/>
      </c>
      <c r="H26" s="4">
        <f>ROUND(D26/100/(DATE(YEAR(A26)+1,1,1)-DATE(YEAR(A26),1,1))*E26,8)</f>
        <v/>
      </c>
      <c r="I26" s="4">
        <f>ROUND(I25*(1+F26),8)</f>
        <v/>
      </c>
      <c r="J26" s="4">
        <f>ROUND(J25*(1+G26),8)</f>
        <v/>
      </c>
      <c r="K26" s="4">
        <f>ROUND(K25+H26,8)</f>
        <v/>
      </c>
      <c r="L26" s="4">
        <f>ROUND(0.9*F26+0.05*G26+0.05*H26,8)</f>
        <v/>
      </c>
    </row>
    <row r="27">
      <c r="A27" s="2" t="n">
        <v>43781</v>
      </c>
      <c r="B27" s="8" t="n">
        <v>1723.4</v>
      </c>
      <c r="C27" s="8" t="n">
        <v>119.4116</v>
      </c>
      <c r="D27" s="8" t="n">
        <v>0.35</v>
      </c>
      <c r="E27">
        <f>A27-A26</f>
        <v/>
      </c>
      <c r="F27" s="4">
        <f>ROUND(B27/B26-1,8)</f>
        <v/>
      </c>
      <c r="G27" s="4">
        <f>ROUND(C27/C26-1,8)</f>
        <v/>
      </c>
      <c r="H27" s="4">
        <f>ROUND(D27/100/(DATE(YEAR(A27)+1,1,1)-DATE(YEAR(A27),1,1))*E27,8)</f>
        <v/>
      </c>
      <c r="I27" s="4">
        <f>ROUND(I26*(1+F27),8)</f>
        <v/>
      </c>
      <c r="J27" s="4">
        <f>ROUND(J26*(1+G27),8)</f>
        <v/>
      </c>
      <c r="K27" s="4">
        <f>ROUND(K26+H27,8)</f>
        <v/>
      </c>
      <c r="L27" s="4">
        <f>ROUND(0.9*F27+0.05*G27+0.05*H27,8)</f>
        <v/>
      </c>
    </row>
    <row r="28">
      <c r="A28" s="2" t="n">
        <v>43782</v>
      </c>
      <c r="B28" s="8" t="n">
        <v>1716.63</v>
      </c>
      <c r="C28" s="8" t="n">
        <v>119.4497</v>
      </c>
      <c r="D28" s="8" t="n">
        <v>0.35</v>
      </c>
      <c r="E28">
        <f>A28-A27</f>
        <v/>
      </c>
      <c r="F28" s="4">
        <f>ROUND(B28/B27-1,8)</f>
        <v/>
      </c>
      <c r="G28" s="4">
        <f>ROUND(C28/C27-1,8)</f>
        <v/>
      </c>
      <c r="H28" s="4">
        <f>ROUND(D28/100/(DATE(YEAR(A28)+1,1,1)-DATE(YEAR(A28),1,1))*E28,8)</f>
        <v/>
      </c>
      <c r="I28" s="4">
        <f>ROUND(I27*(1+F28),8)</f>
        <v/>
      </c>
      <c r="J28" s="4">
        <f>ROUND(J27*(1+G28),8)</f>
        <v/>
      </c>
      <c r="K28" s="4">
        <f>ROUND(K27+H28,8)</f>
        <v/>
      </c>
      <c r="L28" s="4">
        <f>ROUND(0.9*F28+0.05*G28+0.05*H28,8)</f>
        <v/>
      </c>
    </row>
    <row r="29">
      <c r="A29" s="2" t="n">
        <v>43783</v>
      </c>
      <c r="B29" s="8" t="n">
        <v>1730.62</v>
      </c>
      <c r="C29" s="8" t="n">
        <v>119.446</v>
      </c>
      <c r="D29" s="8" t="n">
        <v>0.35</v>
      </c>
      <c r="E29">
        <f>A29-A28</f>
        <v/>
      </c>
      <c r="F29" s="4">
        <f>ROUND(B29/B28-1,8)</f>
        <v/>
      </c>
      <c r="G29" s="4">
        <f>ROUND(C29/C28-1,8)</f>
        <v/>
      </c>
      <c r="H29" s="4">
        <f>ROUND(D29/100/(DATE(YEAR(A29)+1,1,1)-DATE(YEAR(A29),1,1))*E29,8)</f>
        <v/>
      </c>
      <c r="I29" s="4">
        <f>ROUND(I28*(1+F29),8)</f>
        <v/>
      </c>
      <c r="J29" s="4">
        <f>ROUND(J28*(1+G29),8)</f>
        <v/>
      </c>
      <c r="K29" s="4">
        <f>ROUND(K28+H29,8)</f>
        <v/>
      </c>
      <c r="L29" s="4">
        <f>ROUND(0.9*F29+0.05*G29+0.05*H29,8)</f>
        <v/>
      </c>
    </row>
    <row r="30">
      <c r="A30" s="2" t="n">
        <v>43784</v>
      </c>
      <c r="B30" s="8" t="n">
        <v>1706.16</v>
      </c>
      <c r="C30" s="8" t="n">
        <v>119.4985</v>
      </c>
      <c r="D30" s="8" t="n">
        <v>0.35</v>
      </c>
      <c r="E30">
        <f>A30-A29</f>
        <v/>
      </c>
      <c r="F30" s="4">
        <f>ROUND(B30/B29-1,8)</f>
        <v/>
      </c>
      <c r="G30" s="4">
        <f>ROUND(C30/C29-1,8)</f>
        <v/>
      </c>
      <c r="H30" s="4">
        <f>ROUND(D30/100/(DATE(YEAR(A30)+1,1,1)-DATE(YEAR(A30),1,1))*E30,8)</f>
        <v/>
      </c>
      <c r="I30" s="4">
        <f>ROUND(I29*(1+F30),8)</f>
        <v/>
      </c>
      <c r="J30" s="4">
        <f>ROUND(J29*(1+G30),8)</f>
        <v/>
      </c>
      <c r="K30" s="4">
        <f>ROUND(K29+H30,8)</f>
        <v/>
      </c>
      <c r="L30" s="4">
        <f>ROUND(0.9*F30+0.05*G30+0.05*H30,8)</f>
        <v/>
      </c>
    </row>
    <row r="31">
      <c r="A31" s="2" t="n">
        <v>43787</v>
      </c>
      <c r="B31" s="8" t="n">
        <v>1719.03</v>
      </c>
      <c r="C31" s="8" t="n">
        <v>119.6196</v>
      </c>
      <c r="D31" s="8" t="n">
        <v>0.35</v>
      </c>
      <c r="E31">
        <f>A31-A30</f>
        <v/>
      </c>
      <c r="F31" s="4">
        <f>ROUND(B31/B30-1,8)</f>
        <v/>
      </c>
      <c r="G31" s="4">
        <f>ROUND(C31/C30-1,8)</f>
        <v/>
      </c>
      <c r="H31" s="4">
        <f>ROUND(D31/100/(DATE(YEAR(A31)+1,1,1)-DATE(YEAR(A31),1,1))*E31,8)</f>
        <v/>
      </c>
      <c r="I31" s="4">
        <f>ROUND(I30*(1+F31),8)</f>
        <v/>
      </c>
      <c r="J31" s="4">
        <f>ROUND(J30*(1+G31),8)</f>
        <v/>
      </c>
      <c r="K31" s="4">
        <f>ROUND(K30+H31,8)</f>
        <v/>
      </c>
      <c r="L31" s="4">
        <f>ROUND(0.9*F31+0.05*G31+0.05*H31,8)</f>
        <v/>
      </c>
    </row>
    <row r="32">
      <c r="A32" s="2" t="n">
        <v>43788</v>
      </c>
      <c r="B32" s="8" t="n">
        <v>1749.83</v>
      </c>
      <c r="C32" s="8" t="n">
        <v>119.7152</v>
      </c>
      <c r="D32" s="8" t="n">
        <v>0.35</v>
      </c>
      <c r="E32">
        <f>A32-A31</f>
        <v/>
      </c>
      <c r="F32" s="4">
        <f>ROUND(B32/B31-1,8)</f>
        <v/>
      </c>
      <c r="G32" s="4">
        <f>ROUND(C32/C31-1,8)</f>
        <v/>
      </c>
      <c r="H32" s="4">
        <f>ROUND(D32/100/(DATE(YEAR(A32)+1,1,1)-DATE(YEAR(A32),1,1))*E32,8)</f>
        <v/>
      </c>
      <c r="I32" s="4">
        <f>ROUND(I31*(1+F32),8)</f>
        <v/>
      </c>
      <c r="J32" s="4">
        <f>ROUND(J31*(1+G32),8)</f>
        <v/>
      </c>
      <c r="K32" s="4">
        <f>ROUND(K31+H32,8)</f>
        <v/>
      </c>
      <c r="L32" s="4">
        <f>ROUND(0.9*F32+0.05*G32+0.05*H32,8)</f>
        <v/>
      </c>
    </row>
    <row r="33">
      <c r="A33" s="2" t="n">
        <v>43789</v>
      </c>
      <c r="B33" s="8" t="n">
        <v>1737.71</v>
      </c>
      <c r="C33" s="8" t="n">
        <v>119.7286</v>
      </c>
      <c r="D33" s="8" t="n">
        <v>0.35</v>
      </c>
      <c r="E33">
        <f>A33-A32</f>
        <v/>
      </c>
      <c r="F33" s="4">
        <f>ROUND(B33/B32-1,8)</f>
        <v/>
      </c>
      <c r="G33" s="4">
        <f>ROUND(C33/C32-1,8)</f>
        <v/>
      </c>
      <c r="H33" s="4">
        <f>ROUND(D33/100/(DATE(YEAR(A33)+1,1,1)-DATE(YEAR(A33),1,1))*E33,8)</f>
        <v/>
      </c>
      <c r="I33" s="4">
        <f>ROUND(I32*(1+F33),8)</f>
        <v/>
      </c>
      <c r="J33" s="4">
        <f>ROUND(J32*(1+G33),8)</f>
        <v/>
      </c>
      <c r="K33" s="4">
        <f>ROUND(K32+H33,8)</f>
        <v/>
      </c>
      <c r="L33" s="4">
        <f>ROUND(0.9*F33+0.05*G33+0.05*H33,8)</f>
        <v/>
      </c>
    </row>
    <row r="34">
      <c r="A34" s="2" t="n">
        <v>43790</v>
      </c>
      <c r="B34" s="8" t="n">
        <v>1735.95</v>
      </c>
      <c r="C34" s="8" t="n">
        <v>119.7674</v>
      </c>
      <c r="D34" s="8" t="n">
        <v>0.35</v>
      </c>
      <c r="E34">
        <f>A34-A33</f>
        <v/>
      </c>
      <c r="F34" s="4">
        <f>ROUND(B34/B33-1,8)</f>
        <v/>
      </c>
      <c r="G34" s="4">
        <f>ROUND(C34/C33-1,8)</f>
        <v/>
      </c>
      <c r="H34" s="4">
        <f>ROUND(D34/100/(DATE(YEAR(A34)+1,1,1)-DATE(YEAR(A34),1,1))*E34,8)</f>
        <v/>
      </c>
      <c r="I34" s="4">
        <f>ROUND(I33*(1+F34),8)</f>
        <v/>
      </c>
      <c r="J34" s="4">
        <f>ROUND(J33*(1+G34),8)</f>
        <v/>
      </c>
      <c r="K34" s="4">
        <f>ROUND(K33+H34,8)</f>
        <v/>
      </c>
      <c r="L34" s="4">
        <f>ROUND(0.9*F34+0.05*G34+0.05*H34,8)</f>
        <v/>
      </c>
    </row>
    <row r="35">
      <c r="A35" s="2" t="n">
        <v>43791</v>
      </c>
      <c r="B35" s="8" t="n">
        <v>1717.07</v>
      </c>
      <c r="C35" s="8" t="n">
        <v>119.7722</v>
      </c>
      <c r="D35" s="8" t="n">
        <v>0.35</v>
      </c>
      <c r="E35">
        <f>A35-A34</f>
        <v/>
      </c>
      <c r="F35" s="4">
        <f>ROUND(B35/B34-1,8)</f>
        <v/>
      </c>
      <c r="G35" s="4">
        <f>ROUND(C35/C34-1,8)</f>
        <v/>
      </c>
      <c r="H35" s="4">
        <f>ROUND(D35/100/(DATE(YEAR(A35)+1,1,1)-DATE(YEAR(A35),1,1))*E35,8)</f>
        <v/>
      </c>
      <c r="I35" s="4">
        <f>ROUND(I34*(1+F35),8)</f>
        <v/>
      </c>
      <c r="J35" s="4">
        <f>ROUND(J34*(1+G35),8)</f>
        <v/>
      </c>
      <c r="K35" s="4">
        <f>ROUND(K34+H35,8)</f>
        <v/>
      </c>
      <c r="L35" s="4">
        <f>ROUND(0.9*F35+0.05*G35+0.05*H35,8)</f>
        <v/>
      </c>
    </row>
    <row r="36">
      <c r="A36" s="2" t="n">
        <v>43794</v>
      </c>
      <c r="B36" s="8" t="n">
        <v>1702.25</v>
      </c>
      <c r="C36" s="8" t="n">
        <v>119.699</v>
      </c>
      <c r="D36" s="8" t="n">
        <v>0.35</v>
      </c>
      <c r="E36">
        <f>A36-A35</f>
        <v/>
      </c>
      <c r="F36" s="4">
        <f>ROUND(B36/B35-1,8)</f>
        <v/>
      </c>
      <c r="G36" s="4">
        <f>ROUND(C36/C35-1,8)</f>
        <v/>
      </c>
      <c r="H36" s="4">
        <f>ROUND(D36/100/(DATE(YEAR(A36)+1,1,1)-DATE(YEAR(A36),1,1))*E36,8)</f>
        <v/>
      </c>
      <c r="I36" s="4">
        <f>ROUND(I35*(1+F36),8)</f>
        <v/>
      </c>
      <c r="J36" s="4">
        <f>ROUND(J35*(1+G36),8)</f>
        <v/>
      </c>
      <c r="K36" s="4">
        <f>ROUND(K35+H36,8)</f>
        <v/>
      </c>
      <c r="L36" s="4">
        <f>ROUND(0.9*F36+0.05*G36+0.05*H36,8)</f>
        <v/>
      </c>
    </row>
    <row r="37">
      <c r="A37" s="2" t="n">
        <v>43795</v>
      </c>
      <c r="B37" s="8" t="n">
        <v>1700.33</v>
      </c>
      <c r="C37" s="8" t="n">
        <v>119.7242</v>
      </c>
      <c r="D37" s="8" t="n">
        <v>0.35</v>
      </c>
      <c r="E37">
        <f>A37-A36</f>
        <v/>
      </c>
      <c r="F37" s="4">
        <f>ROUND(B37/B36-1,8)</f>
        <v/>
      </c>
      <c r="G37" s="4">
        <f>ROUND(C37/C36-1,8)</f>
        <v/>
      </c>
      <c r="H37" s="4">
        <f>ROUND(D37/100/(DATE(YEAR(A37)+1,1,1)-DATE(YEAR(A37),1,1))*E37,8)</f>
        <v/>
      </c>
      <c r="I37" s="4">
        <f>ROUND(I36*(1+F37),8)</f>
        <v/>
      </c>
      <c r="J37" s="4">
        <f>ROUND(J36*(1+G37),8)</f>
        <v/>
      </c>
      <c r="K37" s="4">
        <f>ROUND(K36+H37,8)</f>
        <v/>
      </c>
      <c r="L37" s="4">
        <f>ROUND(0.9*F37+0.05*G37+0.05*H37,8)</f>
        <v/>
      </c>
    </row>
    <row r="38">
      <c r="A38" s="2" t="n">
        <v>43796</v>
      </c>
      <c r="B38" s="8" t="n">
        <v>1699.64</v>
      </c>
      <c r="C38" s="8" t="n">
        <v>119.722</v>
      </c>
      <c r="D38" s="8" t="n">
        <v>0.35</v>
      </c>
      <c r="E38">
        <f>A38-A37</f>
        <v/>
      </c>
      <c r="F38" s="4">
        <f>ROUND(B38/B37-1,8)</f>
        <v/>
      </c>
      <c r="G38" s="4">
        <f>ROUND(C38/C37-1,8)</f>
        <v/>
      </c>
      <c r="H38" s="4">
        <f>ROUND(D38/100/(DATE(YEAR(A38)+1,1,1)-DATE(YEAR(A38),1,1))*E38,8)</f>
        <v/>
      </c>
      <c r="I38" s="4">
        <f>ROUND(I37*(1+F38),8)</f>
        <v/>
      </c>
      <c r="J38" s="4">
        <f>ROUND(J37*(1+G38),8)</f>
        <v/>
      </c>
      <c r="K38" s="4">
        <f>ROUND(K37+H38,8)</f>
        <v/>
      </c>
      <c r="L38" s="4">
        <f>ROUND(0.9*F38+0.05*G38+0.05*H38,8)</f>
        <v/>
      </c>
    </row>
    <row r="39">
      <c r="A39" s="2" t="n">
        <v>43797</v>
      </c>
      <c r="B39" s="8" t="n">
        <v>1696.02</v>
      </c>
      <c r="C39" s="8" t="n">
        <v>119.7466</v>
      </c>
      <c r="D39" s="8" t="n">
        <v>0.35</v>
      </c>
      <c r="E39">
        <f>A39-A38</f>
        <v/>
      </c>
      <c r="F39" s="4">
        <f>ROUND(B39/B38-1,8)</f>
        <v/>
      </c>
      <c r="G39" s="4">
        <f>ROUND(C39/C38-1,8)</f>
        <v/>
      </c>
      <c r="H39" s="4">
        <f>ROUND(D39/100/(DATE(YEAR(A39)+1,1,1)-DATE(YEAR(A39),1,1))*E39,8)</f>
        <v/>
      </c>
      <c r="I39" s="4">
        <f>ROUND(I38*(1+F39),8)</f>
        <v/>
      </c>
      <c r="J39" s="4">
        <f>ROUND(J38*(1+G39),8)</f>
        <v/>
      </c>
      <c r="K39" s="4">
        <f>ROUND(K38+H39,8)</f>
        <v/>
      </c>
      <c r="L39" s="4">
        <f>ROUND(0.9*F39+0.05*G39+0.05*H39,8)</f>
        <v/>
      </c>
    </row>
    <row r="40">
      <c r="A40" s="2" t="n">
        <v>43798</v>
      </c>
      <c r="B40" s="8" t="n">
        <v>1697.35</v>
      </c>
      <c r="C40" s="8" t="n">
        <v>119.772</v>
      </c>
      <c r="D40" s="8" t="n">
        <v>0.35</v>
      </c>
      <c r="E40">
        <f>A40-A39</f>
        <v/>
      </c>
      <c r="F40" s="4">
        <f>ROUND(B40/B39-1,8)</f>
        <v/>
      </c>
      <c r="G40" s="4">
        <f>ROUND(C40/C39-1,8)</f>
        <v/>
      </c>
      <c r="H40" s="4">
        <f>ROUND(D40/100/(DATE(YEAR(A40)+1,1,1)-DATE(YEAR(A40),1,1))*E40,8)</f>
        <v/>
      </c>
      <c r="I40" s="4">
        <f>ROUND(I39*(1+F40),8)</f>
        <v/>
      </c>
      <c r="J40" s="4">
        <f>ROUND(J39*(1+G40),8)</f>
        <v/>
      </c>
      <c r="K40" s="4">
        <f>ROUND(K39+H40,8)</f>
        <v/>
      </c>
      <c r="L40" s="4">
        <f>ROUND(0.9*F40+0.05*G40+0.05*H40,8)</f>
        <v/>
      </c>
    </row>
    <row r="41">
      <c r="A41" s="2" t="n">
        <v>43801</v>
      </c>
      <c r="B41" s="8" t="n">
        <v>1700.28</v>
      </c>
      <c r="C41" s="8" t="n">
        <v>119.7308</v>
      </c>
      <c r="D41" s="8" t="n">
        <v>0.35</v>
      </c>
      <c r="E41">
        <f>A41-A40</f>
        <v/>
      </c>
      <c r="F41" s="4">
        <f>ROUND(B41/B40-1,8)</f>
        <v/>
      </c>
      <c r="G41" s="4">
        <f>ROUND(C41/C40-1,8)</f>
        <v/>
      </c>
      <c r="H41" s="4">
        <f>ROUND(D41/100/(DATE(YEAR(A41)+1,1,1)-DATE(YEAR(A41),1,1))*E41,8)</f>
        <v/>
      </c>
      <c r="I41" s="4">
        <f>ROUND(I40*(1+F41),8)</f>
        <v/>
      </c>
      <c r="J41" s="4">
        <f>ROUND(J40*(1+G41),8)</f>
        <v/>
      </c>
      <c r="K41" s="4">
        <f>ROUND(K40+H41,8)</f>
        <v/>
      </c>
      <c r="L41" s="4">
        <f>ROUND(0.9*F41+0.05*G41+0.05*H41,8)</f>
        <v/>
      </c>
    </row>
    <row r="42">
      <c r="A42" s="2" t="n">
        <v>43802</v>
      </c>
      <c r="B42" s="8" t="n">
        <v>1712.36</v>
      </c>
      <c r="C42" s="8" t="n">
        <v>119.7628</v>
      </c>
      <c r="D42" s="8" t="n">
        <v>0.35</v>
      </c>
      <c r="E42">
        <f>A42-A41</f>
        <v/>
      </c>
      <c r="F42" s="4">
        <f>ROUND(B42/B41-1,8)</f>
        <v/>
      </c>
      <c r="G42" s="4">
        <f>ROUND(C42/C41-1,8)</f>
        <v/>
      </c>
      <c r="H42" s="4">
        <f>ROUND(D42/100/(DATE(YEAR(A42)+1,1,1)-DATE(YEAR(A42),1,1))*E42,8)</f>
        <v/>
      </c>
      <c r="I42" s="4">
        <f>ROUND(I41*(1+F42),8)</f>
        <v/>
      </c>
      <c r="J42" s="4">
        <f>ROUND(J41*(1+G42),8)</f>
        <v/>
      </c>
      <c r="K42" s="4">
        <f>ROUND(K41+H42,8)</f>
        <v/>
      </c>
      <c r="L42" s="4">
        <f>ROUND(0.9*F42+0.05*G42+0.05*H42,8)</f>
        <v/>
      </c>
    </row>
    <row r="43">
      <c r="A43" s="2" t="n">
        <v>43803</v>
      </c>
      <c r="B43" s="8" t="n">
        <v>1714.77</v>
      </c>
      <c r="C43" s="8" t="n">
        <v>119.8105</v>
      </c>
      <c r="D43" s="8" t="n">
        <v>0.35</v>
      </c>
      <c r="E43">
        <f>A43-A42</f>
        <v/>
      </c>
      <c r="F43" s="4">
        <f>ROUND(B43/B42-1,8)</f>
        <v/>
      </c>
      <c r="G43" s="4">
        <f>ROUND(C43/C42-1,8)</f>
        <v/>
      </c>
      <c r="H43" s="4">
        <f>ROUND(D43/100/(DATE(YEAR(A43)+1,1,1)-DATE(YEAR(A43),1,1))*E43,8)</f>
        <v/>
      </c>
      <c r="I43" s="4">
        <f>ROUND(I42*(1+F43),8)</f>
        <v/>
      </c>
      <c r="J43" s="4">
        <f>ROUND(J42*(1+G43),8)</f>
        <v/>
      </c>
      <c r="K43" s="4">
        <f>ROUND(K42+H43,8)</f>
        <v/>
      </c>
      <c r="L43" s="4">
        <f>ROUND(0.9*F43+0.05*G43+0.05*H43,8)</f>
        <v/>
      </c>
    </row>
    <row r="44">
      <c r="A44" s="2" t="n">
        <v>43804</v>
      </c>
      <c r="B44" s="8" t="n">
        <v>1734.98</v>
      </c>
      <c r="C44" s="8" t="n">
        <v>119.8203</v>
      </c>
      <c r="D44" s="8" t="n">
        <v>0.35</v>
      </c>
      <c r="E44">
        <f>A44-A43</f>
        <v/>
      </c>
      <c r="F44" s="4">
        <f>ROUND(B44/B43-1,8)</f>
        <v/>
      </c>
      <c r="G44" s="4">
        <f>ROUND(C44/C43-1,8)</f>
        <v/>
      </c>
      <c r="H44" s="4">
        <f>ROUND(D44/100/(DATE(YEAR(A44)+1,1,1)-DATE(YEAR(A44),1,1))*E44,8)</f>
        <v/>
      </c>
      <c r="I44" s="4">
        <f>ROUND(I43*(1+F44),8)</f>
        <v/>
      </c>
      <c r="J44" s="4">
        <f>ROUND(J43*(1+G44),8)</f>
        <v/>
      </c>
      <c r="K44" s="4">
        <f>ROUND(K43+H44,8)</f>
        <v/>
      </c>
      <c r="L44" s="4">
        <f>ROUND(0.9*F44+0.05*G44+0.05*H44,8)</f>
        <v/>
      </c>
    </row>
    <row r="45">
      <c r="A45" s="2" t="n">
        <v>43805</v>
      </c>
      <c r="B45" s="8" t="n">
        <v>1745.63</v>
      </c>
      <c r="C45" s="8" t="n">
        <v>119.8265</v>
      </c>
      <c r="D45" s="8" t="n">
        <v>0.35</v>
      </c>
      <c r="E45">
        <f>A45-A44</f>
        <v/>
      </c>
      <c r="F45" s="4">
        <f>ROUND(B45/B44-1,8)</f>
        <v/>
      </c>
      <c r="G45" s="4">
        <f>ROUND(C45/C44-1,8)</f>
        <v/>
      </c>
      <c r="H45" s="4">
        <f>ROUND(D45/100/(DATE(YEAR(A45)+1,1,1)-DATE(YEAR(A45),1,1))*E45,8)</f>
        <v/>
      </c>
      <c r="I45" s="4">
        <f>ROUND(I44*(1+F45),8)</f>
        <v/>
      </c>
      <c r="J45" s="4">
        <f>ROUND(J44*(1+G45),8)</f>
        <v/>
      </c>
      <c r="K45" s="4">
        <f>ROUND(K44+H45,8)</f>
        <v/>
      </c>
      <c r="L45" s="4">
        <f>ROUND(0.9*F45+0.05*G45+0.05*H45,8)</f>
        <v/>
      </c>
    </row>
    <row r="46">
      <c r="A46" s="2" t="n">
        <v>43808</v>
      </c>
      <c r="B46" s="8" t="n">
        <v>1751.46</v>
      </c>
      <c r="C46" s="8" t="n">
        <v>119.8233</v>
      </c>
      <c r="D46" s="8" t="n">
        <v>0.35</v>
      </c>
      <c r="E46">
        <f>A46-A45</f>
        <v/>
      </c>
      <c r="F46" s="4">
        <f>ROUND(B46/B45-1,8)</f>
        <v/>
      </c>
      <c r="G46" s="4">
        <f>ROUND(C46/C45-1,8)</f>
        <v/>
      </c>
      <c r="H46" s="4">
        <f>ROUND(D46/100/(DATE(YEAR(A46)+1,1,1)-DATE(YEAR(A46),1,1))*E46,8)</f>
        <v/>
      </c>
      <c r="I46" s="4">
        <f>ROUND(I45*(1+F46),8)</f>
        <v/>
      </c>
      <c r="J46" s="4">
        <f>ROUND(J45*(1+G46),8)</f>
        <v/>
      </c>
      <c r="K46" s="4">
        <f>ROUND(K45+H46,8)</f>
        <v/>
      </c>
      <c r="L46" s="4">
        <f>ROUND(0.9*F46+0.05*G46+0.05*H46,8)</f>
        <v/>
      </c>
    </row>
    <row r="47">
      <c r="A47" s="2" t="n">
        <v>43809</v>
      </c>
      <c r="B47" s="8" t="n">
        <v>1761.01</v>
      </c>
      <c r="C47" s="8" t="n">
        <v>119.8391</v>
      </c>
      <c r="D47" s="8" t="n">
        <v>0.35</v>
      </c>
      <c r="E47">
        <f>A47-A46</f>
        <v/>
      </c>
      <c r="F47" s="4">
        <f>ROUND(B47/B46-1,8)</f>
        <v/>
      </c>
      <c r="G47" s="4">
        <f>ROUND(C47/C46-1,8)</f>
        <v/>
      </c>
      <c r="H47" s="4">
        <f>ROUND(D47/100/(DATE(YEAR(A47)+1,1,1)-DATE(YEAR(A47),1,1))*E47,8)</f>
        <v/>
      </c>
      <c r="I47" s="4">
        <f>ROUND(I46*(1+F47),8)</f>
        <v/>
      </c>
      <c r="J47" s="4">
        <f>ROUND(J46*(1+G47),8)</f>
        <v/>
      </c>
      <c r="K47" s="4">
        <f>ROUND(K46+H47,8)</f>
        <v/>
      </c>
      <c r="L47" s="4">
        <f>ROUND(0.9*F47+0.05*G47+0.05*H47,8)</f>
        <v/>
      </c>
    </row>
    <row r="48">
      <c r="A48" s="2" t="n">
        <v>43810</v>
      </c>
      <c r="B48" s="8" t="n">
        <v>1758.62</v>
      </c>
      <c r="C48" s="8" t="n">
        <v>119.8832</v>
      </c>
      <c r="D48" s="8" t="n">
        <v>0.35</v>
      </c>
      <c r="E48">
        <f>A48-A47</f>
        <v/>
      </c>
      <c r="F48" s="4">
        <f>ROUND(B48/B47-1,8)</f>
        <v/>
      </c>
      <c r="G48" s="4">
        <f>ROUND(C48/C47-1,8)</f>
        <v/>
      </c>
      <c r="H48" s="4">
        <f>ROUND(D48/100/(DATE(YEAR(A48)+1,1,1)-DATE(YEAR(A48),1,1))*E48,8)</f>
        <v/>
      </c>
      <c r="I48" s="4">
        <f>ROUND(I47*(1+F48),8)</f>
        <v/>
      </c>
      <c r="J48" s="4">
        <f>ROUND(J47*(1+G48),8)</f>
        <v/>
      </c>
      <c r="K48" s="4">
        <f>ROUND(K47+H48,8)</f>
        <v/>
      </c>
      <c r="L48" s="4">
        <f>ROUND(0.9*F48+0.05*G48+0.05*H48,8)</f>
        <v/>
      </c>
    </row>
    <row r="49">
      <c r="A49" s="2" t="n">
        <v>43811</v>
      </c>
      <c r="B49" s="8" t="n">
        <v>1757.72</v>
      </c>
      <c r="C49" s="8" t="n">
        <v>119.9135</v>
      </c>
      <c r="D49" s="8" t="n">
        <v>0.35</v>
      </c>
      <c r="E49">
        <f>A49-A48</f>
        <v/>
      </c>
      <c r="F49" s="4">
        <f>ROUND(B49/B48-1,8)</f>
        <v/>
      </c>
      <c r="G49" s="4">
        <f>ROUND(C49/C48-1,8)</f>
        <v/>
      </c>
      <c r="H49" s="4">
        <f>ROUND(D49/100/(DATE(YEAR(A49)+1,1,1)-DATE(YEAR(A49),1,1))*E49,8)</f>
        <v/>
      </c>
      <c r="I49" s="4">
        <f>ROUND(I48*(1+F49),8)</f>
        <v/>
      </c>
      <c r="J49" s="4">
        <f>ROUND(J48*(1+G49),8)</f>
        <v/>
      </c>
      <c r="K49" s="4">
        <f>ROUND(K48+H49,8)</f>
        <v/>
      </c>
      <c r="L49" s="4">
        <f>ROUND(0.9*F49+0.05*G49+0.05*H49,8)</f>
        <v/>
      </c>
    </row>
    <row r="50">
      <c r="A50" s="2" t="n">
        <v>43812</v>
      </c>
      <c r="B50" s="8" t="n">
        <v>1775.58</v>
      </c>
      <c r="C50" s="8" t="n">
        <v>119.908</v>
      </c>
      <c r="D50" s="8" t="n">
        <v>0.35</v>
      </c>
      <c r="E50">
        <f>A50-A49</f>
        <v/>
      </c>
      <c r="F50" s="4">
        <f>ROUND(B50/B49-1,8)</f>
        <v/>
      </c>
      <c r="G50" s="4">
        <f>ROUND(C50/C49-1,8)</f>
        <v/>
      </c>
      <c r="H50" s="4">
        <f>ROUND(D50/100/(DATE(YEAR(A50)+1,1,1)-DATE(YEAR(A50),1,1))*E50,8)</f>
        <v/>
      </c>
      <c r="I50" s="4">
        <f>ROUND(I49*(1+F50),8)</f>
        <v/>
      </c>
      <c r="J50" s="4">
        <f>ROUND(J49*(1+G50),8)</f>
        <v/>
      </c>
      <c r="K50" s="4">
        <f>ROUND(K49+H50,8)</f>
        <v/>
      </c>
      <c r="L50" s="4">
        <f>ROUND(0.9*F50+0.05*G50+0.05*H50,8)</f>
        <v/>
      </c>
    </row>
    <row r="51">
      <c r="A51" s="2" t="n">
        <v>43815</v>
      </c>
      <c r="B51" s="8" t="n">
        <v>1807.82</v>
      </c>
      <c r="C51" s="8" t="n">
        <v>119.9268</v>
      </c>
      <c r="D51" s="8" t="n">
        <v>0.35</v>
      </c>
      <c r="E51">
        <f>A51-A50</f>
        <v/>
      </c>
      <c r="F51" s="4">
        <f>ROUND(B51/B50-1,8)</f>
        <v/>
      </c>
      <c r="G51" s="4">
        <f>ROUND(C51/C50-1,8)</f>
        <v/>
      </c>
      <c r="H51" s="4">
        <f>ROUND(D51/100/(DATE(YEAR(A51)+1,1,1)-DATE(YEAR(A51),1,1))*E51,8)</f>
        <v/>
      </c>
      <c r="I51" s="4">
        <f>ROUND(I50*(1+F51),8)</f>
        <v/>
      </c>
      <c r="J51" s="4">
        <f>ROUND(J50*(1+G51),8)</f>
        <v/>
      </c>
      <c r="K51" s="4">
        <f>ROUND(K50+H51,8)</f>
        <v/>
      </c>
      <c r="L51" s="4">
        <f>ROUND(0.9*F51+0.05*G51+0.05*H51,8)</f>
        <v/>
      </c>
    </row>
    <row r="52">
      <c r="A52" s="2" t="n">
        <v>43816</v>
      </c>
      <c r="B52" s="8" t="n">
        <v>1827.96</v>
      </c>
      <c r="C52" s="8" t="n">
        <v>119.8789</v>
      </c>
      <c r="D52" s="8" t="n">
        <v>0.35</v>
      </c>
      <c r="E52">
        <f>A52-A51</f>
        <v/>
      </c>
      <c r="F52" s="4">
        <f>ROUND(B52/B51-1,8)</f>
        <v/>
      </c>
      <c r="G52" s="4">
        <f>ROUND(C52/C51-1,8)</f>
        <v/>
      </c>
      <c r="H52" s="4">
        <f>ROUND(D52/100/(DATE(YEAR(A52)+1,1,1)-DATE(YEAR(A52),1,1))*E52,8)</f>
        <v/>
      </c>
      <c r="I52" s="4">
        <f>ROUND(I51*(1+F52),8)</f>
        <v/>
      </c>
      <c r="J52" s="4">
        <f>ROUND(J51*(1+G52),8)</f>
        <v/>
      </c>
      <c r="K52" s="4">
        <f>ROUND(K51+H52,8)</f>
        <v/>
      </c>
      <c r="L52" s="4">
        <f>ROUND(0.9*F52+0.05*G52+0.05*H52,8)</f>
        <v/>
      </c>
    </row>
    <row r="53">
      <c r="A53" s="2" t="n">
        <v>43817</v>
      </c>
      <c r="B53" s="8" t="n">
        <v>1833.02</v>
      </c>
      <c r="C53" s="8" t="n">
        <v>119.8654</v>
      </c>
      <c r="D53" s="8" t="n">
        <v>0.35</v>
      </c>
      <c r="E53">
        <f>A53-A52</f>
        <v/>
      </c>
      <c r="F53" s="4">
        <f>ROUND(B53/B52-1,8)</f>
        <v/>
      </c>
      <c r="G53" s="4">
        <f>ROUND(C53/C52-1,8)</f>
        <v/>
      </c>
      <c r="H53" s="4">
        <f>ROUND(D53/100/(DATE(YEAR(A53)+1,1,1)-DATE(YEAR(A53),1,1))*E53,8)</f>
        <v/>
      </c>
      <c r="I53" s="4">
        <f>ROUND(I52*(1+F53),8)</f>
        <v/>
      </c>
      <c r="J53" s="4">
        <f>ROUND(J52*(1+G53),8)</f>
        <v/>
      </c>
      <c r="K53" s="4">
        <f>ROUND(K52+H53,8)</f>
        <v/>
      </c>
      <c r="L53" s="4">
        <f>ROUND(0.9*F53+0.05*G53+0.05*H53,8)</f>
        <v/>
      </c>
    </row>
    <row r="54">
      <c r="A54" s="2" t="n">
        <v>43818</v>
      </c>
      <c r="B54" s="8" t="n">
        <v>1847.08</v>
      </c>
      <c r="C54" s="8" t="n">
        <v>119.8909</v>
      </c>
      <c r="D54" s="8" t="n">
        <v>0.35</v>
      </c>
      <c r="E54">
        <f>A54-A53</f>
        <v/>
      </c>
      <c r="F54" s="4">
        <f>ROUND(B54/B53-1,8)</f>
        <v/>
      </c>
      <c r="G54" s="4">
        <f>ROUND(C54/C53-1,8)</f>
        <v/>
      </c>
      <c r="H54" s="4">
        <f>ROUND(D54/100/(DATE(YEAR(A54)+1,1,1)-DATE(YEAR(A54),1,1))*E54,8)</f>
        <v/>
      </c>
      <c r="I54" s="4">
        <f>ROUND(I53*(1+F54),8)</f>
        <v/>
      </c>
      <c r="J54" s="4">
        <f>ROUND(J53*(1+G54),8)</f>
        <v/>
      </c>
      <c r="K54" s="4">
        <f>ROUND(K53+H54,8)</f>
        <v/>
      </c>
      <c r="L54" s="4">
        <f>ROUND(0.9*F54+0.05*G54+0.05*H54,8)</f>
        <v/>
      </c>
    </row>
    <row r="55">
      <c r="A55" s="2" t="n">
        <v>43819</v>
      </c>
      <c r="B55" s="8" t="n">
        <v>1826.47</v>
      </c>
      <c r="C55" s="8" t="n">
        <v>119.9907</v>
      </c>
      <c r="D55" s="8" t="n">
        <v>0.35</v>
      </c>
      <c r="E55">
        <f>A55-A54</f>
        <v/>
      </c>
      <c r="F55" s="4">
        <f>ROUND(B55/B54-1,8)</f>
        <v/>
      </c>
      <c r="G55" s="4">
        <f>ROUND(C55/C54-1,8)</f>
        <v/>
      </c>
      <c r="H55" s="4">
        <f>ROUND(D55/100/(DATE(YEAR(A55)+1,1,1)-DATE(YEAR(A55),1,1))*E55,8)</f>
        <v/>
      </c>
      <c r="I55" s="4">
        <f>ROUND(I54*(1+F55),8)</f>
        <v/>
      </c>
      <c r="J55" s="4">
        <f>ROUND(J54*(1+G55),8)</f>
        <v/>
      </c>
      <c r="K55" s="4">
        <f>ROUND(K54+H55,8)</f>
        <v/>
      </c>
      <c r="L55" s="4">
        <f>ROUND(0.9*F55+0.05*G55+0.05*H55,8)</f>
        <v/>
      </c>
    </row>
    <row r="56">
      <c r="A56" s="2" t="n">
        <v>43822</v>
      </c>
      <c r="B56" s="8" t="n">
        <v>1783.41</v>
      </c>
      <c r="C56" s="8" t="n">
        <v>120.0859</v>
      </c>
      <c r="D56" s="8" t="n">
        <v>0.35</v>
      </c>
      <c r="E56">
        <f>A56-A55</f>
        <v/>
      </c>
      <c r="F56" s="4">
        <f>ROUND(B56/B55-1,8)</f>
        <v/>
      </c>
      <c r="G56" s="4">
        <f>ROUND(C56/C55-1,8)</f>
        <v/>
      </c>
      <c r="H56" s="4">
        <f>ROUND(D56/100/(DATE(YEAR(A56)+1,1,1)-DATE(YEAR(A56),1,1))*E56,8)</f>
        <v/>
      </c>
      <c r="I56" s="4">
        <f>ROUND(I55*(1+F56),8)</f>
        <v/>
      </c>
      <c r="J56" s="4">
        <f>ROUND(J55*(1+G56),8)</f>
        <v/>
      </c>
      <c r="K56" s="4">
        <f>ROUND(K55+H56,8)</f>
        <v/>
      </c>
      <c r="L56" s="4">
        <f>ROUND(0.9*F56+0.05*G56+0.05*H56,8)</f>
        <v/>
      </c>
    </row>
    <row r="57">
      <c r="A57" s="2" t="n">
        <v>43823</v>
      </c>
      <c r="B57" s="8" t="n">
        <v>1813.96</v>
      </c>
      <c r="C57" s="8" t="n">
        <v>120.1519</v>
      </c>
      <c r="D57" s="8" t="n">
        <v>0.35</v>
      </c>
      <c r="E57">
        <f>A57-A56</f>
        <v/>
      </c>
      <c r="F57" s="4">
        <f>ROUND(B57/B56-1,8)</f>
        <v/>
      </c>
      <c r="G57" s="4">
        <f>ROUND(C57/C56-1,8)</f>
        <v/>
      </c>
      <c r="H57" s="4">
        <f>ROUND(D57/100/(DATE(YEAR(A57)+1,1,1)-DATE(YEAR(A57),1,1))*E57,8)</f>
        <v/>
      </c>
      <c r="I57" s="4">
        <f>ROUND(I56*(1+F57),8)</f>
        <v/>
      </c>
      <c r="J57" s="4">
        <f>ROUND(J56*(1+G57),8)</f>
        <v/>
      </c>
      <c r="K57" s="4">
        <f>ROUND(K56+H57,8)</f>
        <v/>
      </c>
      <c r="L57" s="4">
        <f>ROUND(0.9*F57+0.05*G57+0.05*H57,8)</f>
        <v/>
      </c>
    </row>
    <row r="58">
      <c r="A58" s="2" t="n">
        <v>43824</v>
      </c>
      <c r="B58" s="8" t="n">
        <v>1822.65</v>
      </c>
      <c r="C58" s="8" t="n">
        <v>120.1979</v>
      </c>
      <c r="D58" s="8" t="n">
        <v>0.35</v>
      </c>
      <c r="E58">
        <f>A58-A57</f>
        <v/>
      </c>
      <c r="F58" s="4">
        <f>ROUND(B58/B57-1,8)</f>
        <v/>
      </c>
      <c r="G58" s="4">
        <f>ROUND(C58/C57-1,8)</f>
        <v/>
      </c>
      <c r="H58" s="4">
        <f>ROUND(D58/100/(DATE(YEAR(A58)+1,1,1)-DATE(YEAR(A58),1,1))*E58,8)</f>
        <v/>
      </c>
      <c r="I58" s="4">
        <f>ROUND(I57*(1+F58),8)</f>
        <v/>
      </c>
      <c r="J58" s="4">
        <f>ROUND(J57*(1+G58),8)</f>
        <v/>
      </c>
      <c r="K58" s="4">
        <f>ROUND(K57+H58,8)</f>
        <v/>
      </c>
      <c r="L58" s="4">
        <f>ROUND(0.9*F58+0.05*G58+0.05*H58,8)</f>
        <v/>
      </c>
    </row>
    <row r="59">
      <c r="A59" s="2" t="n">
        <v>43825</v>
      </c>
      <c r="B59" s="8" t="n">
        <v>1838.03</v>
      </c>
      <c r="C59" s="8" t="n">
        <v>120.2916</v>
      </c>
      <c r="D59" s="8" t="n">
        <v>0.35</v>
      </c>
      <c r="E59">
        <f>A59-A58</f>
        <v/>
      </c>
      <c r="F59" s="4">
        <f>ROUND(B59/B58-1,8)</f>
        <v/>
      </c>
      <c r="G59" s="4">
        <f>ROUND(C59/C58-1,8)</f>
        <v/>
      </c>
      <c r="H59" s="4">
        <f>ROUND(D59/100/(DATE(YEAR(A59)+1,1,1)-DATE(YEAR(A59),1,1))*E59,8)</f>
        <v/>
      </c>
      <c r="I59" s="4">
        <f>ROUND(I58*(1+F59),8)</f>
        <v/>
      </c>
      <c r="J59" s="4">
        <f>ROUND(J58*(1+G59),8)</f>
        <v/>
      </c>
      <c r="K59" s="4">
        <f>ROUND(K58+H59,8)</f>
        <v/>
      </c>
      <c r="L59" s="4">
        <f>ROUND(0.9*F59+0.05*G59+0.05*H59,8)</f>
        <v/>
      </c>
    </row>
    <row r="60">
      <c r="A60" s="2" t="n">
        <v>43826</v>
      </c>
      <c r="B60" s="8" t="n">
        <v>1820.41</v>
      </c>
      <c r="C60" s="8" t="n">
        <v>120.3002</v>
      </c>
      <c r="D60" s="8" t="n">
        <v>0.35</v>
      </c>
      <c r="E60">
        <f>A60-A59</f>
        <v/>
      </c>
      <c r="F60" s="4">
        <f>ROUND(B60/B59-1,8)</f>
        <v/>
      </c>
      <c r="G60" s="4">
        <f>ROUND(C60/C59-1,8)</f>
        <v/>
      </c>
      <c r="H60" s="4">
        <f>ROUND(D60/100/(DATE(YEAR(A60)+1,1,1)-DATE(YEAR(A60),1,1))*E60,8)</f>
        <v/>
      </c>
      <c r="I60" s="4">
        <f>ROUND(I59*(1+F60),8)</f>
        <v/>
      </c>
      <c r="J60" s="4">
        <f>ROUND(J59*(1+G60),8)</f>
        <v/>
      </c>
      <c r="K60" s="4">
        <f>ROUND(K59+H60,8)</f>
        <v/>
      </c>
      <c r="L60" s="4">
        <f>ROUND(0.9*F60+0.05*G60+0.05*H60,8)</f>
        <v/>
      </c>
    </row>
    <row r="61">
      <c r="A61" s="2" t="n">
        <v>43829</v>
      </c>
      <c r="B61" s="8" t="n">
        <v>1825.76</v>
      </c>
      <c r="C61" s="8" t="n">
        <v>120.3166</v>
      </c>
      <c r="D61" s="8" t="n">
        <v>0.35</v>
      </c>
      <c r="E61">
        <f>A61-A60</f>
        <v/>
      </c>
      <c r="F61" s="4">
        <f>ROUND(B61/B60-1,8)</f>
        <v/>
      </c>
      <c r="G61" s="4">
        <f>ROUND(C61/C60-1,8)</f>
        <v/>
      </c>
      <c r="H61" s="4">
        <f>ROUND(D61/100/(DATE(YEAR(A61)+1,1,1)-DATE(YEAR(A61),1,1))*E61,8)</f>
        <v/>
      </c>
      <c r="I61" s="4">
        <f>ROUND(I60*(1+F61),8)</f>
        <v/>
      </c>
      <c r="J61" s="4">
        <f>ROUND(J60*(1+G61),8)</f>
        <v/>
      </c>
      <c r="K61" s="4">
        <f>ROUND(K60+H61,8)</f>
        <v/>
      </c>
      <c r="L61" s="4">
        <f>ROUND(0.9*F61+0.05*G61+0.05*H61,8)</f>
        <v/>
      </c>
    </row>
    <row r="62">
      <c r="A62" s="2" t="n">
        <v>43830</v>
      </c>
      <c r="B62" s="8" t="n">
        <v>1835.89</v>
      </c>
      <c r="C62" s="8" t="n">
        <v>120.3568</v>
      </c>
      <c r="D62" s="8" t="n">
        <v>0.35</v>
      </c>
      <c r="E62">
        <f>A62-A61</f>
        <v/>
      </c>
      <c r="F62" s="4">
        <f>ROUND(B62/B61-1,8)</f>
        <v/>
      </c>
      <c r="G62" s="4">
        <f>ROUND(C62/C61-1,8)</f>
        <v/>
      </c>
      <c r="H62" s="4">
        <f>ROUND(D62/100/(DATE(YEAR(A62)+1,1,1)-DATE(YEAR(A62),1,1))*E62,8)</f>
        <v/>
      </c>
      <c r="I62" s="4">
        <f>ROUND(I61*(1+F62),8)</f>
        <v/>
      </c>
      <c r="J62" s="4">
        <f>ROUND(J61*(1+G62),8)</f>
        <v/>
      </c>
      <c r="K62" s="4">
        <f>ROUND(K61+H62,8)</f>
        <v/>
      </c>
      <c r="L62" s="4">
        <f>ROUND(0.9*F62+0.05*G62+0.05*H62,8)</f>
        <v/>
      </c>
    </row>
    <row r="63">
      <c r="A63" s="2" t="n">
        <v>43832</v>
      </c>
      <c r="B63" s="8" t="n">
        <v>1873.92</v>
      </c>
      <c r="C63" s="8" t="n">
        <v>120.3399</v>
      </c>
      <c r="D63" s="8" t="n">
        <v>0.35</v>
      </c>
      <c r="E63">
        <f>A63-A62</f>
        <v/>
      </c>
      <c r="F63" s="4">
        <f>ROUND(B63/B62-1,8)</f>
        <v/>
      </c>
      <c r="G63" s="4">
        <f>ROUND(C63/C62-1,8)</f>
        <v/>
      </c>
      <c r="H63" s="4">
        <f>ROUND(D63/100/(DATE(YEAR(A63)+1,1,1)-DATE(YEAR(A63),1,1))*E63,8)</f>
        <v/>
      </c>
      <c r="I63" s="4">
        <f>ROUND(I62*(1+F63),8)</f>
        <v/>
      </c>
      <c r="J63" s="4">
        <f>ROUND(J62*(1+G63),8)</f>
        <v/>
      </c>
      <c r="K63" s="4">
        <f>ROUND(K62+H63,8)</f>
        <v/>
      </c>
      <c r="L63" s="4">
        <f>ROUND(0.9*F63+0.05*G63+0.05*H63,8)</f>
        <v/>
      </c>
    </row>
    <row r="64">
      <c r="A64" s="2" t="n">
        <v>43833</v>
      </c>
      <c r="B64" s="8" t="n">
        <v>1886.71</v>
      </c>
      <c r="C64" s="8" t="n">
        <v>120.3506</v>
      </c>
      <c r="D64" s="8" t="n">
        <v>0.35</v>
      </c>
      <c r="E64">
        <f>A64-A63</f>
        <v/>
      </c>
      <c r="F64" s="4">
        <f>ROUND(B64/B63-1,8)</f>
        <v/>
      </c>
      <c r="G64" s="4">
        <f>ROUND(C64/C63-1,8)</f>
        <v/>
      </c>
      <c r="H64" s="4">
        <f>ROUND(D64/100/(DATE(YEAR(A64)+1,1,1)-DATE(YEAR(A64),1,1))*E64,8)</f>
        <v/>
      </c>
      <c r="I64" s="4">
        <f>ROUND(I63*(1+F64),8)</f>
        <v/>
      </c>
      <c r="J64" s="4">
        <f>ROUND(J63*(1+G64),8)</f>
        <v/>
      </c>
      <c r="K64" s="4">
        <f>ROUND(K63+H64,8)</f>
        <v/>
      </c>
      <c r="L64" s="4">
        <f>ROUND(0.9*F64+0.05*G64+0.05*H64,8)</f>
        <v/>
      </c>
    </row>
    <row r="65">
      <c r="A65" s="2" t="n">
        <v>43836</v>
      </c>
      <c r="B65" s="8" t="n">
        <v>1902.33</v>
      </c>
      <c r="C65" s="8" t="n">
        <v>120.4014</v>
      </c>
      <c r="D65" s="8" t="n">
        <v>0.35</v>
      </c>
      <c r="E65">
        <f>A65-A64</f>
        <v/>
      </c>
      <c r="F65" s="4">
        <f>ROUND(B65/B64-1,8)</f>
        <v/>
      </c>
      <c r="G65" s="4">
        <f>ROUND(C65/C64-1,8)</f>
        <v/>
      </c>
      <c r="H65" s="4">
        <f>ROUND(D65/100/(DATE(YEAR(A65)+1,1,1)-DATE(YEAR(A65),1,1))*E65,8)</f>
        <v/>
      </c>
      <c r="I65" s="4">
        <f>ROUND(I64*(1+F65),8)</f>
        <v/>
      </c>
      <c r="J65" s="4">
        <f>ROUND(J64*(1+G65),8)</f>
        <v/>
      </c>
      <c r="K65" s="4">
        <f>ROUND(K64+H65,8)</f>
        <v/>
      </c>
      <c r="L65" s="4">
        <f>ROUND(0.9*F65+0.05*G65+0.05*H65,8)</f>
        <v/>
      </c>
    </row>
    <row r="66">
      <c r="A66" s="2" t="n">
        <v>43837</v>
      </c>
      <c r="B66" s="8" t="n">
        <v>1928.68</v>
      </c>
      <c r="C66" s="8" t="n">
        <v>120.4226</v>
      </c>
      <c r="D66" s="8" t="n">
        <v>0.35</v>
      </c>
      <c r="E66">
        <f>A66-A65</f>
        <v/>
      </c>
      <c r="F66" s="4">
        <f>ROUND(B66/B65-1,8)</f>
        <v/>
      </c>
      <c r="G66" s="4">
        <f>ROUND(C66/C65-1,8)</f>
        <v/>
      </c>
      <c r="H66" s="4">
        <f>ROUND(D66/100/(DATE(YEAR(A66)+1,1,1)-DATE(YEAR(A66),1,1))*E66,8)</f>
        <v/>
      </c>
      <c r="I66" s="4">
        <f>ROUND(I65*(1+F66),8)</f>
        <v/>
      </c>
      <c r="J66" s="4">
        <f>ROUND(J65*(1+G66),8)</f>
        <v/>
      </c>
      <c r="K66" s="4">
        <f>ROUND(K65+H66,8)</f>
        <v/>
      </c>
      <c r="L66" s="4">
        <f>ROUND(0.9*F66+0.05*G66+0.05*H66,8)</f>
        <v/>
      </c>
    </row>
    <row r="67">
      <c r="A67" s="2" t="n">
        <v>43838</v>
      </c>
      <c r="B67" s="8" t="n">
        <v>1899.64</v>
      </c>
      <c r="C67" s="8" t="n">
        <v>120.4609</v>
      </c>
      <c r="D67" s="8" t="n">
        <v>0.35</v>
      </c>
      <c r="E67">
        <f>A67-A66</f>
        <v/>
      </c>
      <c r="F67" s="4">
        <f>ROUND(B67/B66-1,8)</f>
        <v/>
      </c>
      <c r="G67" s="4">
        <f>ROUND(C67/C66-1,8)</f>
        <v/>
      </c>
      <c r="H67" s="4">
        <f>ROUND(D67/100/(DATE(YEAR(A67)+1,1,1)-DATE(YEAR(A67),1,1))*E67,8)</f>
        <v/>
      </c>
      <c r="I67" s="4">
        <f>ROUND(I66*(1+F67),8)</f>
        <v/>
      </c>
      <c r="J67" s="4">
        <f>ROUND(J66*(1+G67),8)</f>
        <v/>
      </c>
      <c r="K67" s="4">
        <f>ROUND(K66+H67,8)</f>
        <v/>
      </c>
      <c r="L67" s="4">
        <f>ROUND(0.9*F67+0.05*G67+0.05*H67,8)</f>
        <v/>
      </c>
    </row>
    <row r="68">
      <c r="A68" s="2" t="n">
        <v>43839</v>
      </c>
      <c r="B68" s="8" t="n">
        <v>1933.64</v>
      </c>
      <c r="C68" s="8" t="n">
        <v>120.4884</v>
      </c>
      <c r="D68" s="8" t="n">
        <v>0.35</v>
      </c>
      <c r="E68">
        <f>A68-A67</f>
        <v/>
      </c>
      <c r="F68" s="4">
        <f>ROUND(B68/B67-1,8)</f>
        <v/>
      </c>
      <c r="G68" s="4">
        <f>ROUND(C68/C67-1,8)</f>
        <v/>
      </c>
      <c r="H68" s="4">
        <f>ROUND(D68/100/(DATE(YEAR(A68)+1,1,1)-DATE(YEAR(A68),1,1))*E68,8)</f>
        <v/>
      </c>
      <c r="I68" s="4">
        <f>ROUND(I67*(1+F68),8)</f>
        <v/>
      </c>
      <c r="J68" s="4">
        <f>ROUND(J67*(1+G68),8)</f>
        <v/>
      </c>
      <c r="K68" s="4">
        <f>ROUND(K67+H68,8)</f>
        <v/>
      </c>
      <c r="L68" s="4">
        <f>ROUND(0.9*F68+0.05*G68+0.05*H68,8)</f>
        <v/>
      </c>
    </row>
    <row r="69">
      <c r="A69" s="2" t="n">
        <v>43840</v>
      </c>
      <c r="B69" s="8" t="n">
        <v>1928.35</v>
      </c>
      <c r="C69" s="8" t="n">
        <v>120.5788</v>
      </c>
      <c r="D69" s="8" t="n">
        <v>0.35</v>
      </c>
      <c r="E69">
        <f>A69-A68</f>
        <v/>
      </c>
      <c r="F69" s="4">
        <f>ROUND(B69/B68-1,8)</f>
        <v/>
      </c>
      <c r="G69" s="4">
        <f>ROUND(C69/C68-1,8)</f>
        <v/>
      </c>
      <c r="H69" s="4">
        <f>ROUND(D69/100/(DATE(YEAR(A69)+1,1,1)-DATE(YEAR(A69),1,1))*E69,8)</f>
        <v/>
      </c>
      <c r="I69" s="4">
        <f>ROUND(I68*(1+F69),8)</f>
        <v/>
      </c>
      <c r="J69" s="4">
        <f>ROUND(J68*(1+G69),8)</f>
        <v/>
      </c>
      <c r="K69" s="4">
        <f>ROUND(K68+H69,8)</f>
        <v/>
      </c>
      <c r="L69" s="4">
        <f>ROUND(0.9*F69+0.05*G69+0.05*H69,8)</f>
        <v/>
      </c>
    </row>
    <row r="70">
      <c r="A70" s="2" t="n">
        <v>43843</v>
      </c>
      <c r="B70" s="8" t="n">
        <v>1952.31</v>
      </c>
      <c r="C70" s="8" t="n">
        <v>120.5998</v>
      </c>
      <c r="D70" s="8" t="n">
        <v>0.35</v>
      </c>
      <c r="E70">
        <f>A70-A69</f>
        <v/>
      </c>
      <c r="F70" s="4">
        <f>ROUND(B70/B69-1,8)</f>
        <v/>
      </c>
      <c r="G70" s="4">
        <f>ROUND(C70/C69-1,8)</f>
        <v/>
      </c>
      <c r="H70" s="4">
        <f>ROUND(D70/100/(DATE(YEAR(A70)+1,1,1)-DATE(YEAR(A70),1,1))*E70,8)</f>
        <v/>
      </c>
      <c r="I70" s="4">
        <f>ROUND(I69*(1+F70),8)</f>
        <v/>
      </c>
      <c r="J70" s="4">
        <f>ROUND(J69*(1+G70),8)</f>
        <v/>
      </c>
      <c r="K70" s="4">
        <f>ROUND(K69+H70,8)</f>
        <v/>
      </c>
      <c r="L70" s="4">
        <f>ROUND(0.9*F70+0.05*G70+0.05*H70,8)</f>
        <v/>
      </c>
    </row>
    <row r="71">
      <c r="A71" s="2" t="n">
        <v>43844</v>
      </c>
      <c r="B71" s="8" t="n">
        <v>1952.71</v>
      </c>
      <c r="C71" s="8" t="n">
        <v>120.5494</v>
      </c>
      <c r="D71" s="8" t="n">
        <v>0.35</v>
      </c>
      <c r="E71">
        <f>A71-A70</f>
        <v/>
      </c>
      <c r="F71" s="4">
        <f>ROUND(B71/B70-1,8)</f>
        <v/>
      </c>
      <c r="G71" s="4">
        <f>ROUND(C71/C70-1,8)</f>
        <v/>
      </c>
      <c r="H71" s="4">
        <f>ROUND(D71/100/(DATE(YEAR(A71)+1,1,1)-DATE(YEAR(A71),1,1))*E71,8)</f>
        <v/>
      </c>
      <c r="I71" s="4">
        <f>ROUND(I70*(1+F71),8)</f>
        <v/>
      </c>
      <c r="J71" s="4">
        <f>ROUND(J70*(1+G71),8)</f>
        <v/>
      </c>
      <c r="K71" s="4">
        <f>ROUND(K70+H71,8)</f>
        <v/>
      </c>
      <c r="L71" s="4">
        <f>ROUND(0.9*F71+0.05*G71+0.05*H71,8)</f>
        <v/>
      </c>
    </row>
    <row r="72">
      <c r="A72" s="2" t="n">
        <v>43845</v>
      </c>
      <c r="B72" s="8" t="n">
        <v>1945.35</v>
      </c>
      <c r="C72" s="8" t="n">
        <v>120.5321</v>
      </c>
      <c r="D72" s="8" t="n">
        <v>0.35</v>
      </c>
      <c r="E72">
        <f>A72-A71</f>
        <v/>
      </c>
      <c r="F72" s="4">
        <f>ROUND(B72/B71-1,8)</f>
        <v/>
      </c>
      <c r="G72" s="4">
        <f>ROUND(C72/C71-1,8)</f>
        <v/>
      </c>
      <c r="H72" s="4">
        <f>ROUND(D72/100/(DATE(YEAR(A72)+1,1,1)-DATE(YEAR(A72),1,1))*E72,8)</f>
        <v/>
      </c>
      <c r="I72" s="4">
        <f>ROUND(I71*(1+F72),8)</f>
        <v/>
      </c>
      <c r="J72" s="4">
        <f>ROUND(J71*(1+G72),8)</f>
        <v/>
      </c>
      <c r="K72" s="4">
        <f>ROUND(K71+H72,8)</f>
        <v/>
      </c>
      <c r="L72" s="4">
        <f>ROUND(0.9*F72+0.05*G72+0.05*H72,8)</f>
        <v/>
      </c>
    </row>
    <row r="73">
      <c r="A73" s="2" t="n">
        <v>43846</v>
      </c>
      <c r="B73" s="8" t="n">
        <v>1939.94</v>
      </c>
      <c r="C73" s="8" t="n">
        <v>120.5327</v>
      </c>
      <c r="D73" s="8" t="n">
        <v>0.35</v>
      </c>
      <c r="E73">
        <f>A73-A72</f>
        <v/>
      </c>
      <c r="F73" s="4">
        <f>ROUND(B73/B72-1,8)</f>
        <v/>
      </c>
      <c r="G73" s="4">
        <f>ROUND(C73/C72-1,8)</f>
        <v/>
      </c>
      <c r="H73" s="4">
        <f>ROUND(D73/100/(DATE(YEAR(A73)+1,1,1)-DATE(YEAR(A73),1,1))*E73,8)</f>
        <v/>
      </c>
      <c r="I73" s="4">
        <f>ROUND(I72*(1+F73),8)</f>
        <v/>
      </c>
      <c r="J73" s="4">
        <f>ROUND(J72*(1+G73),8)</f>
        <v/>
      </c>
      <c r="K73" s="4">
        <f>ROUND(K72+H73,8)</f>
        <v/>
      </c>
      <c r="L73" s="4">
        <f>ROUND(0.9*F73+0.05*G73+0.05*H73,8)</f>
        <v/>
      </c>
    </row>
    <row r="74">
      <c r="A74" s="2" t="n">
        <v>43847</v>
      </c>
      <c r="B74" s="8" t="n">
        <v>1931.23</v>
      </c>
      <c r="C74" s="8" t="n">
        <v>120.5651</v>
      </c>
      <c r="D74" s="8" t="n">
        <v>0.35</v>
      </c>
      <c r="E74">
        <f>A74-A73</f>
        <v/>
      </c>
      <c r="F74" s="4">
        <f>ROUND(B74/B73-1,8)</f>
        <v/>
      </c>
      <c r="G74" s="4">
        <f>ROUND(C74/C73-1,8)</f>
        <v/>
      </c>
      <c r="H74" s="4">
        <f>ROUND(D74/100/(DATE(YEAR(A74)+1,1,1)-DATE(YEAR(A74),1,1))*E74,8)</f>
        <v/>
      </c>
      <c r="I74" s="4">
        <f>ROUND(I73*(1+F74),8)</f>
        <v/>
      </c>
      <c r="J74" s="4">
        <f>ROUND(J73*(1+G74),8)</f>
        <v/>
      </c>
      <c r="K74" s="4">
        <f>ROUND(K73+H74,8)</f>
        <v/>
      </c>
      <c r="L74" s="4">
        <f>ROUND(0.9*F74+0.05*G74+0.05*H74,8)</f>
        <v/>
      </c>
    </row>
    <row r="75">
      <c r="A75" s="2" t="n">
        <v>43850</v>
      </c>
      <c r="B75" s="8" t="n">
        <v>1953.11</v>
      </c>
      <c r="C75" s="8" t="n">
        <v>120.6337</v>
      </c>
      <c r="D75" s="8" t="n">
        <v>0.35</v>
      </c>
      <c r="E75">
        <f>A75-A74</f>
        <v/>
      </c>
      <c r="F75" s="4">
        <f>ROUND(B75/B74-1,8)</f>
        <v/>
      </c>
      <c r="G75" s="4">
        <f>ROUND(C75/C74-1,8)</f>
        <v/>
      </c>
      <c r="H75" s="4">
        <f>ROUND(D75/100/(DATE(YEAR(A75)+1,1,1)-DATE(YEAR(A75),1,1))*E75,8)</f>
        <v/>
      </c>
      <c r="I75" s="4">
        <f>ROUND(I74*(1+F75),8)</f>
        <v/>
      </c>
      <c r="J75" s="4">
        <f>ROUND(J74*(1+G75),8)</f>
        <v/>
      </c>
      <c r="K75" s="4">
        <f>ROUND(K74+H75,8)</f>
        <v/>
      </c>
      <c r="L75" s="4">
        <f>ROUND(0.9*F75+0.05*G75+0.05*H75,8)</f>
        <v/>
      </c>
    </row>
    <row r="76">
      <c r="A76" s="2" t="n">
        <v>43851</v>
      </c>
      <c r="B76" s="8" t="n">
        <v>1931.9</v>
      </c>
      <c r="C76" s="8" t="n">
        <v>120.7276</v>
      </c>
      <c r="D76" s="8" t="n">
        <v>0.35</v>
      </c>
      <c r="E76">
        <f>A76-A75</f>
        <v/>
      </c>
      <c r="F76" s="4">
        <f>ROUND(B76/B75-1,8)</f>
        <v/>
      </c>
      <c r="G76" s="4">
        <f>ROUND(C76/C75-1,8)</f>
        <v/>
      </c>
      <c r="H76" s="4">
        <f>ROUND(D76/100/(DATE(YEAR(A76)+1,1,1)-DATE(YEAR(A76),1,1))*E76,8)</f>
        <v/>
      </c>
      <c r="I76" s="4">
        <f>ROUND(I75*(1+F76),8)</f>
        <v/>
      </c>
      <c r="J76" s="4">
        <f>ROUND(J75*(1+G76),8)</f>
        <v/>
      </c>
      <c r="K76" s="4">
        <f>ROUND(K75+H76,8)</f>
        <v/>
      </c>
      <c r="L76" s="4">
        <f>ROUND(0.9*F76+0.05*G76+0.05*H76,8)</f>
        <v/>
      </c>
    </row>
    <row r="77">
      <c r="A77" s="2" t="n">
        <v>43852</v>
      </c>
      <c r="B77" s="8" t="n">
        <v>1934.17</v>
      </c>
      <c r="C77" s="8" t="n">
        <v>120.7557</v>
      </c>
      <c r="D77" s="8" t="n">
        <v>0.35</v>
      </c>
      <c r="E77">
        <f>A77-A76</f>
        <v/>
      </c>
      <c r="F77" s="4">
        <f>ROUND(B77/B76-1,8)</f>
        <v/>
      </c>
      <c r="G77" s="4">
        <f>ROUND(C77/C76-1,8)</f>
        <v/>
      </c>
      <c r="H77" s="4">
        <f>ROUND(D77/100/(DATE(YEAR(A77)+1,1,1)-DATE(YEAR(A77),1,1))*E77,8)</f>
        <v/>
      </c>
      <c r="I77" s="4">
        <f>ROUND(I76*(1+F77),8)</f>
        <v/>
      </c>
      <c r="J77" s="4">
        <f>ROUND(J76*(1+G77),8)</f>
        <v/>
      </c>
      <c r="K77" s="4">
        <f>ROUND(K76+H77,8)</f>
        <v/>
      </c>
      <c r="L77" s="4">
        <f>ROUND(0.9*F77+0.05*G77+0.05*H77,8)</f>
        <v/>
      </c>
    </row>
    <row r="78">
      <c r="A78" s="2" t="n">
        <v>43853</v>
      </c>
      <c r="B78" s="8" t="n">
        <v>1867.38</v>
      </c>
      <c r="C78" s="8" t="n">
        <v>120.8756</v>
      </c>
      <c r="D78" s="8" t="n">
        <v>0.35</v>
      </c>
      <c r="E78">
        <f>A78-A77</f>
        <v/>
      </c>
      <c r="F78" s="4">
        <f>ROUND(B78/B77-1,8)</f>
        <v/>
      </c>
      <c r="G78" s="4">
        <f>ROUND(C78/C77-1,8)</f>
        <v/>
      </c>
      <c r="H78" s="4">
        <f>ROUND(D78/100/(DATE(YEAR(A78)+1,1,1)-DATE(YEAR(A78),1,1))*E78,8)</f>
        <v/>
      </c>
      <c r="I78" s="4">
        <f>ROUND(I77*(1+F78),8)</f>
        <v/>
      </c>
      <c r="J78" s="4">
        <f>ROUND(J77*(1+G78),8)</f>
        <v/>
      </c>
      <c r="K78" s="4">
        <f>ROUND(K77+H78,8)</f>
        <v/>
      </c>
      <c r="L78" s="4">
        <f>ROUND(0.9*F78+0.05*G78+0.05*H78,8)</f>
        <v/>
      </c>
    </row>
    <row r="79">
      <c r="A79" s="2" t="n">
        <v>43864</v>
      </c>
      <c r="B79" s="8" t="n">
        <v>1701.68</v>
      </c>
      <c r="C79" s="8" t="n">
        <v>121.5677</v>
      </c>
      <c r="D79" s="8" t="n">
        <v>0.35</v>
      </c>
      <c r="E79">
        <f>A79-A78</f>
        <v/>
      </c>
      <c r="F79" s="4">
        <f>ROUND(B79/B78-1,8)</f>
        <v/>
      </c>
      <c r="G79" s="4">
        <f>ROUND(C79/C78-1,8)</f>
        <v/>
      </c>
      <c r="H79" s="4">
        <f>ROUND(D79/100/(DATE(YEAR(A79)+1,1,1)-DATE(YEAR(A79),1,1))*E79,8)</f>
        <v/>
      </c>
      <c r="I79" s="4">
        <f>ROUND(I78*(1+F79),8)</f>
        <v/>
      </c>
      <c r="J79" s="4">
        <f>ROUND(J78*(1+G79),8)</f>
        <v/>
      </c>
      <c r="K79" s="4">
        <f>ROUND(K78+H79,8)</f>
        <v/>
      </c>
      <c r="L79" s="4">
        <f>ROUND(0.9*F79+0.05*G79+0.05*H79,8)</f>
        <v/>
      </c>
    </row>
    <row r="80">
      <c r="A80" s="2" t="n">
        <v>43865</v>
      </c>
      <c r="B80" s="8" t="n">
        <v>1685.73</v>
      </c>
      <c r="C80" s="8" t="n">
        <v>121.5312</v>
      </c>
      <c r="D80" s="8" t="n">
        <v>0.35</v>
      </c>
      <c r="E80">
        <f>A80-A79</f>
        <v/>
      </c>
      <c r="F80" s="4">
        <f>ROUND(B80/B79-1,8)</f>
        <v/>
      </c>
      <c r="G80" s="4">
        <f>ROUND(C80/C79-1,8)</f>
        <v/>
      </c>
      <c r="H80" s="4">
        <f>ROUND(D80/100/(DATE(YEAR(A80)+1,1,1)-DATE(YEAR(A80),1,1))*E80,8)</f>
        <v/>
      </c>
      <c r="I80" s="4">
        <f>ROUND(I79*(1+F80),8)</f>
        <v/>
      </c>
      <c r="J80" s="4">
        <f>ROUND(J79*(1+G80),8)</f>
        <v/>
      </c>
      <c r="K80" s="4">
        <f>ROUND(K79+H80,8)</f>
        <v/>
      </c>
      <c r="L80" s="4">
        <f>ROUND(0.9*F80+0.05*G80+0.05*H80,8)</f>
        <v/>
      </c>
    </row>
    <row r="81">
      <c r="A81" s="2" t="n">
        <v>43866</v>
      </c>
      <c r="B81" s="8" t="n">
        <v>1738.68</v>
      </c>
      <c r="C81" s="8" t="n">
        <v>121.5262</v>
      </c>
      <c r="D81" s="8" t="n">
        <v>0.35</v>
      </c>
      <c r="E81">
        <f>A81-A80</f>
        <v/>
      </c>
      <c r="F81" s="4">
        <f>ROUND(B81/B80-1,8)</f>
        <v/>
      </c>
      <c r="G81" s="4">
        <f>ROUND(C81/C80-1,8)</f>
        <v/>
      </c>
      <c r="H81" s="4">
        <f>ROUND(D81/100/(DATE(YEAR(A81)+1,1,1)-DATE(YEAR(A81),1,1))*E81,8)</f>
        <v/>
      </c>
      <c r="I81" s="4">
        <f>ROUND(I80*(1+F81),8)</f>
        <v/>
      </c>
      <c r="J81" s="4">
        <f>ROUND(J80*(1+G81),8)</f>
        <v/>
      </c>
      <c r="K81" s="4">
        <f>ROUND(K80+H81,8)</f>
        <v/>
      </c>
      <c r="L81" s="4">
        <f>ROUND(0.9*F81+0.05*G81+0.05*H81,8)</f>
        <v/>
      </c>
    </row>
    <row r="82">
      <c r="A82" s="2" t="n">
        <v>43867</v>
      </c>
      <c r="B82" s="8" t="n">
        <v>1789.78</v>
      </c>
      <c r="C82" s="8" t="n">
        <v>121.5485</v>
      </c>
      <c r="D82" s="8" t="n">
        <v>0.35</v>
      </c>
      <c r="E82">
        <f>A82-A81</f>
        <v/>
      </c>
      <c r="F82" s="4">
        <f>ROUND(B82/B81-1,8)</f>
        <v/>
      </c>
      <c r="G82" s="4">
        <f>ROUND(C82/C81-1,8)</f>
        <v/>
      </c>
      <c r="H82" s="4">
        <f>ROUND(D82/100/(DATE(YEAR(A82)+1,1,1)-DATE(YEAR(A82),1,1))*E82,8)</f>
        <v/>
      </c>
      <c r="I82" s="4">
        <f>ROUND(I81*(1+F82),8)</f>
        <v/>
      </c>
      <c r="J82" s="4">
        <f>ROUND(J81*(1+G82),8)</f>
        <v/>
      </c>
      <c r="K82" s="4">
        <f>ROUND(K81+H82,8)</f>
        <v/>
      </c>
      <c r="L82" s="4">
        <f>ROUND(0.9*F82+0.05*G82+0.05*H82,8)</f>
        <v/>
      </c>
    </row>
    <row r="83">
      <c r="A83" s="2" t="n">
        <v>43868</v>
      </c>
      <c r="B83" s="8" t="n">
        <v>1815.62</v>
      </c>
      <c r="C83" s="8" t="n">
        <v>121.6734</v>
      </c>
      <c r="D83" s="8" t="n">
        <v>0.35</v>
      </c>
      <c r="E83">
        <f>A83-A82</f>
        <v/>
      </c>
      <c r="F83" s="4">
        <f>ROUND(B83/B82-1,8)</f>
        <v/>
      </c>
      <c r="G83" s="4">
        <f>ROUND(C83/C82-1,8)</f>
        <v/>
      </c>
      <c r="H83" s="4">
        <f>ROUND(D83/100/(DATE(YEAR(A83)+1,1,1)-DATE(YEAR(A83),1,1))*E83,8)</f>
        <v/>
      </c>
      <c r="I83" s="4">
        <f>ROUND(I82*(1+F83),8)</f>
        <v/>
      </c>
      <c r="J83" s="4">
        <f>ROUND(J82*(1+G83),8)</f>
        <v/>
      </c>
      <c r="K83" s="4">
        <f>ROUND(K82+H83,8)</f>
        <v/>
      </c>
      <c r="L83" s="4">
        <f>ROUND(0.9*F83+0.05*G83+0.05*H83,8)</f>
        <v/>
      </c>
    </row>
    <row r="84">
      <c r="A84" s="2" t="n">
        <v>43871</v>
      </c>
      <c r="B84" s="8" t="n">
        <v>1843.44</v>
      </c>
      <c r="C84" s="8" t="n">
        <v>121.7643</v>
      </c>
      <c r="D84" s="8" t="n">
        <v>0.35</v>
      </c>
      <c r="E84">
        <f>A84-A83</f>
        <v/>
      </c>
      <c r="F84" s="4">
        <f>ROUND(B84/B83-1,8)</f>
        <v/>
      </c>
      <c r="G84" s="4">
        <f>ROUND(C84/C83-1,8)</f>
        <v/>
      </c>
      <c r="H84" s="4">
        <f>ROUND(D84/100/(DATE(YEAR(A84)+1,1,1)-DATE(YEAR(A84),1,1))*E84,8)</f>
        <v/>
      </c>
      <c r="I84" s="4">
        <f>ROUND(I83*(1+F84),8)</f>
        <v/>
      </c>
      <c r="J84" s="4">
        <f>ROUND(J83*(1+G84),8)</f>
        <v/>
      </c>
      <c r="K84" s="4">
        <f>ROUND(K83+H84,8)</f>
        <v/>
      </c>
      <c r="L84" s="4">
        <f>ROUND(0.9*F84+0.05*G84+0.05*H84,8)</f>
        <v/>
      </c>
    </row>
    <row r="85">
      <c r="A85" s="2" t="n">
        <v>43872</v>
      </c>
      <c r="B85" s="8" t="n">
        <v>1827.89</v>
      </c>
      <c r="C85" s="8" t="n">
        <v>121.7156</v>
      </c>
      <c r="D85" s="8" t="n">
        <v>0.35</v>
      </c>
      <c r="E85">
        <f>A85-A84</f>
        <v/>
      </c>
      <c r="F85" s="4">
        <f>ROUND(B85/B84-1,8)</f>
        <v/>
      </c>
      <c r="G85" s="4">
        <f>ROUND(C85/C84-1,8)</f>
        <v/>
      </c>
      <c r="H85" s="4">
        <f>ROUND(D85/100/(DATE(YEAR(A85)+1,1,1)-DATE(YEAR(A85),1,1))*E85,8)</f>
        <v/>
      </c>
      <c r="I85" s="4">
        <f>ROUND(I84*(1+F85),8)</f>
        <v/>
      </c>
      <c r="J85" s="4">
        <f>ROUND(J84*(1+G85),8)</f>
        <v/>
      </c>
      <c r="K85" s="4">
        <f>ROUND(K84+H85,8)</f>
        <v/>
      </c>
      <c r="L85" s="4">
        <f>ROUND(0.9*F85+0.05*G85+0.05*H85,8)</f>
        <v/>
      </c>
    </row>
    <row r="86">
      <c r="A86" s="2" t="n">
        <v>43873</v>
      </c>
      <c r="B86" s="8" t="n">
        <v>1858.81</v>
      </c>
      <c r="C86" s="8" t="n">
        <v>121.7243</v>
      </c>
      <c r="D86" s="8" t="n">
        <v>0.35</v>
      </c>
      <c r="E86">
        <f>A86-A85</f>
        <v/>
      </c>
      <c r="F86" s="4">
        <f>ROUND(B86/B85-1,8)</f>
        <v/>
      </c>
      <c r="G86" s="4">
        <f>ROUND(C86/C85-1,8)</f>
        <v/>
      </c>
      <c r="H86" s="4">
        <f>ROUND(D86/100/(DATE(YEAR(A86)+1,1,1)-DATE(YEAR(A86),1,1))*E86,8)</f>
        <v/>
      </c>
      <c r="I86" s="4">
        <f>ROUND(I85*(1+F86),8)</f>
        <v/>
      </c>
      <c r="J86" s="4">
        <f>ROUND(J85*(1+G86),8)</f>
        <v/>
      </c>
      <c r="K86" s="4">
        <f>ROUND(K85+H86,8)</f>
        <v/>
      </c>
      <c r="L86" s="4">
        <f>ROUND(0.9*F86+0.05*G86+0.05*H86,8)</f>
        <v/>
      </c>
    </row>
    <row r="87">
      <c r="A87" s="2" t="n">
        <v>43874</v>
      </c>
      <c r="B87" s="8" t="n">
        <v>1839.9</v>
      </c>
      <c r="C87" s="8" t="n">
        <v>121.759</v>
      </c>
      <c r="D87" s="8" t="n">
        <v>0.35</v>
      </c>
      <c r="E87">
        <f>A87-A86</f>
        <v/>
      </c>
      <c r="F87" s="4">
        <f>ROUND(B87/B86-1,8)</f>
        <v/>
      </c>
      <c r="G87" s="4">
        <f>ROUND(C87/C86-1,8)</f>
        <v/>
      </c>
      <c r="H87" s="4">
        <f>ROUND(D87/100/(DATE(YEAR(A87)+1,1,1)-DATE(YEAR(A87),1,1))*E87,8)</f>
        <v/>
      </c>
      <c r="I87" s="4">
        <f>ROUND(I86*(1+F87),8)</f>
        <v/>
      </c>
      <c r="J87" s="4">
        <f>ROUND(J86*(1+G87),8)</f>
        <v/>
      </c>
      <c r="K87" s="4">
        <f>ROUND(K86+H87,8)</f>
        <v/>
      </c>
      <c r="L87" s="4">
        <f>ROUND(0.9*F87+0.05*G87+0.05*H87,8)</f>
        <v/>
      </c>
    </row>
    <row r="88">
      <c r="A88" s="2" t="n">
        <v>43875</v>
      </c>
      <c r="B88" s="8" t="n">
        <v>1843.73</v>
      </c>
      <c r="C88" s="8" t="n">
        <v>121.7513</v>
      </c>
      <c r="D88" s="8" t="n">
        <v>0.35</v>
      </c>
      <c r="E88">
        <f>A88-A87</f>
        <v/>
      </c>
      <c r="F88" s="4">
        <f>ROUND(B88/B87-1,8)</f>
        <v/>
      </c>
      <c r="G88" s="4">
        <f>ROUND(C88/C87-1,8)</f>
        <v/>
      </c>
      <c r="H88" s="4">
        <f>ROUND(D88/100/(DATE(YEAR(A88)+1,1,1)-DATE(YEAR(A88),1,1))*E88,8)</f>
        <v/>
      </c>
      <c r="I88" s="4">
        <f>ROUND(I87*(1+F88),8)</f>
        <v/>
      </c>
      <c r="J88" s="4">
        <f>ROUND(J87*(1+G88),8)</f>
        <v/>
      </c>
      <c r="K88" s="4">
        <f>ROUND(K87+H88,8)</f>
        <v/>
      </c>
      <c r="L88" s="4">
        <f>ROUND(0.9*F88+0.05*G88+0.05*H88,8)</f>
        <v/>
      </c>
    </row>
    <row r="89">
      <c r="A89" s="2" t="n">
        <v>43878</v>
      </c>
      <c r="B89" s="8" t="n">
        <v>1912.29</v>
      </c>
      <c r="C89" s="8" t="n">
        <v>121.7011</v>
      </c>
      <c r="D89" s="8" t="n">
        <v>0.35</v>
      </c>
      <c r="E89">
        <f>A89-A88</f>
        <v/>
      </c>
      <c r="F89" s="4">
        <f>ROUND(B89/B88-1,8)</f>
        <v/>
      </c>
      <c r="G89" s="4">
        <f>ROUND(C89/C88-1,8)</f>
        <v/>
      </c>
      <c r="H89" s="4">
        <f>ROUND(D89/100/(DATE(YEAR(A89)+1,1,1)-DATE(YEAR(A89),1,1))*E89,8)</f>
        <v/>
      </c>
      <c r="I89" s="4">
        <f>ROUND(I88*(1+F89),8)</f>
        <v/>
      </c>
      <c r="J89" s="4">
        <f>ROUND(J88*(1+G89),8)</f>
        <v/>
      </c>
      <c r="K89" s="4">
        <f>ROUND(K88+H89,8)</f>
        <v/>
      </c>
      <c r="L89" s="4">
        <f>ROUND(0.9*F89+0.05*G89+0.05*H89,8)</f>
        <v/>
      </c>
    </row>
    <row r="90">
      <c r="A90" s="2" t="n">
        <v>43879</v>
      </c>
      <c r="B90" s="8" t="n">
        <v>1959.82</v>
      </c>
      <c r="C90" s="8" t="n">
        <v>121.7299</v>
      </c>
      <c r="D90" s="8" t="n">
        <v>0.35</v>
      </c>
      <c r="E90">
        <f>A90-A89</f>
        <v/>
      </c>
      <c r="F90" s="4">
        <f>ROUND(B90/B89-1,8)</f>
        <v/>
      </c>
      <c r="G90" s="4">
        <f>ROUND(C90/C89-1,8)</f>
        <v/>
      </c>
      <c r="H90" s="4">
        <f>ROUND(D90/100/(DATE(YEAR(A90)+1,1,1)-DATE(YEAR(A90),1,1))*E90,8)</f>
        <v/>
      </c>
      <c r="I90" s="4">
        <f>ROUND(I89*(1+F90),8)</f>
        <v/>
      </c>
      <c r="J90" s="4">
        <f>ROUND(J89*(1+G90),8)</f>
        <v/>
      </c>
      <c r="K90" s="4">
        <f>ROUND(K89+H90,8)</f>
        <v/>
      </c>
      <c r="L90" s="4">
        <f>ROUND(0.9*F90+0.05*G90+0.05*H90,8)</f>
        <v/>
      </c>
    </row>
    <row r="91">
      <c r="A91" s="2" t="n">
        <v>43880</v>
      </c>
      <c r="B91" s="8" t="n">
        <v>1952</v>
      </c>
      <c r="C91" s="8" t="n">
        <v>121.7421</v>
      </c>
      <c r="D91" s="8" t="n">
        <v>0.35</v>
      </c>
      <c r="E91">
        <f>A91-A90</f>
        <v/>
      </c>
      <c r="F91" s="4">
        <f>ROUND(B91/B90-1,8)</f>
        <v/>
      </c>
      <c r="G91" s="4">
        <f>ROUND(C91/C90-1,8)</f>
        <v/>
      </c>
      <c r="H91" s="4">
        <f>ROUND(D91/100/(DATE(YEAR(A91)+1,1,1)-DATE(YEAR(A91),1,1))*E91,8)</f>
        <v/>
      </c>
      <c r="I91" s="4">
        <f>ROUND(I90*(1+F91),8)</f>
        <v/>
      </c>
      <c r="J91" s="4">
        <f>ROUND(J90*(1+G91),8)</f>
        <v/>
      </c>
      <c r="K91" s="4">
        <f>ROUND(K90+H91,8)</f>
        <v/>
      </c>
      <c r="L91" s="4">
        <f>ROUND(0.9*F91+0.05*G91+0.05*H91,8)</f>
        <v/>
      </c>
    </row>
    <row r="92">
      <c r="A92" s="2" t="n">
        <v>43881</v>
      </c>
      <c r="B92" s="8" t="n">
        <v>1990.43</v>
      </c>
      <c r="C92" s="8" t="n">
        <v>121.7078</v>
      </c>
      <c r="D92" s="8" t="n">
        <v>0.35</v>
      </c>
      <c r="E92">
        <f>A92-A91</f>
        <v/>
      </c>
      <c r="F92" s="4">
        <f>ROUND(B92/B91-1,8)</f>
        <v/>
      </c>
      <c r="G92" s="4">
        <f>ROUND(C92/C91-1,8)</f>
        <v/>
      </c>
      <c r="H92" s="4">
        <f>ROUND(D92/100/(DATE(YEAR(A92)+1,1,1)-DATE(YEAR(A92),1,1))*E92,8)</f>
        <v/>
      </c>
      <c r="I92" s="4">
        <f>ROUND(I91*(1+F92),8)</f>
        <v/>
      </c>
      <c r="J92" s="4">
        <f>ROUND(J91*(1+G92),8)</f>
        <v/>
      </c>
      <c r="K92" s="4">
        <f>ROUND(K91+H92,8)</f>
        <v/>
      </c>
      <c r="L92" s="4">
        <f>ROUND(0.9*F92+0.05*G92+0.05*H92,8)</f>
        <v/>
      </c>
    </row>
    <row r="93">
      <c r="A93" s="2" t="n">
        <v>43882</v>
      </c>
      <c r="B93" s="8" t="n">
        <v>2016.8</v>
      </c>
      <c r="C93" s="8" t="n">
        <v>121.7583</v>
      </c>
      <c r="D93" s="8" t="n">
        <v>0.35</v>
      </c>
      <c r="E93">
        <f>A93-A92</f>
        <v/>
      </c>
      <c r="F93" s="4">
        <f>ROUND(B93/B92-1,8)</f>
        <v/>
      </c>
      <c r="G93" s="4">
        <f>ROUND(C93/C92-1,8)</f>
        <v/>
      </c>
      <c r="H93" s="4">
        <f>ROUND(D93/100/(DATE(YEAR(A93)+1,1,1)-DATE(YEAR(A93),1,1))*E93,8)</f>
        <v/>
      </c>
      <c r="I93" s="4">
        <f>ROUND(I92*(1+F93),8)</f>
        <v/>
      </c>
      <c r="J93" s="4">
        <f>ROUND(J92*(1+G93),8)</f>
        <v/>
      </c>
      <c r="K93" s="4">
        <f>ROUND(K92+H93,8)</f>
        <v/>
      </c>
      <c r="L93" s="4">
        <f>ROUND(0.9*F93+0.05*G93+0.05*H93,8)</f>
        <v/>
      </c>
    </row>
    <row r="94">
      <c r="A94" s="2" t="n">
        <v>43885</v>
      </c>
      <c r="B94" s="8" t="n">
        <v>2057.02</v>
      </c>
      <c r="C94" s="8" t="n">
        <v>121.8112</v>
      </c>
      <c r="D94" s="8" t="n">
        <v>0.35</v>
      </c>
      <c r="E94">
        <f>A94-A93</f>
        <v/>
      </c>
      <c r="F94" s="4">
        <f>ROUND(B94/B93-1,8)</f>
        <v/>
      </c>
      <c r="G94" s="4">
        <f>ROUND(C94/C93-1,8)</f>
        <v/>
      </c>
      <c r="H94" s="4">
        <f>ROUND(D94/100/(DATE(YEAR(A94)+1,1,1)-DATE(YEAR(A94),1,1))*E94,8)</f>
        <v/>
      </c>
      <c r="I94" s="4">
        <f>ROUND(I93*(1+F94),8)</f>
        <v/>
      </c>
      <c r="J94" s="4">
        <f>ROUND(J93*(1+G94),8)</f>
        <v/>
      </c>
      <c r="K94" s="4">
        <f>ROUND(K93+H94,8)</f>
        <v/>
      </c>
      <c r="L94" s="4">
        <f>ROUND(0.9*F94+0.05*G94+0.05*H94,8)</f>
        <v/>
      </c>
    </row>
    <row r="95">
      <c r="A95" s="2" t="n">
        <v>43886</v>
      </c>
      <c r="B95" s="8" t="n">
        <v>2058.29</v>
      </c>
      <c r="C95" s="8" t="n">
        <v>121.8147</v>
      </c>
      <c r="D95" s="8" t="n">
        <v>0.35</v>
      </c>
      <c r="E95">
        <f>A95-A94</f>
        <v/>
      </c>
      <c r="F95" s="4">
        <f>ROUND(B95/B94-1,8)</f>
        <v/>
      </c>
      <c r="G95" s="4">
        <f>ROUND(C95/C94-1,8)</f>
        <v/>
      </c>
      <c r="H95" s="4">
        <f>ROUND(D95/100/(DATE(YEAR(A95)+1,1,1)-DATE(YEAR(A95),1,1))*E95,8)</f>
        <v/>
      </c>
      <c r="I95" s="4">
        <f>ROUND(I94*(1+F95),8)</f>
        <v/>
      </c>
      <c r="J95" s="4">
        <f>ROUND(J94*(1+G95),8)</f>
        <v/>
      </c>
      <c r="K95" s="4">
        <f>ROUND(K94+H95,8)</f>
        <v/>
      </c>
      <c r="L95" s="4">
        <f>ROUND(0.9*F95+0.05*G95+0.05*H95,8)</f>
        <v/>
      </c>
    </row>
    <row r="96">
      <c r="A96" s="2" t="n">
        <v>43887</v>
      </c>
      <c r="B96" s="8" t="n">
        <v>2011.11</v>
      </c>
      <c r="C96" s="8" t="n">
        <v>121.8388</v>
      </c>
      <c r="D96" s="8" t="n">
        <v>0.35</v>
      </c>
      <c r="E96">
        <f>A96-A95</f>
        <v/>
      </c>
      <c r="F96" s="4">
        <f>ROUND(B96/B95-1,8)</f>
        <v/>
      </c>
      <c r="G96" s="4">
        <f>ROUND(C96/C95-1,8)</f>
        <v/>
      </c>
      <c r="H96" s="4">
        <f>ROUND(D96/100/(DATE(YEAR(A96)+1,1,1)-DATE(YEAR(A96),1,1))*E96,8)</f>
        <v/>
      </c>
      <c r="I96" s="4">
        <f>ROUND(I95*(1+F96),8)</f>
        <v/>
      </c>
      <c r="J96" s="4">
        <f>ROUND(J95*(1+G96),8)</f>
        <v/>
      </c>
      <c r="K96" s="4">
        <f>ROUND(K95+H96,8)</f>
        <v/>
      </c>
      <c r="L96" s="4">
        <f>ROUND(0.9*F96+0.05*G96+0.05*H96,8)</f>
        <v/>
      </c>
    </row>
    <row r="97">
      <c r="A97" s="2" t="n">
        <v>43888</v>
      </c>
      <c r="B97" s="8" t="n">
        <v>2014.57</v>
      </c>
      <c r="C97" s="8" t="n">
        <v>121.91</v>
      </c>
      <c r="D97" s="8" t="n">
        <v>0.35</v>
      </c>
      <c r="E97">
        <f>A97-A96</f>
        <v/>
      </c>
      <c r="F97" s="4">
        <f>ROUND(B97/B96-1,8)</f>
        <v/>
      </c>
      <c r="G97" s="4">
        <f>ROUND(C97/C96-1,8)</f>
        <v/>
      </c>
      <c r="H97" s="4">
        <f>ROUND(D97/100/(DATE(YEAR(A97)+1,1,1)-DATE(YEAR(A97),1,1))*E97,8)</f>
        <v/>
      </c>
      <c r="I97" s="4">
        <f>ROUND(I96*(1+F97),8)</f>
        <v/>
      </c>
      <c r="J97" s="4">
        <f>ROUND(J96*(1+G97),8)</f>
        <v/>
      </c>
      <c r="K97" s="4">
        <f>ROUND(K96+H97,8)</f>
        <v/>
      </c>
      <c r="L97" s="4">
        <f>ROUND(0.9*F97+0.05*G97+0.05*H97,8)</f>
        <v/>
      </c>
    </row>
    <row r="98">
      <c r="A98" s="2" t="n">
        <v>43889</v>
      </c>
      <c r="B98" s="8" t="n">
        <v>1897.57</v>
      </c>
      <c r="C98" s="8" t="n">
        <v>122.0137</v>
      </c>
      <c r="D98" s="8" t="n">
        <v>0.35</v>
      </c>
      <c r="E98">
        <f>A98-A97</f>
        <v/>
      </c>
      <c r="F98" s="4">
        <f>ROUND(B98/B97-1,8)</f>
        <v/>
      </c>
      <c r="G98" s="4">
        <f>ROUND(C98/C97-1,8)</f>
        <v/>
      </c>
      <c r="H98" s="4">
        <f>ROUND(D98/100/(DATE(YEAR(A98)+1,1,1)-DATE(YEAR(A98),1,1))*E98,8)</f>
        <v/>
      </c>
      <c r="I98" s="4">
        <f>ROUND(I97*(1+F98),8)</f>
        <v/>
      </c>
      <c r="J98" s="4">
        <f>ROUND(J97*(1+G98),8)</f>
        <v/>
      </c>
      <c r="K98" s="4">
        <f>ROUND(K97+H98,8)</f>
        <v/>
      </c>
      <c r="L98" s="4">
        <f>ROUND(0.9*F98+0.05*G98+0.05*H98,8)</f>
        <v/>
      </c>
    </row>
    <row r="99">
      <c r="A99" s="2" t="n">
        <v>43892</v>
      </c>
      <c r="B99" s="8" t="n">
        <v>1980.78</v>
      </c>
      <c r="C99" s="8" t="n">
        <v>122.0159</v>
      </c>
      <c r="D99" s="8" t="n">
        <v>0.35</v>
      </c>
      <c r="E99">
        <f>A99-A98</f>
        <v/>
      </c>
      <c r="F99" s="4">
        <f>ROUND(B99/B98-1,8)</f>
        <v/>
      </c>
      <c r="G99" s="4">
        <f>ROUND(C99/C98-1,8)</f>
        <v/>
      </c>
      <c r="H99" s="4">
        <f>ROUND(D99/100/(DATE(YEAR(A99)+1,1,1)-DATE(YEAR(A99),1,1))*E99,8)</f>
        <v/>
      </c>
      <c r="I99" s="4">
        <f>ROUND(I98*(1+F99),8)</f>
        <v/>
      </c>
      <c r="J99" s="4">
        <f>ROUND(J98*(1+G99),8)</f>
        <v/>
      </c>
      <c r="K99" s="4">
        <f>ROUND(K98+H99,8)</f>
        <v/>
      </c>
      <c r="L99" s="4">
        <f>ROUND(0.9*F99+0.05*G99+0.05*H99,8)</f>
        <v/>
      </c>
    </row>
    <row r="100">
      <c r="A100" s="2" t="n">
        <v>43893</v>
      </c>
      <c r="B100" s="8" t="n">
        <v>2011.42</v>
      </c>
      <c r="C100" s="8" t="n">
        <v>121.9946</v>
      </c>
      <c r="D100" s="8" t="n">
        <v>0.35</v>
      </c>
      <c r="E100">
        <f>A100-A99</f>
        <v/>
      </c>
      <c r="F100" s="4">
        <f>ROUND(B100/B99-1,8)</f>
        <v/>
      </c>
      <c r="G100" s="4">
        <f>ROUND(C100/C99-1,8)</f>
        <v/>
      </c>
      <c r="H100" s="4">
        <f>ROUND(D100/100/(DATE(YEAR(A100)+1,1,1)-DATE(YEAR(A100),1,1))*E100,8)</f>
        <v/>
      </c>
      <c r="I100" s="4">
        <f>ROUND(I99*(1+F100),8)</f>
        <v/>
      </c>
      <c r="J100" s="4">
        <f>ROUND(J99*(1+G100),8)</f>
        <v/>
      </c>
      <c r="K100" s="4">
        <f>ROUND(K99+H100,8)</f>
        <v/>
      </c>
      <c r="L100" s="4">
        <f>ROUND(0.9*F100+0.05*G100+0.05*H100,8)</f>
        <v/>
      </c>
    </row>
    <row r="101">
      <c r="A101" s="2" t="n">
        <v>43894</v>
      </c>
      <c r="B101" s="8" t="n">
        <v>2029.44</v>
      </c>
      <c r="C101" s="8" t="n">
        <v>122.1193</v>
      </c>
      <c r="D101" s="8" t="n">
        <v>0.35</v>
      </c>
      <c r="E101">
        <f>A101-A100</f>
        <v/>
      </c>
      <c r="F101" s="4">
        <f>ROUND(B101/B100-1,8)</f>
        <v/>
      </c>
      <c r="G101" s="4">
        <f>ROUND(C101/C100-1,8)</f>
        <v/>
      </c>
      <c r="H101" s="4">
        <f>ROUND(D101/100/(DATE(YEAR(A101)+1,1,1)-DATE(YEAR(A101),1,1))*E101,8)</f>
        <v/>
      </c>
      <c r="I101" s="4">
        <f>ROUND(I100*(1+F101),8)</f>
        <v/>
      </c>
      <c r="J101" s="4">
        <f>ROUND(J100*(1+G101),8)</f>
        <v/>
      </c>
      <c r="K101" s="4">
        <f>ROUND(K100+H101,8)</f>
        <v/>
      </c>
      <c r="L101" s="4">
        <f>ROUND(0.9*F101+0.05*G101+0.05*H101,8)</f>
        <v/>
      </c>
    </row>
    <row r="102">
      <c r="A102" s="2" t="n">
        <v>43895</v>
      </c>
      <c r="B102" s="8" t="n">
        <v>2066.04</v>
      </c>
      <c r="C102" s="8" t="n">
        <v>122.1268</v>
      </c>
      <c r="D102" s="8" t="n">
        <v>0.35</v>
      </c>
      <c r="E102">
        <f>A102-A101</f>
        <v/>
      </c>
      <c r="F102" s="4">
        <f>ROUND(B102/B101-1,8)</f>
        <v/>
      </c>
      <c r="G102" s="4">
        <f>ROUND(C102/C101-1,8)</f>
        <v/>
      </c>
      <c r="H102" s="4">
        <f>ROUND(D102/100/(DATE(YEAR(A102)+1,1,1)-DATE(YEAR(A102),1,1))*E102,8)</f>
        <v/>
      </c>
      <c r="I102" s="4">
        <f>ROUND(I101*(1+F102),8)</f>
        <v/>
      </c>
      <c r="J102" s="4">
        <f>ROUND(J101*(1+G102),8)</f>
        <v/>
      </c>
      <c r="K102" s="4">
        <f>ROUND(K101+H102,8)</f>
        <v/>
      </c>
      <c r="L102" s="4">
        <f>ROUND(0.9*F102+0.05*G102+0.05*H102,8)</f>
        <v/>
      </c>
    </row>
    <row r="103">
      <c r="A103" s="2" t="n">
        <v>43896</v>
      </c>
      <c r="B103" s="8" t="n">
        <v>2067.64</v>
      </c>
      <c r="C103" s="8" t="n">
        <v>122.2621</v>
      </c>
      <c r="D103" s="8" t="n">
        <v>0.35</v>
      </c>
      <c r="E103">
        <f>A103-A102</f>
        <v/>
      </c>
      <c r="F103" s="4">
        <f>ROUND(B103/B102-1,8)</f>
        <v/>
      </c>
      <c r="G103" s="4">
        <f>ROUND(C103/C102-1,8)</f>
        <v/>
      </c>
      <c r="H103" s="4">
        <f>ROUND(D103/100/(DATE(YEAR(A103)+1,1,1)-DATE(YEAR(A103),1,1))*E103,8)</f>
        <v/>
      </c>
      <c r="I103" s="4">
        <f>ROUND(I102*(1+F103),8)</f>
        <v/>
      </c>
      <c r="J103" s="4">
        <f>ROUND(J102*(1+G103),8)</f>
        <v/>
      </c>
      <c r="K103" s="4">
        <f>ROUND(K102+H103,8)</f>
        <v/>
      </c>
      <c r="L103" s="4">
        <f>ROUND(0.9*F103+0.05*G103+0.05*H103,8)</f>
        <v/>
      </c>
    </row>
    <row r="104">
      <c r="A104" s="2" t="n">
        <v>43899</v>
      </c>
      <c r="B104" s="8" t="n">
        <v>1998.51</v>
      </c>
      <c r="C104" s="8" t="n">
        <v>122.6606</v>
      </c>
      <c r="D104" s="8" t="n">
        <v>0.35</v>
      </c>
      <c r="E104">
        <f>A104-A103</f>
        <v/>
      </c>
      <c r="F104" s="4">
        <f>ROUND(B104/B103-1,8)</f>
        <v/>
      </c>
      <c r="G104" s="4">
        <f>ROUND(C104/C103-1,8)</f>
        <v/>
      </c>
      <c r="H104" s="4">
        <f>ROUND(D104/100/(DATE(YEAR(A104)+1,1,1)-DATE(YEAR(A104),1,1))*E104,8)</f>
        <v/>
      </c>
      <c r="I104" s="4">
        <f>ROUND(I103*(1+F104),8)</f>
        <v/>
      </c>
      <c r="J104" s="4">
        <f>ROUND(J103*(1+G104),8)</f>
        <v/>
      </c>
      <c r="K104" s="4">
        <f>ROUND(K103+H104,8)</f>
        <v/>
      </c>
      <c r="L104" s="4">
        <f>ROUND(0.9*F104+0.05*G104+0.05*H104,8)</f>
        <v/>
      </c>
    </row>
    <row r="105">
      <c r="A105" s="2" t="n">
        <v>43900</v>
      </c>
      <c r="B105" s="8" t="n">
        <v>2043.58</v>
      </c>
      <c r="C105" s="8" t="n">
        <v>122.493</v>
      </c>
      <c r="D105" s="8" t="n">
        <v>0.35</v>
      </c>
      <c r="E105">
        <f>A105-A104</f>
        <v/>
      </c>
      <c r="F105" s="4">
        <f>ROUND(B105/B104-1,8)</f>
        <v/>
      </c>
      <c r="G105" s="4">
        <f>ROUND(C105/C104-1,8)</f>
        <v/>
      </c>
      <c r="H105" s="4">
        <f>ROUND(D105/100/(DATE(YEAR(A105)+1,1,1)-DATE(YEAR(A105),1,1))*E105,8)</f>
        <v/>
      </c>
      <c r="I105" s="4">
        <f>ROUND(I104*(1+F105),8)</f>
        <v/>
      </c>
      <c r="J105" s="4">
        <f>ROUND(J104*(1+G105),8)</f>
        <v/>
      </c>
      <c r="K105" s="4">
        <f>ROUND(K104+H105,8)</f>
        <v/>
      </c>
      <c r="L105" s="4">
        <f>ROUND(0.9*F105+0.05*G105+0.05*H105,8)</f>
        <v/>
      </c>
    </row>
    <row r="106">
      <c r="A106" s="2" t="n">
        <v>43901</v>
      </c>
      <c r="B106" s="8" t="n">
        <v>2024.92</v>
      </c>
      <c r="C106" s="8" t="n">
        <v>122.4703</v>
      </c>
      <c r="D106" s="8" t="n">
        <v>0.35</v>
      </c>
      <c r="E106">
        <f>A106-A105</f>
        <v/>
      </c>
      <c r="F106" s="4">
        <f>ROUND(B106/B105-1,8)</f>
        <v/>
      </c>
      <c r="G106" s="4">
        <f>ROUND(C106/C105-1,8)</f>
        <v/>
      </c>
      <c r="H106" s="4">
        <f>ROUND(D106/100/(DATE(YEAR(A106)+1,1,1)-DATE(YEAR(A106),1,1))*E106,8)</f>
        <v/>
      </c>
      <c r="I106" s="4">
        <f>ROUND(I105*(1+F106),8)</f>
        <v/>
      </c>
      <c r="J106" s="4">
        <f>ROUND(J105*(1+G106),8)</f>
        <v/>
      </c>
      <c r="K106" s="4">
        <f>ROUND(K105+H106,8)</f>
        <v/>
      </c>
      <c r="L106" s="4">
        <f>ROUND(0.9*F106+0.05*G106+0.05*H106,8)</f>
        <v/>
      </c>
    </row>
    <row r="107">
      <c r="A107" s="2" t="n">
        <v>43902</v>
      </c>
      <c r="B107" s="8" t="n">
        <v>1985.92</v>
      </c>
      <c r="C107" s="8" t="n">
        <v>122.4377</v>
      </c>
      <c r="D107" s="8" t="n">
        <v>0.35</v>
      </c>
      <c r="E107">
        <f>A107-A106</f>
        <v/>
      </c>
      <c r="F107" s="4">
        <f>ROUND(B107/B106-1,8)</f>
        <v/>
      </c>
      <c r="G107" s="4">
        <f>ROUND(C107/C106-1,8)</f>
        <v/>
      </c>
      <c r="H107" s="4">
        <f>ROUND(D107/100/(DATE(YEAR(A107)+1,1,1)-DATE(YEAR(A107),1,1))*E107,8)</f>
        <v/>
      </c>
      <c r="I107" s="4">
        <f>ROUND(I106*(1+F107),8)</f>
        <v/>
      </c>
      <c r="J107" s="4">
        <f>ROUND(J106*(1+G107),8)</f>
        <v/>
      </c>
      <c r="K107" s="4">
        <f>ROUND(K106+H107,8)</f>
        <v/>
      </c>
      <c r="L107" s="4">
        <f>ROUND(0.9*F107+0.05*G107+0.05*H107,8)</f>
        <v/>
      </c>
    </row>
    <row r="108">
      <c r="A108" s="2" t="n">
        <v>43903</v>
      </c>
      <c r="B108" s="8" t="n">
        <v>1961.97</v>
      </c>
      <c r="C108" s="8" t="n">
        <v>122.3034</v>
      </c>
      <c r="D108" s="8" t="n">
        <v>0.35</v>
      </c>
      <c r="E108">
        <f>A108-A107</f>
        <v/>
      </c>
      <c r="F108" s="4">
        <f>ROUND(B108/B107-1,8)</f>
        <v/>
      </c>
      <c r="G108" s="4">
        <f>ROUND(C108/C107-1,8)</f>
        <v/>
      </c>
      <c r="H108" s="4">
        <f>ROUND(D108/100/(DATE(YEAR(A108)+1,1,1)-DATE(YEAR(A108),1,1))*E108,8)</f>
        <v/>
      </c>
      <c r="I108" s="4">
        <f>ROUND(I107*(1+F108),8)</f>
        <v/>
      </c>
      <c r="J108" s="4">
        <f>ROUND(J107*(1+G108),8)</f>
        <v/>
      </c>
      <c r="K108" s="4">
        <f>ROUND(K107+H108,8)</f>
        <v/>
      </c>
      <c r="L108" s="4">
        <f>ROUND(0.9*F108+0.05*G108+0.05*H108,8)</f>
        <v/>
      </c>
    </row>
    <row r="109">
      <c r="A109" s="2" t="n">
        <v>43906</v>
      </c>
      <c r="B109" s="8" t="n">
        <v>1885.92</v>
      </c>
      <c r="C109" s="8" t="n">
        <v>122.2885</v>
      </c>
      <c r="D109" s="8" t="n">
        <v>0.35</v>
      </c>
      <c r="E109">
        <f>A109-A108</f>
        <v/>
      </c>
      <c r="F109" s="4">
        <f>ROUND(B109/B108-1,8)</f>
        <v/>
      </c>
      <c r="G109" s="4">
        <f>ROUND(C109/C108-1,8)</f>
        <v/>
      </c>
      <c r="H109" s="4">
        <f>ROUND(D109/100/(DATE(YEAR(A109)+1,1,1)-DATE(YEAR(A109),1,1))*E109,8)</f>
        <v/>
      </c>
      <c r="I109" s="4">
        <f>ROUND(I108*(1+F109),8)</f>
        <v/>
      </c>
      <c r="J109" s="4">
        <f>ROUND(J108*(1+G109),8)</f>
        <v/>
      </c>
      <c r="K109" s="4">
        <f>ROUND(K108+H109,8)</f>
        <v/>
      </c>
      <c r="L109" s="4">
        <f>ROUND(0.9*F109+0.05*G109+0.05*H109,8)</f>
        <v/>
      </c>
    </row>
    <row r="110">
      <c r="A110" s="2" t="n">
        <v>43907</v>
      </c>
      <c r="B110" s="8" t="n">
        <v>1882.98</v>
      </c>
      <c r="C110" s="8" t="n">
        <v>122.1638</v>
      </c>
      <c r="D110" s="8" t="n">
        <v>0.35</v>
      </c>
      <c r="E110">
        <f>A110-A109</f>
        <v/>
      </c>
      <c r="F110" s="4">
        <f>ROUND(B110/B109-1,8)</f>
        <v/>
      </c>
      <c r="G110" s="4">
        <f>ROUND(C110/C109-1,8)</f>
        <v/>
      </c>
      <c r="H110" s="4">
        <f>ROUND(D110/100/(DATE(YEAR(A110)+1,1,1)-DATE(YEAR(A110),1,1))*E110,8)</f>
        <v/>
      </c>
      <c r="I110" s="4">
        <f>ROUND(I109*(1+F110),8)</f>
        <v/>
      </c>
      <c r="J110" s="4">
        <f>ROUND(J109*(1+G110),8)</f>
        <v/>
      </c>
      <c r="K110" s="4">
        <f>ROUND(K109+H110,8)</f>
        <v/>
      </c>
      <c r="L110" s="4">
        <f>ROUND(0.9*F110+0.05*G110+0.05*H110,8)</f>
        <v/>
      </c>
    </row>
    <row r="111">
      <c r="A111" s="2" t="n">
        <v>43908</v>
      </c>
      <c r="B111" s="8" t="n">
        <v>1851.87</v>
      </c>
      <c r="C111" s="8" t="n">
        <v>122.1565</v>
      </c>
      <c r="D111" s="8" t="n">
        <v>0.35</v>
      </c>
      <c r="E111">
        <f>A111-A110</f>
        <v/>
      </c>
      <c r="F111" s="4">
        <f>ROUND(B111/B110-1,8)</f>
        <v/>
      </c>
      <c r="G111" s="4">
        <f>ROUND(C111/C110-1,8)</f>
        <v/>
      </c>
      <c r="H111" s="4">
        <f>ROUND(D111/100/(DATE(YEAR(A111)+1,1,1)-DATE(YEAR(A111),1,1))*E111,8)</f>
        <v/>
      </c>
      <c r="I111" s="4">
        <f>ROUND(I110*(1+F111),8)</f>
        <v/>
      </c>
      <c r="J111" s="4">
        <f>ROUND(J110*(1+G111),8)</f>
        <v/>
      </c>
      <c r="K111" s="4">
        <f>ROUND(K110+H111,8)</f>
        <v/>
      </c>
      <c r="L111" s="4">
        <f>ROUND(0.9*F111+0.05*G111+0.05*H111,8)</f>
        <v/>
      </c>
    </row>
    <row r="112">
      <c r="A112" s="2" t="n">
        <v>43909</v>
      </c>
      <c r="B112" s="8" t="n">
        <v>1873.08</v>
      </c>
      <c r="C112" s="8" t="n">
        <v>122.1192</v>
      </c>
      <c r="D112" s="8" t="n">
        <v>0.35</v>
      </c>
      <c r="E112">
        <f>A112-A111</f>
        <v/>
      </c>
      <c r="F112" s="4">
        <f>ROUND(B112/B111-1,8)</f>
        <v/>
      </c>
      <c r="G112" s="4">
        <f>ROUND(C112/C111-1,8)</f>
        <v/>
      </c>
      <c r="H112" s="4">
        <f>ROUND(D112/100/(DATE(YEAR(A112)+1,1,1)-DATE(YEAR(A112),1,1))*E112,8)</f>
        <v/>
      </c>
      <c r="I112" s="4">
        <f>ROUND(I111*(1+F112),8)</f>
        <v/>
      </c>
      <c r="J112" s="4">
        <f>ROUND(J111*(1+G112),8)</f>
        <v/>
      </c>
      <c r="K112" s="4">
        <f>ROUND(K111+H112,8)</f>
        <v/>
      </c>
      <c r="L112" s="4">
        <f>ROUND(0.9*F112+0.05*G112+0.05*H112,8)</f>
        <v/>
      </c>
    </row>
    <row r="113">
      <c r="A113" s="2" t="n">
        <v>43910</v>
      </c>
      <c r="B113" s="8" t="n">
        <v>1896.96</v>
      </c>
      <c r="C113" s="8" t="n">
        <v>122.1516</v>
      </c>
      <c r="D113" s="8" t="n">
        <v>0.35</v>
      </c>
      <c r="E113">
        <f>A113-A112</f>
        <v/>
      </c>
      <c r="F113" s="4">
        <f>ROUND(B113/B112-1,8)</f>
        <v/>
      </c>
      <c r="G113" s="4">
        <f>ROUND(C113/C112-1,8)</f>
        <v/>
      </c>
      <c r="H113" s="4">
        <f>ROUND(D113/100/(DATE(YEAR(A113)+1,1,1)-DATE(YEAR(A113),1,1))*E113,8)</f>
        <v/>
      </c>
      <c r="I113" s="4">
        <f>ROUND(I112*(1+F113),8)</f>
        <v/>
      </c>
      <c r="J113" s="4">
        <f>ROUND(J112*(1+G113),8)</f>
        <v/>
      </c>
      <c r="K113" s="4">
        <f>ROUND(K112+H113,8)</f>
        <v/>
      </c>
      <c r="L113" s="4">
        <f>ROUND(0.9*F113+0.05*G113+0.05*H113,8)</f>
        <v/>
      </c>
    </row>
    <row r="114">
      <c r="A114" s="2" t="n">
        <v>43913</v>
      </c>
      <c r="B114" s="8" t="n">
        <v>1819.88</v>
      </c>
      <c r="C114" s="8" t="n">
        <v>122.2386</v>
      </c>
      <c r="D114" s="8" t="n">
        <v>0.35</v>
      </c>
      <c r="E114">
        <f>A114-A113</f>
        <v/>
      </c>
      <c r="F114" s="4">
        <f>ROUND(B114/B113-1,8)</f>
        <v/>
      </c>
      <c r="G114" s="4">
        <f>ROUND(C114/C113-1,8)</f>
        <v/>
      </c>
      <c r="H114" s="4">
        <f>ROUND(D114/100/(DATE(YEAR(A114)+1,1,1)-DATE(YEAR(A114),1,1))*E114,8)</f>
        <v/>
      </c>
      <c r="I114" s="4">
        <f>ROUND(I113*(1+F114),8)</f>
        <v/>
      </c>
      <c r="J114" s="4">
        <f>ROUND(J113*(1+G114),8)</f>
        <v/>
      </c>
      <c r="K114" s="4">
        <f>ROUND(K113+H114,8)</f>
        <v/>
      </c>
      <c r="L114" s="4">
        <f>ROUND(0.9*F114+0.05*G114+0.05*H114,8)</f>
        <v/>
      </c>
    </row>
    <row r="115">
      <c r="A115" s="2" t="n">
        <v>43914</v>
      </c>
      <c r="B115" s="8" t="n">
        <v>1852.55</v>
      </c>
      <c r="C115" s="8" t="n">
        <v>122.3116</v>
      </c>
      <c r="D115" s="8" t="n">
        <v>0.35</v>
      </c>
      <c r="E115">
        <f>A115-A114</f>
        <v/>
      </c>
      <c r="F115" s="4">
        <f>ROUND(B115/B114-1,8)</f>
        <v/>
      </c>
      <c r="G115" s="4">
        <f>ROUND(C115/C114-1,8)</f>
        <v/>
      </c>
      <c r="H115" s="4">
        <f>ROUND(D115/100/(DATE(YEAR(A115)+1,1,1)-DATE(YEAR(A115),1,1))*E115,8)</f>
        <v/>
      </c>
      <c r="I115" s="4">
        <f>ROUND(I114*(1+F115),8)</f>
        <v/>
      </c>
      <c r="J115" s="4">
        <f>ROUND(J114*(1+G115),8)</f>
        <v/>
      </c>
      <c r="K115" s="4">
        <f>ROUND(K114+H115,8)</f>
        <v/>
      </c>
      <c r="L115" s="4">
        <f>ROUND(0.9*F115+0.05*G115+0.05*H115,8)</f>
        <v/>
      </c>
    </row>
    <row r="116">
      <c r="A116" s="2" t="n">
        <v>43915</v>
      </c>
      <c r="B116" s="8" t="n">
        <v>1896</v>
      </c>
      <c r="C116" s="8" t="n">
        <v>122.3489</v>
      </c>
      <c r="D116" s="8" t="n">
        <v>0.35</v>
      </c>
      <c r="E116">
        <f>A116-A115</f>
        <v/>
      </c>
      <c r="F116" s="4">
        <f>ROUND(B116/B115-1,8)</f>
        <v/>
      </c>
      <c r="G116" s="4">
        <f>ROUND(C116/C115-1,8)</f>
        <v/>
      </c>
      <c r="H116" s="4">
        <f>ROUND(D116/100/(DATE(YEAR(A116)+1,1,1)-DATE(YEAR(A116),1,1))*E116,8)</f>
        <v/>
      </c>
      <c r="I116" s="4">
        <f>ROUND(I115*(1+F116),8)</f>
        <v/>
      </c>
      <c r="J116" s="4">
        <f>ROUND(J115*(1+G116),8)</f>
        <v/>
      </c>
      <c r="K116" s="4">
        <f>ROUND(K115+H116,8)</f>
        <v/>
      </c>
      <c r="L116" s="4">
        <f>ROUND(0.9*F116+0.05*G116+0.05*H116,8)</f>
        <v/>
      </c>
    </row>
    <row r="117">
      <c r="A117" s="2" t="n">
        <v>43916</v>
      </c>
      <c r="B117" s="8" t="n">
        <v>1874.54</v>
      </c>
      <c r="C117" s="8" t="n">
        <v>122.472</v>
      </c>
      <c r="D117" s="8" t="n">
        <v>0.35</v>
      </c>
      <c r="E117">
        <f>A117-A116</f>
        <v/>
      </c>
      <c r="F117" s="4">
        <f>ROUND(B117/B116-1,8)</f>
        <v/>
      </c>
      <c r="G117" s="4">
        <f>ROUND(C117/C116-1,8)</f>
        <v/>
      </c>
      <c r="H117" s="4">
        <f>ROUND(D117/100/(DATE(YEAR(A117)+1,1,1)-DATE(YEAR(A117),1,1))*E117,8)</f>
        <v/>
      </c>
      <c r="I117" s="4">
        <f>ROUND(I116*(1+F117),8)</f>
        <v/>
      </c>
      <c r="J117" s="4">
        <f>ROUND(J116*(1+G117),8)</f>
        <v/>
      </c>
      <c r="K117" s="4">
        <f>ROUND(K116+H117,8)</f>
        <v/>
      </c>
      <c r="L117" s="4">
        <f>ROUND(0.9*F117+0.05*G117+0.05*H117,8)</f>
        <v/>
      </c>
    </row>
    <row r="118">
      <c r="A118" s="2" t="n">
        <v>43917</v>
      </c>
      <c r="B118" s="8" t="n">
        <v>1860.72</v>
      </c>
      <c r="C118" s="8" t="n">
        <v>122.4824</v>
      </c>
      <c r="D118" s="8" t="n">
        <v>0.35</v>
      </c>
      <c r="E118">
        <f>A118-A117</f>
        <v/>
      </c>
      <c r="F118" s="4">
        <f>ROUND(B118/B117-1,8)</f>
        <v/>
      </c>
      <c r="G118" s="4">
        <f>ROUND(C118/C117-1,8)</f>
        <v/>
      </c>
      <c r="H118" s="4">
        <f>ROUND(D118/100/(DATE(YEAR(A118)+1,1,1)-DATE(YEAR(A118),1,1))*E118,8)</f>
        <v/>
      </c>
      <c r="I118" s="4">
        <f>ROUND(I117*(1+F118),8)</f>
        <v/>
      </c>
      <c r="J118" s="4">
        <f>ROUND(J117*(1+G118),8)</f>
        <v/>
      </c>
      <c r="K118" s="4">
        <f>ROUND(K117+H118,8)</f>
        <v/>
      </c>
      <c r="L118" s="4">
        <f>ROUND(0.9*F118+0.05*G118+0.05*H118,8)</f>
        <v/>
      </c>
    </row>
    <row r="119">
      <c r="A119" s="2" t="n">
        <v>43920</v>
      </c>
      <c r="B119" s="8" t="n">
        <v>1816.23</v>
      </c>
      <c r="C119" s="8" t="n">
        <v>122.4872</v>
      </c>
      <c r="D119" s="8" t="n">
        <v>0.35</v>
      </c>
      <c r="E119">
        <f>A119-A118</f>
        <v/>
      </c>
      <c r="F119" s="4">
        <f>ROUND(B119/B118-1,8)</f>
        <v/>
      </c>
      <c r="G119" s="4">
        <f>ROUND(C119/C118-1,8)</f>
        <v/>
      </c>
      <c r="H119" s="4">
        <f>ROUND(D119/100/(DATE(YEAR(A119)+1,1,1)-DATE(YEAR(A119),1,1))*E119,8)</f>
        <v/>
      </c>
      <c r="I119" s="4">
        <f>ROUND(I118*(1+F119),8)</f>
        <v/>
      </c>
      <c r="J119" s="4">
        <f>ROUND(J118*(1+G119),8)</f>
        <v/>
      </c>
      <c r="K119" s="4">
        <f>ROUND(K118+H119,8)</f>
        <v/>
      </c>
      <c r="L119" s="4">
        <f>ROUND(0.9*F119+0.05*G119+0.05*H119,8)</f>
        <v/>
      </c>
    </row>
    <row r="120">
      <c r="A120" s="2" t="n">
        <v>43921</v>
      </c>
      <c r="B120" s="8" t="n">
        <v>1813.21</v>
      </c>
      <c r="C120" s="8" t="n">
        <v>122.5831</v>
      </c>
      <c r="D120" s="8" t="n">
        <v>0.35</v>
      </c>
      <c r="E120">
        <f>A120-A119</f>
        <v/>
      </c>
      <c r="F120" s="4">
        <f>ROUND(B120/B119-1,8)</f>
        <v/>
      </c>
      <c r="G120" s="4">
        <f>ROUND(C120/C119-1,8)</f>
        <v/>
      </c>
      <c r="H120" s="4">
        <f>ROUND(D120/100/(DATE(YEAR(A120)+1,1,1)-DATE(YEAR(A120),1,1))*E120,8)</f>
        <v/>
      </c>
      <c r="I120" s="4">
        <f>ROUND(I119*(1+F120),8)</f>
        <v/>
      </c>
      <c r="J120" s="4">
        <f>ROUND(J119*(1+G120),8)</f>
        <v/>
      </c>
      <c r="K120" s="4">
        <f>ROUND(K119+H120,8)</f>
        <v/>
      </c>
      <c r="L120" s="4">
        <f>ROUND(0.9*F120+0.05*G120+0.05*H120,8)</f>
        <v/>
      </c>
    </row>
    <row r="121">
      <c r="A121" s="2" t="n">
        <v>43922</v>
      </c>
      <c r="B121" s="8" t="n">
        <v>1805.66</v>
      </c>
      <c r="C121" s="8" t="n">
        <v>122.7287</v>
      </c>
      <c r="D121" s="8" t="n">
        <v>0.35</v>
      </c>
      <c r="E121">
        <f>A121-A120</f>
        <v/>
      </c>
      <c r="F121" s="4">
        <f>ROUND(B121/B120-1,8)</f>
        <v/>
      </c>
      <c r="G121" s="4">
        <f>ROUND(C121/C120-1,8)</f>
        <v/>
      </c>
      <c r="H121" s="4">
        <f>ROUND(D121/100/(DATE(YEAR(A121)+1,1,1)-DATE(YEAR(A121),1,1))*E121,8)</f>
        <v/>
      </c>
      <c r="I121" s="4">
        <f>ROUND(I120*(1+F121),8)</f>
        <v/>
      </c>
      <c r="J121" s="4">
        <f>ROUND(J120*(1+G121),8)</f>
        <v/>
      </c>
      <c r="K121" s="4">
        <f>ROUND(K120+H121,8)</f>
        <v/>
      </c>
      <c r="L121" s="4">
        <f>ROUND(0.9*F121+0.05*G121+0.05*H121,8)</f>
        <v/>
      </c>
    </row>
    <row r="122">
      <c r="A122" s="2" t="n">
        <v>43923</v>
      </c>
      <c r="B122" s="8" t="n">
        <v>1852.44</v>
      </c>
      <c r="C122" s="8" t="n">
        <v>122.7279</v>
      </c>
      <c r="D122" s="8" t="n">
        <v>0.35</v>
      </c>
      <c r="E122">
        <f>A122-A121</f>
        <v/>
      </c>
      <c r="F122" s="4">
        <f>ROUND(B122/B121-1,8)</f>
        <v/>
      </c>
      <c r="G122" s="4">
        <f>ROUND(C122/C121-1,8)</f>
        <v/>
      </c>
      <c r="H122" s="4">
        <f>ROUND(D122/100/(DATE(YEAR(A122)+1,1,1)-DATE(YEAR(A122),1,1))*E122,8)</f>
        <v/>
      </c>
      <c r="I122" s="4">
        <f>ROUND(I121*(1+F122),8)</f>
        <v/>
      </c>
      <c r="J122" s="4">
        <f>ROUND(J121*(1+G122),8)</f>
        <v/>
      </c>
      <c r="K122" s="4">
        <f>ROUND(K121+H122,8)</f>
        <v/>
      </c>
      <c r="L122" s="4">
        <f>ROUND(0.9*F122+0.05*G122+0.05*H122,8)</f>
        <v/>
      </c>
    </row>
    <row r="123">
      <c r="A123" s="2" t="n">
        <v>43924</v>
      </c>
      <c r="B123" s="8" t="n">
        <v>1843.94</v>
      </c>
      <c r="C123" s="8" t="n">
        <v>122.725</v>
      </c>
      <c r="D123" s="8" t="n">
        <v>0.35</v>
      </c>
      <c r="E123">
        <f>A123-A122</f>
        <v/>
      </c>
      <c r="F123" s="4">
        <f>ROUND(B123/B122-1,8)</f>
        <v/>
      </c>
      <c r="G123" s="4">
        <f>ROUND(C123/C122-1,8)</f>
        <v/>
      </c>
      <c r="H123" s="4">
        <f>ROUND(D123/100/(DATE(YEAR(A123)+1,1,1)-DATE(YEAR(A123),1,1))*E123,8)</f>
        <v/>
      </c>
      <c r="I123" s="4">
        <f>ROUND(I122*(1+F123),8)</f>
        <v/>
      </c>
      <c r="J123" s="4">
        <f>ROUND(J122*(1+G123),8)</f>
        <v/>
      </c>
      <c r="K123" s="4">
        <f>ROUND(K122+H123,8)</f>
        <v/>
      </c>
      <c r="L123" s="4">
        <f>ROUND(0.9*F123+0.05*G123+0.05*H123,8)</f>
        <v/>
      </c>
    </row>
    <row r="124">
      <c r="A124" s="2" t="n">
        <v>43928</v>
      </c>
      <c r="B124" s="8" t="n">
        <v>1908.78</v>
      </c>
      <c r="C124" s="8" t="n">
        <v>123.2703</v>
      </c>
      <c r="D124" s="8" t="n">
        <v>0.35</v>
      </c>
      <c r="E124">
        <f>A124-A123</f>
        <v/>
      </c>
      <c r="F124" s="4">
        <f>ROUND(B124/B123-1,8)</f>
        <v/>
      </c>
      <c r="G124" s="4">
        <f>ROUND(C124/C123-1,8)</f>
        <v/>
      </c>
      <c r="H124" s="4">
        <f>ROUND(D124/100/(DATE(YEAR(A124)+1,1,1)-DATE(YEAR(A124),1,1))*E124,8)</f>
        <v/>
      </c>
      <c r="I124" s="4">
        <f>ROUND(I123*(1+F124),8)</f>
        <v/>
      </c>
      <c r="J124" s="4">
        <f>ROUND(J123*(1+G124),8)</f>
        <v/>
      </c>
      <c r="K124" s="4">
        <f>ROUND(K123+H124,8)</f>
        <v/>
      </c>
      <c r="L124" s="4">
        <f>ROUND(0.9*F124+0.05*G124+0.05*H124,8)</f>
        <v/>
      </c>
    </row>
    <row r="125">
      <c r="A125" s="2" t="n">
        <v>43929</v>
      </c>
      <c r="B125" s="8" t="n">
        <v>1916</v>
      </c>
      <c r="C125" s="8" t="n">
        <v>123.5301</v>
      </c>
      <c r="D125" s="8" t="n">
        <v>0.35</v>
      </c>
      <c r="E125">
        <f>A125-A124</f>
        <v/>
      </c>
      <c r="F125" s="4">
        <f>ROUND(B125/B124-1,8)</f>
        <v/>
      </c>
      <c r="G125" s="4">
        <f>ROUND(C125/C124-1,8)</f>
        <v/>
      </c>
      <c r="H125" s="4">
        <f>ROUND(D125/100/(DATE(YEAR(A125)+1,1,1)-DATE(YEAR(A125),1,1))*E125,8)</f>
        <v/>
      </c>
      <c r="I125" s="4">
        <f>ROUND(I124*(1+F125),8)</f>
        <v/>
      </c>
      <c r="J125" s="4">
        <f>ROUND(J124*(1+G125),8)</f>
        <v/>
      </c>
      <c r="K125" s="4">
        <f>ROUND(K124+H125,8)</f>
        <v/>
      </c>
      <c r="L125" s="4">
        <f>ROUND(0.9*F125+0.05*G125+0.05*H125,8)</f>
        <v/>
      </c>
    </row>
    <row r="126">
      <c r="A126" s="2" t="n">
        <v>43930</v>
      </c>
      <c r="B126" s="8" t="n">
        <v>1930.93</v>
      </c>
      <c r="C126" s="8" t="n">
        <v>123.5671</v>
      </c>
      <c r="D126" s="8" t="n">
        <v>0.35</v>
      </c>
      <c r="E126">
        <f>A126-A125</f>
        <v/>
      </c>
      <c r="F126" s="4">
        <f>ROUND(B126/B125-1,8)</f>
        <v/>
      </c>
      <c r="G126" s="4">
        <f>ROUND(C126/C125-1,8)</f>
        <v/>
      </c>
      <c r="H126" s="4">
        <f>ROUND(D126/100/(DATE(YEAR(A126)+1,1,1)-DATE(YEAR(A126),1,1))*E126,8)</f>
        <v/>
      </c>
      <c r="I126" s="4">
        <f>ROUND(I125*(1+F126),8)</f>
        <v/>
      </c>
      <c r="J126" s="4">
        <f>ROUND(J125*(1+G126),8)</f>
        <v/>
      </c>
      <c r="K126" s="4">
        <f>ROUND(K125+H126,8)</f>
        <v/>
      </c>
      <c r="L126" s="4">
        <f>ROUND(0.9*F126+0.05*G126+0.05*H126,8)</f>
        <v/>
      </c>
    </row>
    <row r="127">
      <c r="A127" s="2" t="n">
        <v>43931</v>
      </c>
      <c r="B127" s="8" t="n">
        <v>1873.52</v>
      </c>
      <c r="C127" s="8" t="n">
        <v>123.4897</v>
      </c>
      <c r="D127" s="8" t="n">
        <v>0.35</v>
      </c>
      <c r="E127">
        <f>A127-A126</f>
        <v/>
      </c>
      <c r="F127" s="4">
        <f>ROUND(B127/B126-1,8)</f>
        <v/>
      </c>
      <c r="G127" s="4">
        <f>ROUND(C127/C126-1,8)</f>
        <v/>
      </c>
      <c r="H127" s="4">
        <f>ROUND(D127/100/(DATE(YEAR(A127)+1,1,1)-DATE(YEAR(A127),1,1))*E127,8)</f>
        <v/>
      </c>
      <c r="I127" s="4">
        <f>ROUND(I126*(1+F127),8)</f>
        <v/>
      </c>
      <c r="J127" s="4">
        <f>ROUND(J126*(1+G127),8)</f>
        <v/>
      </c>
      <c r="K127" s="4">
        <f>ROUND(K126+H127,8)</f>
        <v/>
      </c>
      <c r="L127" s="4">
        <f>ROUND(0.9*F127+0.05*G127+0.05*H127,8)</f>
        <v/>
      </c>
    </row>
    <row r="128">
      <c r="A128" s="2" t="n">
        <v>43934</v>
      </c>
      <c r="B128" s="8" t="n">
        <v>1859.26</v>
      </c>
      <c r="C128" s="8" t="n">
        <v>123.414</v>
      </c>
      <c r="D128" s="8" t="n">
        <v>0.35</v>
      </c>
      <c r="E128">
        <f>A128-A127</f>
        <v/>
      </c>
      <c r="F128" s="4">
        <f>ROUND(B128/B127-1,8)</f>
        <v/>
      </c>
      <c r="G128" s="4">
        <f>ROUND(C128/C127-1,8)</f>
        <v/>
      </c>
      <c r="H128" s="4">
        <f>ROUND(D128/100/(DATE(YEAR(A128)+1,1,1)-DATE(YEAR(A128),1,1))*E128,8)</f>
        <v/>
      </c>
      <c r="I128" s="4">
        <f>ROUND(I127*(1+F128),8)</f>
        <v/>
      </c>
      <c r="J128" s="4">
        <f>ROUND(J127*(1+G128),8)</f>
        <v/>
      </c>
      <c r="K128" s="4">
        <f>ROUND(K127+H128,8)</f>
        <v/>
      </c>
      <c r="L128" s="4">
        <f>ROUND(0.9*F128+0.05*G128+0.05*H128,8)</f>
        <v/>
      </c>
    </row>
    <row r="129">
      <c r="A129" s="2" t="n">
        <v>43935</v>
      </c>
      <c r="B129" s="8" t="n">
        <v>1893.37</v>
      </c>
      <c r="C129" s="8" t="n">
        <v>123.4566</v>
      </c>
      <c r="D129" s="8" t="n">
        <v>0.35</v>
      </c>
      <c r="E129">
        <f>A129-A128</f>
        <v/>
      </c>
      <c r="F129" s="4">
        <f>ROUND(B129/B128-1,8)</f>
        <v/>
      </c>
      <c r="G129" s="4">
        <f>ROUND(C129/C128-1,8)</f>
        <v/>
      </c>
      <c r="H129" s="4">
        <f>ROUND(D129/100/(DATE(YEAR(A129)+1,1,1)-DATE(YEAR(A129),1,1))*E129,8)</f>
        <v/>
      </c>
      <c r="I129" s="4">
        <f>ROUND(I128*(1+F129),8)</f>
        <v/>
      </c>
      <c r="J129" s="4">
        <f>ROUND(J128*(1+G129),8)</f>
        <v/>
      </c>
      <c r="K129" s="4">
        <f>ROUND(K128+H129,8)</f>
        <v/>
      </c>
      <c r="L129" s="4">
        <f>ROUND(0.9*F129+0.05*G129+0.05*H129,8)</f>
        <v/>
      </c>
    </row>
    <row r="130">
      <c r="A130" s="2" t="n">
        <v>43936</v>
      </c>
      <c r="B130" s="8" t="n">
        <v>1880.81</v>
      </c>
      <c r="C130" s="8" t="n">
        <v>123.5124</v>
      </c>
      <c r="D130" s="8" t="n">
        <v>0.35</v>
      </c>
      <c r="E130">
        <f>A130-A129</f>
        <v/>
      </c>
      <c r="F130" s="4">
        <f>ROUND(B130/B129-1,8)</f>
        <v/>
      </c>
      <c r="G130" s="4">
        <f>ROUND(C130/C129-1,8)</f>
        <v/>
      </c>
      <c r="H130" s="4">
        <f>ROUND(D130/100/(DATE(YEAR(A130)+1,1,1)-DATE(YEAR(A130),1,1))*E130,8)</f>
        <v/>
      </c>
      <c r="I130" s="4">
        <f>ROUND(I129*(1+F130),8)</f>
        <v/>
      </c>
      <c r="J130" s="4">
        <f>ROUND(J129*(1+G130),8)</f>
        <v/>
      </c>
      <c r="K130" s="4">
        <f>ROUND(K129+H130,8)</f>
        <v/>
      </c>
      <c r="L130" s="4">
        <f>ROUND(0.9*F130+0.05*G130+0.05*H130,8)</f>
        <v/>
      </c>
    </row>
    <row r="131">
      <c r="A131" s="2" t="n">
        <v>43937</v>
      </c>
      <c r="B131" s="8" t="n">
        <v>1889.57</v>
      </c>
      <c r="C131" s="8" t="n">
        <v>123.588</v>
      </c>
      <c r="D131" s="8" t="n">
        <v>0.35</v>
      </c>
      <c r="E131">
        <f>A131-A130</f>
        <v/>
      </c>
      <c r="F131" s="4">
        <f>ROUND(B131/B130-1,8)</f>
        <v/>
      </c>
      <c r="G131" s="4">
        <f>ROUND(C131/C130-1,8)</f>
        <v/>
      </c>
      <c r="H131" s="4">
        <f>ROUND(D131/100/(DATE(YEAR(A131)+1,1,1)-DATE(YEAR(A131),1,1))*E131,8)</f>
        <v/>
      </c>
      <c r="I131" s="4">
        <f>ROUND(I130*(1+F131),8)</f>
        <v/>
      </c>
      <c r="J131" s="4">
        <f>ROUND(J130*(1+G131),8)</f>
        <v/>
      </c>
      <c r="K131" s="4">
        <f>ROUND(K130+H131,8)</f>
        <v/>
      </c>
      <c r="L131" s="4">
        <f>ROUND(0.9*F131+0.05*G131+0.05*H131,8)</f>
        <v/>
      </c>
    </row>
    <row r="132">
      <c r="A132" s="2" t="n">
        <v>43938</v>
      </c>
      <c r="B132" s="8" t="n">
        <v>1885.71</v>
      </c>
      <c r="C132" s="8" t="n">
        <v>123.5602</v>
      </c>
      <c r="D132" s="8" t="n">
        <v>0.35</v>
      </c>
      <c r="E132">
        <f>A132-A131</f>
        <v/>
      </c>
      <c r="F132" s="4">
        <f>ROUND(B132/B131-1,8)</f>
        <v/>
      </c>
      <c r="G132" s="4">
        <f>ROUND(C132/C131-1,8)</f>
        <v/>
      </c>
      <c r="H132" s="4">
        <f>ROUND(D132/100/(DATE(YEAR(A132)+1,1,1)-DATE(YEAR(A132),1,1))*E132,8)</f>
        <v/>
      </c>
      <c r="I132" s="4">
        <f>ROUND(I131*(1+F132),8)</f>
        <v/>
      </c>
      <c r="J132" s="4">
        <f>ROUND(J131*(1+G132),8)</f>
        <v/>
      </c>
      <c r="K132" s="4">
        <f>ROUND(K131+H132,8)</f>
        <v/>
      </c>
      <c r="L132" s="4">
        <f>ROUND(0.9*F132+0.05*G132+0.05*H132,8)</f>
        <v/>
      </c>
    </row>
    <row r="133">
      <c r="A133" s="2" t="n">
        <v>43941</v>
      </c>
      <c r="B133" s="8" t="n">
        <v>1910.71</v>
      </c>
      <c r="C133" s="8" t="n">
        <v>123.4909</v>
      </c>
      <c r="D133" s="8" t="n">
        <v>0.35</v>
      </c>
      <c r="E133">
        <f>A133-A132</f>
        <v/>
      </c>
      <c r="F133" s="4">
        <f>ROUND(B133/B132-1,8)</f>
        <v/>
      </c>
      <c r="G133" s="4">
        <f>ROUND(C133/C132-1,8)</f>
        <v/>
      </c>
      <c r="H133" s="4">
        <f>ROUND(D133/100/(DATE(YEAR(A133)+1,1,1)-DATE(YEAR(A133),1,1))*E133,8)</f>
        <v/>
      </c>
      <c r="I133" s="4">
        <f>ROUND(I132*(1+F133),8)</f>
        <v/>
      </c>
      <c r="J133" s="4">
        <f>ROUND(J132*(1+G133),8)</f>
        <v/>
      </c>
      <c r="K133" s="4">
        <f>ROUND(K132+H133,8)</f>
        <v/>
      </c>
      <c r="L133" s="4">
        <f>ROUND(0.9*F133+0.05*G133+0.05*H133,8)</f>
        <v/>
      </c>
    </row>
    <row r="134">
      <c r="A134" s="2" t="n">
        <v>43942</v>
      </c>
      <c r="B134" s="8" t="n">
        <v>1905.06</v>
      </c>
      <c r="C134" s="8" t="n">
        <v>123.5399</v>
      </c>
      <c r="D134" s="8" t="n">
        <v>0.35</v>
      </c>
      <c r="E134">
        <f>A134-A133</f>
        <v/>
      </c>
      <c r="F134" s="4">
        <f>ROUND(B134/B133-1,8)</f>
        <v/>
      </c>
      <c r="G134" s="4">
        <f>ROUND(C134/C133-1,8)</f>
        <v/>
      </c>
      <c r="H134" s="4">
        <f>ROUND(D134/100/(DATE(YEAR(A134)+1,1,1)-DATE(YEAR(A134),1,1))*E134,8)</f>
        <v/>
      </c>
      <c r="I134" s="4">
        <f>ROUND(I133*(1+F134),8)</f>
        <v/>
      </c>
      <c r="J134" s="4">
        <f>ROUND(J133*(1+G134),8)</f>
        <v/>
      </c>
      <c r="K134" s="4">
        <f>ROUND(K133+H134,8)</f>
        <v/>
      </c>
      <c r="L134" s="4">
        <f>ROUND(0.9*F134+0.05*G134+0.05*H134,8)</f>
        <v/>
      </c>
    </row>
    <row r="135">
      <c r="A135" s="2" t="n">
        <v>43943</v>
      </c>
      <c r="B135" s="8" t="n">
        <v>1927.43</v>
      </c>
      <c r="C135" s="8" t="n">
        <v>123.6166</v>
      </c>
      <c r="D135" s="8" t="n">
        <v>0.35</v>
      </c>
      <c r="E135">
        <f>A135-A134</f>
        <v/>
      </c>
      <c r="F135" s="4">
        <f>ROUND(B135/B134-1,8)</f>
        <v/>
      </c>
      <c r="G135" s="4">
        <f>ROUND(C135/C134-1,8)</f>
        <v/>
      </c>
      <c r="H135" s="4">
        <f>ROUND(D135/100/(DATE(YEAR(A135)+1,1,1)-DATE(YEAR(A135),1,1))*E135,8)</f>
        <v/>
      </c>
      <c r="I135" s="4">
        <f>ROUND(I134*(1+F135),8)</f>
        <v/>
      </c>
      <c r="J135" s="4">
        <f>ROUND(J134*(1+G135),8)</f>
        <v/>
      </c>
      <c r="K135" s="4">
        <f>ROUND(K134+H135,8)</f>
        <v/>
      </c>
      <c r="L135" s="4">
        <f>ROUND(0.9*F135+0.05*G135+0.05*H135,8)</f>
        <v/>
      </c>
    </row>
    <row r="136">
      <c r="A136" s="2" t="n">
        <v>43944</v>
      </c>
      <c r="B136" s="8" t="n">
        <v>1916.35</v>
      </c>
      <c r="C136" s="8" t="n">
        <v>123.7468</v>
      </c>
      <c r="D136" s="8" t="n">
        <v>0.35</v>
      </c>
      <c r="E136">
        <f>A136-A135</f>
        <v/>
      </c>
      <c r="F136" s="4">
        <f>ROUND(B136/B135-1,8)</f>
        <v/>
      </c>
      <c r="G136" s="4">
        <f>ROUND(C136/C135-1,8)</f>
        <v/>
      </c>
      <c r="H136" s="4">
        <f>ROUND(D136/100/(DATE(YEAR(A136)+1,1,1)-DATE(YEAR(A136),1,1))*E136,8)</f>
        <v/>
      </c>
      <c r="I136" s="4">
        <f>ROUND(I135*(1+F136),8)</f>
        <v/>
      </c>
      <c r="J136" s="4">
        <f>ROUND(J135*(1+G136),8)</f>
        <v/>
      </c>
      <c r="K136" s="4">
        <f>ROUND(K135+H136,8)</f>
        <v/>
      </c>
      <c r="L136" s="4">
        <f>ROUND(0.9*F136+0.05*G136+0.05*H136,8)</f>
        <v/>
      </c>
    </row>
    <row r="137">
      <c r="A137" s="2" t="n">
        <v>43945</v>
      </c>
      <c r="B137" s="8" t="n">
        <v>1873.2</v>
      </c>
      <c r="C137" s="8" t="n">
        <v>123.7909</v>
      </c>
      <c r="D137" s="8" t="n">
        <v>0.35</v>
      </c>
      <c r="E137">
        <f>A137-A136</f>
        <v/>
      </c>
      <c r="F137" s="4">
        <f>ROUND(B137/B136-1,8)</f>
        <v/>
      </c>
      <c r="G137" s="4">
        <f>ROUND(C137/C136-1,8)</f>
        <v/>
      </c>
      <c r="H137" s="4">
        <f>ROUND(D137/100/(DATE(YEAR(A137)+1,1,1)-DATE(YEAR(A137),1,1))*E137,8)</f>
        <v/>
      </c>
      <c r="I137" s="4">
        <f>ROUND(I136*(1+F137),8)</f>
        <v/>
      </c>
      <c r="J137" s="4">
        <f>ROUND(J136*(1+G137),8)</f>
        <v/>
      </c>
      <c r="K137" s="4">
        <f>ROUND(K136+H137,8)</f>
        <v/>
      </c>
      <c r="L137" s="4">
        <f>ROUND(0.9*F137+0.05*G137+0.05*H137,8)</f>
        <v/>
      </c>
    </row>
    <row r="138">
      <c r="A138" s="2" t="n">
        <v>43948</v>
      </c>
      <c r="B138" s="8" t="n">
        <v>1857.07</v>
      </c>
      <c r="C138" s="8" t="n">
        <v>123.7423</v>
      </c>
      <c r="D138" s="8" t="n">
        <v>0.35</v>
      </c>
      <c r="E138">
        <f>A138-A137</f>
        <v/>
      </c>
      <c r="F138" s="4">
        <f>ROUND(B138/B137-1,8)</f>
        <v/>
      </c>
      <c r="G138" s="4">
        <f>ROUND(C138/C137-1,8)</f>
        <v/>
      </c>
      <c r="H138" s="4">
        <f>ROUND(D138/100/(DATE(YEAR(A138)+1,1,1)-DATE(YEAR(A138),1,1))*E138,8)</f>
        <v/>
      </c>
      <c r="I138" s="4">
        <f>ROUND(I137*(1+F138),8)</f>
        <v/>
      </c>
      <c r="J138" s="4">
        <f>ROUND(J137*(1+G138),8)</f>
        <v/>
      </c>
      <c r="K138" s="4">
        <f>ROUND(K137+H138,8)</f>
        <v/>
      </c>
      <c r="L138" s="4">
        <f>ROUND(0.9*F138+0.05*G138+0.05*H138,8)</f>
        <v/>
      </c>
    </row>
    <row r="139">
      <c r="A139" s="2" t="n">
        <v>43949</v>
      </c>
      <c r="B139" s="8" t="n">
        <v>1810.68</v>
      </c>
      <c r="C139" s="8" t="n">
        <v>123.7603</v>
      </c>
      <c r="D139" s="8" t="n">
        <v>0.35</v>
      </c>
      <c r="E139">
        <f>A139-A138</f>
        <v/>
      </c>
      <c r="F139" s="4">
        <f>ROUND(B139/B138-1,8)</f>
        <v/>
      </c>
      <c r="G139" s="4">
        <f>ROUND(C139/C138-1,8)</f>
        <v/>
      </c>
      <c r="H139" s="4">
        <f>ROUND(D139/100/(DATE(YEAR(A139)+1,1,1)-DATE(YEAR(A139),1,1))*E139,8)</f>
        <v/>
      </c>
      <c r="I139" s="4">
        <f>ROUND(I138*(1+F139),8)</f>
        <v/>
      </c>
      <c r="J139" s="4">
        <f>ROUND(J138*(1+G139),8)</f>
        <v/>
      </c>
      <c r="K139" s="4">
        <f>ROUND(K138+H139,8)</f>
        <v/>
      </c>
      <c r="L139" s="4">
        <f>ROUND(0.9*F139+0.05*G139+0.05*H139,8)</f>
        <v/>
      </c>
    </row>
    <row r="140">
      <c r="A140" s="2" t="n">
        <v>43950</v>
      </c>
      <c r="B140" s="8" t="n">
        <v>1803.74</v>
      </c>
      <c r="C140" s="8" t="n">
        <v>123.8494</v>
      </c>
      <c r="D140" s="8" t="n">
        <v>0.35</v>
      </c>
      <c r="E140">
        <f>A140-A139</f>
        <v/>
      </c>
      <c r="F140" s="4">
        <f>ROUND(B140/B139-1,8)</f>
        <v/>
      </c>
      <c r="G140" s="4">
        <f>ROUND(C140/C139-1,8)</f>
        <v/>
      </c>
      <c r="H140" s="4">
        <f>ROUND(D140/100/(DATE(YEAR(A140)+1,1,1)-DATE(YEAR(A140),1,1))*E140,8)</f>
        <v/>
      </c>
      <c r="I140" s="4">
        <f>ROUND(I139*(1+F140),8)</f>
        <v/>
      </c>
      <c r="J140" s="4">
        <f>ROUND(J139*(1+G140),8)</f>
        <v/>
      </c>
      <c r="K140" s="4">
        <f>ROUND(K139+H140,8)</f>
        <v/>
      </c>
      <c r="L140" s="4">
        <f>ROUND(0.9*F140+0.05*G140+0.05*H140,8)</f>
        <v/>
      </c>
    </row>
    <row r="141">
      <c r="A141" s="2" t="n">
        <v>43951</v>
      </c>
      <c r="B141" s="8" t="n">
        <v>1842.51</v>
      </c>
      <c r="C141" s="8" t="n">
        <v>123.7952</v>
      </c>
      <c r="D141" s="8" t="n">
        <v>0.35</v>
      </c>
      <c r="E141">
        <f>A141-A140</f>
        <v/>
      </c>
      <c r="F141" s="4">
        <f>ROUND(B141/B140-1,8)</f>
        <v/>
      </c>
      <c r="G141" s="4">
        <f>ROUND(C141/C140-1,8)</f>
        <v/>
      </c>
      <c r="H141" s="4">
        <f>ROUND(D141/100/(DATE(YEAR(A141)+1,1,1)-DATE(YEAR(A141),1,1))*E141,8)</f>
        <v/>
      </c>
      <c r="I141" s="4">
        <f>ROUND(I140*(1+F141),8)</f>
        <v/>
      </c>
      <c r="J141" s="4">
        <f>ROUND(J140*(1+G141),8)</f>
        <v/>
      </c>
      <c r="K141" s="4">
        <f>ROUND(K140+H141,8)</f>
        <v/>
      </c>
      <c r="L141" s="4">
        <f>ROUND(0.9*F141+0.05*G141+0.05*H141,8)</f>
        <v/>
      </c>
    </row>
    <row r="142">
      <c r="A142" s="2" t="n">
        <v>43957</v>
      </c>
      <c r="B142" s="8" t="n">
        <v>1879.72</v>
      </c>
      <c r="C142" s="8" t="n">
        <v>123.7259</v>
      </c>
      <c r="D142" s="8" t="n">
        <v>0.35</v>
      </c>
      <c r="E142">
        <f>A142-A141</f>
        <v/>
      </c>
      <c r="F142" s="4">
        <f>ROUND(B142/B141-1,8)</f>
        <v/>
      </c>
      <c r="G142" s="4">
        <f>ROUND(C142/C141-1,8)</f>
        <v/>
      </c>
      <c r="H142" s="4">
        <f>ROUND(D142/100/(DATE(YEAR(A142)+1,1,1)-DATE(YEAR(A142),1,1))*E142,8)</f>
        <v/>
      </c>
      <c r="I142" s="4">
        <f>ROUND(I141*(1+F142),8)</f>
        <v/>
      </c>
      <c r="J142" s="4">
        <f>ROUND(J141*(1+G142),8)</f>
        <v/>
      </c>
      <c r="K142" s="4">
        <f>ROUND(K141+H142,8)</f>
        <v/>
      </c>
      <c r="L142" s="4">
        <f>ROUND(0.9*F142+0.05*G142+0.05*H142,8)</f>
        <v/>
      </c>
    </row>
    <row r="143">
      <c r="A143" s="2" t="n">
        <v>43958</v>
      </c>
      <c r="B143" s="8" t="n">
        <v>1876.12</v>
      </c>
      <c r="C143" s="8" t="n">
        <v>123.529</v>
      </c>
      <c r="D143" s="8" t="n">
        <v>0.35</v>
      </c>
      <c r="E143">
        <f>A143-A142</f>
        <v/>
      </c>
      <c r="F143" s="4">
        <f>ROUND(B143/B142-1,8)</f>
        <v/>
      </c>
      <c r="G143" s="4">
        <f>ROUND(C143/C142-1,8)</f>
        <v/>
      </c>
      <c r="H143" s="4">
        <f>ROUND(D143/100/(DATE(YEAR(A143)+1,1,1)-DATE(YEAR(A143),1,1))*E143,8)</f>
        <v/>
      </c>
      <c r="I143" s="4">
        <f>ROUND(I142*(1+F143),8)</f>
        <v/>
      </c>
      <c r="J143" s="4">
        <f>ROUND(J142*(1+G143),8)</f>
        <v/>
      </c>
      <c r="K143" s="4">
        <f>ROUND(K142+H143,8)</f>
        <v/>
      </c>
      <c r="L143" s="4">
        <f>ROUND(0.9*F143+0.05*G143+0.05*H143,8)</f>
        <v/>
      </c>
    </row>
    <row r="144">
      <c r="A144" s="2" t="n">
        <v>43959</v>
      </c>
      <c r="B144" s="8" t="n">
        <v>1897.63</v>
      </c>
      <c r="C144" s="8" t="n">
        <v>123.4602</v>
      </c>
      <c r="D144" s="8" t="n">
        <v>0.35</v>
      </c>
      <c r="E144">
        <f>A144-A143</f>
        <v/>
      </c>
      <c r="F144" s="4">
        <f>ROUND(B144/B143-1,8)</f>
        <v/>
      </c>
      <c r="G144" s="4">
        <f>ROUND(C144/C143-1,8)</f>
        <v/>
      </c>
      <c r="H144" s="4">
        <f>ROUND(D144/100/(DATE(YEAR(A144)+1,1,1)-DATE(YEAR(A144),1,1))*E144,8)</f>
        <v/>
      </c>
      <c r="I144" s="4">
        <f>ROUND(I143*(1+F144),8)</f>
        <v/>
      </c>
      <c r="J144" s="4">
        <f>ROUND(J143*(1+G144),8)</f>
        <v/>
      </c>
      <c r="K144" s="4">
        <f>ROUND(K143+H144,8)</f>
        <v/>
      </c>
      <c r="L144" s="4">
        <f>ROUND(0.9*F144+0.05*G144+0.05*H144,8)</f>
        <v/>
      </c>
    </row>
    <row r="145">
      <c r="A145" s="2" t="n">
        <v>43962</v>
      </c>
      <c r="B145" s="8" t="n">
        <v>1900.47</v>
      </c>
      <c r="C145" s="8" t="n">
        <v>123.1579</v>
      </c>
      <c r="D145" s="8" t="n">
        <v>0.35</v>
      </c>
      <c r="E145">
        <f>A145-A144</f>
        <v/>
      </c>
      <c r="F145" s="4">
        <f>ROUND(B145/B144-1,8)</f>
        <v/>
      </c>
      <c r="G145" s="4">
        <f>ROUND(C145/C144-1,8)</f>
        <v/>
      </c>
      <c r="H145" s="4">
        <f>ROUND(D145/100/(DATE(YEAR(A145)+1,1,1)-DATE(YEAR(A145),1,1))*E145,8)</f>
        <v/>
      </c>
      <c r="I145" s="4">
        <f>ROUND(I144*(1+F145),8)</f>
        <v/>
      </c>
      <c r="J145" s="4">
        <f>ROUND(J144*(1+G145),8)</f>
        <v/>
      </c>
      <c r="K145" s="4">
        <f>ROUND(K144+H145,8)</f>
        <v/>
      </c>
      <c r="L145" s="4">
        <f>ROUND(0.9*F145+0.05*G145+0.05*H145,8)</f>
        <v/>
      </c>
    </row>
    <row r="146">
      <c r="A146" s="2" t="n">
        <v>43963</v>
      </c>
      <c r="B146" s="8" t="n">
        <v>1899.36</v>
      </c>
      <c r="C146" s="8" t="n">
        <v>123.1357</v>
      </c>
      <c r="D146" s="8" t="n">
        <v>0.35</v>
      </c>
      <c r="E146">
        <f>A146-A145</f>
        <v/>
      </c>
      <c r="F146" s="4">
        <f>ROUND(B146/B145-1,8)</f>
        <v/>
      </c>
      <c r="G146" s="4">
        <f>ROUND(C146/C145-1,8)</f>
        <v/>
      </c>
      <c r="H146" s="4">
        <f>ROUND(D146/100/(DATE(YEAR(A146)+1,1,1)-DATE(YEAR(A146),1,1))*E146,8)</f>
        <v/>
      </c>
      <c r="I146" s="4">
        <f>ROUND(I145*(1+F146),8)</f>
        <v/>
      </c>
      <c r="J146" s="4">
        <f>ROUND(J145*(1+G146),8)</f>
        <v/>
      </c>
      <c r="K146" s="4">
        <f>ROUND(K145+H146,8)</f>
        <v/>
      </c>
      <c r="L146" s="4">
        <f>ROUND(0.9*F146+0.05*G146+0.05*H146,8)</f>
        <v/>
      </c>
    </row>
    <row r="147">
      <c r="A147" s="2" t="n">
        <v>43964</v>
      </c>
      <c r="B147" s="8" t="n">
        <v>1911.14</v>
      </c>
      <c r="C147" s="8" t="n">
        <v>123.0876</v>
      </c>
      <c r="D147" s="8" t="n">
        <v>0.35</v>
      </c>
      <c r="E147">
        <f>A147-A146</f>
        <v/>
      </c>
      <c r="F147" s="4">
        <f>ROUND(B147/B146-1,8)</f>
        <v/>
      </c>
      <c r="G147" s="4">
        <f>ROUND(C147/C146-1,8)</f>
        <v/>
      </c>
      <c r="H147" s="4">
        <f>ROUND(D147/100/(DATE(YEAR(A147)+1,1,1)-DATE(YEAR(A147),1,1))*E147,8)</f>
        <v/>
      </c>
      <c r="I147" s="4">
        <f>ROUND(I146*(1+F147),8)</f>
        <v/>
      </c>
      <c r="J147" s="4">
        <f>ROUND(J146*(1+G147),8)</f>
        <v/>
      </c>
      <c r="K147" s="4">
        <f>ROUND(K146+H147,8)</f>
        <v/>
      </c>
      <c r="L147" s="4">
        <f>ROUND(0.9*F147+0.05*G147+0.05*H147,8)</f>
        <v/>
      </c>
    </row>
    <row r="148">
      <c r="A148" s="2" t="n">
        <v>43965</v>
      </c>
      <c r="B148" s="8" t="n">
        <v>1895.25</v>
      </c>
      <c r="C148" s="8" t="n">
        <v>123.0865</v>
      </c>
      <c r="D148" s="8" t="n">
        <v>0.35</v>
      </c>
      <c r="E148">
        <f>A148-A147</f>
        <v/>
      </c>
      <c r="F148" s="4">
        <f>ROUND(B148/B147-1,8)</f>
        <v/>
      </c>
      <c r="G148" s="4">
        <f>ROUND(C148/C147-1,8)</f>
        <v/>
      </c>
      <c r="H148" s="4">
        <f>ROUND(D148/100/(DATE(YEAR(A148)+1,1,1)-DATE(YEAR(A148),1,1))*E148,8)</f>
        <v/>
      </c>
      <c r="I148" s="4">
        <f>ROUND(I147*(1+F148),8)</f>
        <v/>
      </c>
      <c r="J148" s="4">
        <f>ROUND(J147*(1+G148),8)</f>
        <v/>
      </c>
      <c r="K148" s="4">
        <f>ROUND(K147+H148,8)</f>
        <v/>
      </c>
      <c r="L148" s="4">
        <f>ROUND(0.9*F148+0.05*G148+0.05*H148,8)</f>
        <v/>
      </c>
    </row>
    <row r="149">
      <c r="A149" s="2" t="n">
        <v>43966</v>
      </c>
      <c r="B149" s="8" t="n">
        <v>1901.43</v>
      </c>
      <c r="C149" s="8" t="n">
        <v>123.1405</v>
      </c>
      <c r="D149" s="8" t="n">
        <v>0.35</v>
      </c>
      <c r="E149">
        <f>A149-A148</f>
        <v/>
      </c>
      <c r="F149" s="4">
        <f>ROUND(B149/B148-1,8)</f>
        <v/>
      </c>
      <c r="G149" s="4">
        <f>ROUND(C149/C148-1,8)</f>
        <v/>
      </c>
      <c r="H149" s="4">
        <f>ROUND(D149/100/(DATE(YEAR(A149)+1,1,1)-DATE(YEAR(A149),1,1))*E149,8)</f>
        <v/>
      </c>
      <c r="I149" s="4">
        <f>ROUND(I148*(1+F149),8)</f>
        <v/>
      </c>
      <c r="J149" s="4">
        <f>ROUND(J148*(1+G149),8)</f>
        <v/>
      </c>
      <c r="K149" s="4">
        <f>ROUND(K148+H149,8)</f>
        <v/>
      </c>
      <c r="L149" s="4">
        <f>ROUND(0.9*F149+0.05*G149+0.05*H149,8)</f>
        <v/>
      </c>
    </row>
    <row r="150">
      <c r="A150" s="2" t="n">
        <v>43969</v>
      </c>
      <c r="B150" s="8" t="n">
        <v>1890.72</v>
      </c>
      <c r="C150" s="8" t="n">
        <v>122.9885</v>
      </c>
      <c r="D150" s="8" t="n">
        <v>0.35</v>
      </c>
      <c r="E150">
        <f>A150-A149</f>
        <v/>
      </c>
      <c r="F150" s="4">
        <f>ROUND(B150/B149-1,8)</f>
        <v/>
      </c>
      <c r="G150" s="4">
        <f>ROUND(C150/C149-1,8)</f>
        <v/>
      </c>
      <c r="H150" s="4">
        <f>ROUND(D150/100/(DATE(YEAR(A150)+1,1,1)-DATE(YEAR(A150),1,1))*E150,8)</f>
        <v/>
      </c>
      <c r="I150" s="4">
        <f>ROUND(I149*(1+F150),8)</f>
        <v/>
      </c>
      <c r="J150" s="4">
        <f>ROUND(J149*(1+G150),8)</f>
        <v/>
      </c>
      <c r="K150" s="4">
        <f>ROUND(K149+H150,8)</f>
        <v/>
      </c>
      <c r="L150" s="4">
        <f>ROUND(0.9*F150+0.05*G150+0.05*H150,8)</f>
        <v/>
      </c>
    </row>
    <row r="151">
      <c r="A151" s="2" t="n">
        <v>43970</v>
      </c>
      <c r="B151" s="8" t="n">
        <v>1915.57</v>
      </c>
      <c r="C151" s="8" t="n">
        <v>122.9232</v>
      </c>
      <c r="D151" s="8" t="n">
        <v>0.35</v>
      </c>
      <c r="E151">
        <f>A151-A150</f>
        <v/>
      </c>
      <c r="F151" s="4">
        <f>ROUND(B151/B150-1,8)</f>
        <v/>
      </c>
      <c r="G151" s="4">
        <f>ROUND(C151/C150-1,8)</f>
        <v/>
      </c>
      <c r="H151" s="4">
        <f>ROUND(D151/100/(DATE(YEAR(A151)+1,1,1)-DATE(YEAR(A151),1,1))*E151,8)</f>
        <v/>
      </c>
      <c r="I151" s="4">
        <f>ROUND(I150*(1+F151),8)</f>
        <v/>
      </c>
      <c r="J151" s="4">
        <f>ROUND(J150*(1+G151),8)</f>
        <v/>
      </c>
      <c r="K151" s="4">
        <f>ROUND(K150+H151,8)</f>
        <v/>
      </c>
      <c r="L151" s="4">
        <f>ROUND(0.9*F151+0.05*G151+0.05*H151,8)</f>
        <v/>
      </c>
    </row>
    <row r="152">
      <c r="A152" s="2" t="n">
        <v>43971</v>
      </c>
      <c r="B152" s="8" t="n">
        <v>1896.89</v>
      </c>
      <c r="C152" s="8" t="n">
        <v>122.9</v>
      </c>
      <c r="D152" s="8" t="n">
        <v>0.35</v>
      </c>
      <c r="E152">
        <f>A152-A151</f>
        <v/>
      </c>
      <c r="F152" s="4">
        <f>ROUND(B152/B151-1,8)</f>
        <v/>
      </c>
      <c r="G152" s="4">
        <f>ROUND(C152/C151-1,8)</f>
        <v/>
      </c>
      <c r="H152" s="4">
        <f>ROUND(D152/100/(DATE(YEAR(A152)+1,1,1)-DATE(YEAR(A152),1,1))*E152,8)</f>
        <v/>
      </c>
      <c r="I152" s="4">
        <f>ROUND(I151*(1+F152),8)</f>
        <v/>
      </c>
      <c r="J152" s="4">
        <f>ROUND(J151*(1+G152),8)</f>
        <v/>
      </c>
      <c r="K152" s="4">
        <f>ROUND(K151+H152,8)</f>
        <v/>
      </c>
      <c r="L152" s="4">
        <f>ROUND(0.9*F152+0.05*G152+0.05*H152,8)</f>
        <v/>
      </c>
    </row>
    <row r="153">
      <c r="A153" s="2" t="n">
        <v>43972</v>
      </c>
      <c r="B153" s="8" t="n">
        <v>1871.82</v>
      </c>
      <c r="C153" s="8" t="n">
        <v>122.8775</v>
      </c>
      <c r="D153" s="8" t="n">
        <v>0.35</v>
      </c>
      <c r="E153">
        <f>A153-A152</f>
        <v/>
      </c>
      <c r="F153" s="4">
        <f>ROUND(B153/B152-1,8)</f>
        <v/>
      </c>
      <c r="G153" s="4">
        <f>ROUND(C153/C152-1,8)</f>
        <v/>
      </c>
      <c r="H153" s="4">
        <f>ROUND(D153/100/(DATE(YEAR(A153)+1,1,1)-DATE(YEAR(A153),1,1))*E153,8)</f>
        <v/>
      </c>
      <c r="I153" s="4">
        <f>ROUND(I152*(1+F153),8)</f>
        <v/>
      </c>
      <c r="J153" s="4">
        <f>ROUND(J152*(1+G153),8)</f>
        <v/>
      </c>
      <c r="K153" s="4">
        <f>ROUND(K152+H153,8)</f>
        <v/>
      </c>
      <c r="L153" s="4">
        <f>ROUND(0.9*F153+0.05*G153+0.05*H153,8)</f>
        <v/>
      </c>
    </row>
    <row r="154">
      <c r="A154" s="2" t="n">
        <v>43973</v>
      </c>
      <c r="B154" s="8" t="n">
        <v>1839.51</v>
      </c>
      <c r="C154" s="8" t="n">
        <v>123.0292</v>
      </c>
      <c r="D154" s="8" t="n">
        <v>0.35</v>
      </c>
      <c r="E154">
        <f>A154-A153</f>
        <v/>
      </c>
      <c r="F154" s="4">
        <f>ROUND(B154/B153-1,8)</f>
        <v/>
      </c>
      <c r="G154" s="4">
        <f>ROUND(C154/C153-1,8)</f>
        <v/>
      </c>
      <c r="H154" s="4">
        <f>ROUND(D154/100/(DATE(YEAR(A154)+1,1,1)-DATE(YEAR(A154),1,1))*E154,8)</f>
        <v/>
      </c>
      <c r="I154" s="4">
        <f>ROUND(I153*(1+F154),8)</f>
        <v/>
      </c>
      <c r="J154" s="4">
        <f>ROUND(J153*(1+G154),8)</f>
        <v/>
      </c>
      <c r="K154" s="4">
        <f>ROUND(K153+H154,8)</f>
        <v/>
      </c>
      <c r="L154" s="4">
        <f>ROUND(0.9*F154+0.05*G154+0.05*H154,8)</f>
        <v/>
      </c>
    </row>
    <row r="155">
      <c r="A155" s="2" t="n">
        <v>43976</v>
      </c>
      <c r="B155" s="8" t="n">
        <v>1840.58</v>
      </c>
      <c r="C155" s="8" t="n">
        <v>122.8267</v>
      </c>
      <c r="D155" s="8" t="n">
        <v>0.35</v>
      </c>
      <c r="E155">
        <f>A155-A154</f>
        <v/>
      </c>
      <c r="F155" s="4">
        <f>ROUND(B155/B154-1,8)</f>
        <v/>
      </c>
      <c r="G155" s="4">
        <f>ROUND(C155/C154-1,8)</f>
        <v/>
      </c>
      <c r="H155" s="4">
        <f>ROUND(D155/100/(DATE(YEAR(A155)+1,1,1)-DATE(YEAR(A155),1,1))*E155,8)</f>
        <v/>
      </c>
      <c r="I155" s="4">
        <f>ROUND(I154*(1+F155),8)</f>
        <v/>
      </c>
      <c r="J155" s="4">
        <f>ROUND(J154*(1+G155),8)</f>
        <v/>
      </c>
      <c r="K155" s="4">
        <f>ROUND(K154+H155,8)</f>
        <v/>
      </c>
      <c r="L155" s="4">
        <f>ROUND(0.9*F155+0.05*G155+0.05*H155,8)</f>
        <v/>
      </c>
    </row>
    <row r="156">
      <c r="A156" s="2" t="n">
        <v>43977</v>
      </c>
      <c r="B156" s="8" t="n">
        <v>1883.06</v>
      </c>
      <c r="C156" s="8" t="n">
        <v>122.588</v>
      </c>
      <c r="D156" s="8" t="n">
        <v>0.35</v>
      </c>
      <c r="E156">
        <f>A156-A155</f>
        <v/>
      </c>
      <c r="F156" s="4">
        <f>ROUND(B156/B155-1,8)</f>
        <v/>
      </c>
      <c r="G156" s="4">
        <f>ROUND(C156/C155-1,8)</f>
        <v/>
      </c>
      <c r="H156" s="4">
        <f>ROUND(D156/100/(DATE(YEAR(A156)+1,1,1)-DATE(YEAR(A156),1,1))*E156,8)</f>
        <v/>
      </c>
      <c r="I156" s="4">
        <f>ROUND(I155*(1+F156),8)</f>
        <v/>
      </c>
      <c r="J156" s="4">
        <f>ROUND(J155*(1+G156),8)</f>
        <v/>
      </c>
      <c r="K156" s="4">
        <f>ROUND(K155+H156,8)</f>
        <v/>
      </c>
      <c r="L156" s="4">
        <f>ROUND(0.9*F156+0.05*G156+0.05*H156,8)</f>
        <v/>
      </c>
    </row>
    <row r="157">
      <c r="A157" s="2" t="n">
        <v>43978</v>
      </c>
      <c r="B157" s="8" t="n">
        <v>1877.41</v>
      </c>
      <c r="C157" s="8" t="n">
        <v>122.4123</v>
      </c>
      <c r="D157" s="8" t="n">
        <v>0.35</v>
      </c>
      <c r="E157">
        <f>A157-A156</f>
        <v/>
      </c>
      <c r="F157" s="4">
        <f>ROUND(B157/B156-1,8)</f>
        <v/>
      </c>
      <c r="G157" s="4">
        <f>ROUND(C157/C156-1,8)</f>
        <v/>
      </c>
      <c r="H157" s="4">
        <f>ROUND(D157/100/(DATE(YEAR(A157)+1,1,1)-DATE(YEAR(A157),1,1))*E157,8)</f>
        <v/>
      </c>
      <c r="I157" s="4">
        <f>ROUND(I156*(1+F157),8)</f>
        <v/>
      </c>
      <c r="J157" s="4">
        <f>ROUND(J156*(1+G157),8)</f>
        <v/>
      </c>
      <c r="K157" s="4">
        <f>ROUND(K156+H157,8)</f>
        <v/>
      </c>
      <c r="L157" s="4">
        <f>ROUND(0.9*F157+0.05*G157+0.05*H157,8)</f>
        <v/>
      </c>
    </row>
    <row r="158">
      <c r="A158" s="2" t="n">
        <v>43979</v>
      </c>
      <c r="B158" s="8" t="n">
        <v>1867.54</v>
      </c>
      <c r="C158" s="8" t="n">
        <v>122.4425</v>
      </c>
      <c r="D158" s="8" t="n">
        <v>0.35</v>
      </c>
      <c r="E158">
        <f>A158-A157</f>
        <v/>
      </c>
      <c r="F158" s="4">
        <f>ROUND(B158/B157-1,8)</f>
        <v/>
      </c>
      <c r="G158" s="4">
        <f>ROUND(C158/C157-1,8)</f>
        <v/>
      </c>
      <c r="H158" s="4">
        <f>ROUND(D158/100/(DATE(YEAR(A158)+1,1,1)-DATE(YEAR(A158),1,1))*E158,8)</f>
        <v/>
      </c>
      <c r="I158" s="4">
        <f>ROUND(I157*(1+F158),8)</f>
        <v/>
      </c>
      <c r="J158" s="4">
        <f>ROUND(J157*(1+G158),8)</f>
        <v/>
      </c>
      <c r="K158" s="4">
        <f>ROUND(K157+H158,8)</f>
        <v/>
      </c>
      <c r="L158" s="4">
        <f>ROUND(0.9*F158+0.05*G158+0.05*H158,8)</f>
        <v/>
      </c>
    </row>
    <row r="159">
      <c r="A159" s="2" t="n">
        <v>43980</v>
      </c>
      <c r="B159" s="8" t="n">
        <v>1882.33</v>
      </c>
      <c r="C159" s="8" t="n">
        <v>122.4602</v>
      </c>
      <c r="D159" s="8" t="n">
        <v>0.35</v>
      </c>
      <c r="E159">
        <f>A159-A158</f>
        <v/>
      </c>
      <c r="F159" s="4">
        <f>ROUND(B159/B158-1,8)</f>
        <v/>
      </c>
      <c r="G159" s="4">
        <f>ROUND(C159/C158-1,8)</f>
        <v/>
      </c>
      <c r="H159" s="4">
        <f>ROUND(D159/100/(DATE(YEAR(A159)+1,1,1)-DATE(YEAR(A159),1,1))*E159,8)</f>
        <v/>
      </c>
      <c r="I159" s="4">
        <f>ROUND(I158*(1+F159),8)</f>
        <v/>
      </c>
      <c r="J159" s="4">
        <f>ROUND(J158*(1+G159),8)</f>
        <v/>
      </c>
      <c r="K159" s="4">
        <f>ROUND(K158+H159,8)</f>
        <v/>
      </c>
      <c r="L159" s="4">
        <f>ROUND(0.9*F159+0.05*G159+0.05*H159,8)</f>
        <v/>
      </c>
    </row>
    <row r="160">
      <c r="A160" s="2" t="n">
        <v>43983</v>
      </c>
      <c r="B160" s="8" t="n">
        <v>1938.47</v>
      </c>
      <c r="C160" s="8" t="n">
        <v>122.4021</v>
      </c>
      <c r="D160" s="8" t="n">
        <v>0.35</v>
      </c>
      <c r="E160">
        <f>A160-A159</f>
        <v/>
      </c>
      <c r="F160" s="4">
        <f>ROUND(B160/B159-1,8)</f>
        <v/>
      </c>
      <c r="G160" s="4">
        <f>ROUND(C160/C159-1,8)</f>
        <v/>
      </c>
      <c r="H160" s="4">
        <f>ROUND(D160/100/(DATE(YEAR(A160)+1,1,1)-DATE(YEAR(A160),1,1))*E160,8)</f>
        <v/>
      </c>
      <c r="I160" s="4">
        <f>ROUND(I159*(1+F160),8)</f>
        <v/>
      </c>
      <c r="J160" s="4">
        <f>ROUND(J159*(1+G160),8)</f>
        <v/>
      </c>
      <c r="K160" s="4">
        <f>ROUND(K159+H160,8)</f>
        <v/>
      </c>
      <c r="L160" s="4">
        <f>ROUND(0.9*F160+0.05*G160+0.05*H160,8)</f>
        <v/>
      </c>
    </row>
    <row r="161">
      <c r="A161" s="2" t="n">
        <v>43984</v>
      </c>
      <c r="B161" s="8" t="n">
        <v>1946.12</v>
      </c>
      <c r="C161" s="8" t="n">
        <v>122.0323</v>
      </c>
      <c r="D161" s="8" t="n">
        <v>0.35</v>
      </c>
      <c r="E161">
        <f>A161-A160</f>
        <v/>
      </c>
      <c r="F161" s="4">
        <f>ROUND(B161/B160-1,8)</f>
        <v/>
      </c>
      <c r="G161" s="4">
        <f>ROUND(C161/C160-1,8)</f>
        <v/>
      </c>
      <c r="H161" s="4">
        <f>ROUND(D161/100/(DATE(YEAR(A161)+1,1,1)-DATE(YEAR(A161),1,1))*E161,8)</f>
        <v/>
      </c>
      <c r="I161" s="4">
        <f>ROUND(I160*(1+F161),8)</f>
        <v/>
      </c>
      <c r="J161" s="4">
        <f>ROUND(J160*(1+G161),8)</f>
        <v/>
      </c>
      <c r="K161" s="4">
        <f>ROUND(K160+H161,8)</f>
        <v/>
      </c>
      <c r="L161" s="4">
        <f>ROUND(0.9*F161+0.05*G161+0.05*H161,8)</f>
        <v/>
      </c>
    </row>
    <row r="162">
      <c r="A162" s="2" t="n">
        <v>43985</v>
      </c>
      <c r="B162" s="8" t="n">
        <v>1951.5</v>
      </c>
      <c r="C162" s="8" t="n">
        <v>121.7427</v>
      </c>
      <c r="D162" s="8" t="n">
        <v>0.35</v>
      </c>
      <c r="E162">
        <f>A162-A161</f>
        <v/>
      </c>
      <c r="F162" s="4">
        <f>ROUND(B162/B161-1,8)</f>
        <v/>
      </c>
      <c r="G162" s="4">
        <f>ROUND(C162/C161-1,8)</f>
        <v/>
      </c>
      <c r="H162" s="4">
        <f>ROUND(D162/100/(DATE(YEAR(A162)+1,1,1)-DATE(YEAR(A162),1,1))*E162,8)</f>
        <v/>
      </c>
      <c r="I162" s="4">
        <f>ROUND(I161*(1+F162),8)</f>
        <v/>
      </c>
      <c r="J162" s="4">
        <f>ROUND(J161*(1+G162),8)</f>
        <v/>
      </c>
      <c r="K162" s="4">
        <f>ROUND(K161+H162,8)</f>
        <v/>
      </c>
      <c r="L162" s="4">
        <f>ROUND(0.9*F162+0.05*G162+0.05*H162,8)</f>
        <v/>
      </c>
    </row>
    <row r="163">
      <c r="A163" s="2" t="n">
        <v>43986</v>
      </c>
      <c r="B163" s="8" t="n">
        <v>1955.4</v>
      </c>
      <c r="C163" s="8" t="n">
        <v>121.5451</v>
      </c>
      <c r="D163" s="8" t="n">
        <v>0.35</v>
      </c>
      <c r="E163">
        <f>A163-A162</f>
        <v/>
      </c>
      <c r="F163" s="4">
        <f>ROUND(B163/B162-1,8)</f>
        <v/>
      </c>
      <c r="G163" s="4">
        <f>ROUND(C163/C162-1,8)</f>
        <v/>
      </c>
      <c r="H163" s="4">
        <f>ROUND(D163/100/(DATE(YEAR(A163)+1,1,1)-DATE(YEAR(A163),1,1))*E163,8)</f>
        <v/>
      </c>
      <c r="I163" s="4">
        <f>ROUND(I162*(1+F163),8)</f>
        <v/>
      </c>
      <c r="J163" s="4">
        <f>ROUND(J162*(1+G163),8)</f>
        <v/>
      </c>
      <c r="K163" s="4">
        <f>ROUND(K162+H163,8)</f>
        <v/>
      </c>
      <c r="L163" s="4">
        <f>ROUND(0.9*F163+0.05*G163+0.05*H163,8)</f>
        <v/>
      </c>
    </row>
    <row r="164">
      <c r="A164" s="2" t="n">
        <v>43987</v>
      </c>
      <c r="B164" s="8" t="n">
        <v>1953.57</v>
      </c>
      <c r="C164" s="8" t="n">
        <v>121.3562</v>
      </c>
      <c r="D164" s="8" t="n">
        <v>0.35</v>
      </c>
      <c r="E164">
        <f>A164-A163</f>
        <v/>
      </c>
      <c r="F164" s="4">
        <f>ROUND(B164/B163-1,8)</f>
        <v/>
      </c>
      <c r="G164" s="4">
        <f>ROUND(C164/C163-1,8)</f>
        <v/>
      </c>
      <c r="H164" s="4">
        <f>ROUND(D164/100/(DATE(YEAR(A164)+1,1,1)-DATE(YEAR(A164),1,1))*E164,8)</f>
        <v/>
      </c>
      <c r="I164" s="4">
        <f>ROUND(I163*(1+F164),8)</f>
        <v/>
      </c>
      <c r="J164" s="4">
        <f>ROUND(J163*(1+G164),8)</f>
        <v/>
      </c>
      <c r="K164" s="4">
        <f>ROUND(K163+H164,8)</f>
        <v/>
      </c>
      <c r="L164" s="4">
        <f>ROUND(0.9*F164+0.05*G164+0.05*H164,8)</f>
        <v/>
      </c>
    </row>
    <row r="165">
      <c r="A165" s="2" t="n">
        <v>43990</v>
      </c>
      <c r="B165" s="8" t="n">
        <v>1949.71</v>
      </c>
      <c r="C165" s="8" t="n">
        <v>121.35</v>
      </c>
      <c r="D165" s="8" t="n">
        <v>0.35</v>
      </c>
      <c r="E165">
        <f>A165-A164</f>
        <v/>
      </c>
      <c r="F165" s="4">
        <f>ROUND(B165/B164-1,8)</f>
        <v/>
      </c>
      <c r="G165" s="4">
        <f>ROUND(C165/C164-1,8)</f>
        <v/>
      </c>
      <c r="H165" s="4">
        <f>ROUND(D165/100/(DATE(YEAR(A165)+1,1,1)-DATE(YEAR(A165),1,1))*E165,8)</f>
        <v/>
      </c>
      <c r="I165" s="4">
        <f>ROUND(I164*(1+F165),8)</f>
        <v/>
      </c>
      <c r="J165" s="4">
        <f>ROUND(J164*(1+G165),8)</f>
        <v/>
      </c>
      <c r="K165" s="4">
        <f>ROUND(K164+H165,8)</f>
        <v/>
      </c>
      <c r="L165" s="4">
        <f>ROUND(0.9*F165+0.05*G165+0.05*H165,8)</f>
        <v/>
      </c>
    </row>
    <row r="166">
      <c r="A166" s="2" t="n">
        <v>43991</v>
      </c>
      <c r="B166" s="8" t="n">
        <v>1957.2</v>
      </c>
      <c r="C166" s="8" t="n">
        <v>121.3759</v>
      </c>
      <c r="D166" s="8" t="n">
        <v>0.35</v>
      </c>
      <c r="E166">
        <f>A166-A165</f>
        <v/>
      </c>
      <c r="F166" s="4">
        <f>ROUND(B166/B165-1,8)</f>
        <v/>
      </c>
      <c r="G166" s="4">
        <f>ROUND(C166/C165-1,8)</f>
        <v/>
      </c>
      <c r="H166" s="4">
        <f>ROUND(D166/100/(DATE(YEAR(A166)+1,1,1)-DATE(YEAR(A166),1,1))*E166,8)</f>
        <v/>
      </c>
      <c r="I166" s="4">
        <f>ROUND(I165*(1+F166),8)</f>
        <v/>
      </c>
      <c r="J166" s="4">
        <f>ROUND(J165*(1+G166),8)</f>
        <v/>
      </c>
      <c r="K166" s="4">
        <f>ROUND(K165+H166,8)</f>
        <v/>
      </c>
      <c r="L166" s="4">
        <f>ROUND(0.9*F166+0.05*G166+0.05*H166,8)</f>
        <v/>
      </c>
    </row>
    <row r="167">
      <c r="A167" s="2" t="n">
        <v>43992</v>
      </c>
      <c r="B167" s="8" t="n">
        <v>1954.51</v>
      </c>
      <c r="C167" s="8" t="n">
        <v>121.3786</v>
      </c>
      <c r="D167" s="8" t="n">
        <v>0.35</v>
      </c>
      <c r="E167">
        <f>A167-A166</f>
        <v/>
      </c>
      <c r="F167" s="4">
        <f>ROUND(B167/B166-1,8)</f>
        <v/>
      </c>
      <c r="G167" s="4">
        <f>ROUND(C167/C166-1,8)</f>
        <v/>
      </c>
      <c r="H167" s="4">
        <f>ROUND(D167/100/(DATE(YEAR(A167)+1,1,1)-DATE(YEAR(A167),1,1))*E167,8)</f>
        <v/>
      </c>
      <c r="I167" s="4">
        <f>ROUND(I166*(1+F167),8)</f>
        <v/>
      </c>
      <c r="J167" s="4">
        <f>ROUND(J166*(1+G167),8)</f>
        <v/>
      </c>
      <c r="K167" s="4">
        <f>ROUND(K166+H167,8)</f>
        <v/>
      </c>
      <c r="L167" s="4">
        <f>ROUND(0.9*F167+0.05*G167+0.05*H167,8)</f>
        <v/>
      </c>
    </row>
    <row r="168">
      <c r="A168" s="2" t="n">
        <v>43993</v>
      </c>
      <c r="B168" s="8" t="n">
        <v>1952.76</v>
      </c>
      <c r="C168" s="8" t="n">
        <v>121.4872</v>
      </c>
      <c r="D168" s="8" t="n">
        <v>0.35</v>
      </c>
      <c r="E168">
        <f>A168-A167</f>
        <v/>
      </c>
      <c r="F168" s="4">
        <f>ROUND(B168/B167-1,8)</f>
        <v/>
      </c>
      <c r="G168" s="4">
        <f>ROUND(C168/C167-1,8)</f>
        <v/>
      </c>
      <c r="H168" s="4">
        <f>ROUND(D168/100/(DATE(YEAR(A168)+1,1,1)-DATE(YEAR(A168),1,1))*E168,8)</f>
        <v/>
      </c>
      <c r="I168" s="4">
        <f>ROUND(I167*(1+F168),8)</f>
        <v/>
      </c>
      <c r="J168" s="4">
        <f>ROUND(J167*(1+G168),8)</f>
        <v/>
      </c>
      <c r="K168" s="4">
        <f>ROUND(K167+H168,8)</f>
        <v/>
      </c>
      <c r="L168" s="4">
        <f>ROUND(0.9*F168+0.05*G168+0.05*H168,8)</f>
        <v/>
      </c>
    </row>
    <row r="169">
      <c r="A169" s="2" t="n">
        <v>43994</v>
      </c>
      <c r="B169" s="8" t="n">
        <v>1955.08</v>
      </c>
      <c r="C169" s="8" t="n">
        <v>121.5979</v>
      </c>
      <c r="D169" s="8" t="n">
        <v>0.35</v>
      </c>
      <c r="E169">
        <f>A169-A168</f>
        <v/>
      </c>
      <c r="F169" s="4">
        <f>ROUND(B169/B168-1,8)</f>
        <v/>
      </c>
      <c r="G169" s="4">
        <f>ROUND(C169/C168-1,8)</f>
        <v/>
      </c>
      <c r="H169" s="4">
        <f>ROUND(D169/100/(DATE(YEAR(A169)+1,1,1)-DATE(YEAR(A169),1,1))*E169,8)</f>
        <v/>
      </c>
      <c r="I169" s="4">
        <f>ROUND(I168*(1+F169),8)</f>
        <v/>
      </c>
      <c r="J169" s="4">
        <f>ROUND(J168*(1+G169),8)</f>
        <v/>
      </c>
      <c r="K169" s="4">
        <f>ROUND(K168+H169,8)</f>
        <v/>
      </c>
      <c r="L169" s="4">
        <f>ROUND(0.9*F169+0.05*G169+0.05*H169,8)</f>
        <v/>
      </c>
    </row>
    <row r="170">
      <c r="A170" s="2" t="n">
        <v>43997</v>
      </c>
      <c r="B170" s="8" t="n">
        <v>1957.28</v>
      </c>
      <c r="C170" s="8" t="n">
        <v>121.5859</v>
      </c>
      <c r="D170" s="8" t="n">
        <v>0.35</v>
      </c>
      <c r="E170">
        <f>A170-A169</f>
        <v/>
      </c>
      <c r="F170" s="4">
        <f>ROUND(B170/B169-1,8)</f>
        <v/>
      </c>
      <c r="G170" s="4">
        <f>ROUND(C170/C169-1,8)</f>
        <v/>
      </c>
      <c r="H170" s="4">
        <f>ROUND(D170/100/(DATE(YEAR(A170)+1,1,1)-DATE(YEAR(A170),1,1))*E170,8)</f>
        <v/>
      </c>
      <c r="I170" s="4">
        <f>ROUND(I169*(1+F170),8)</f>
        <v/>
      </c>
      <c r="J170" s="4">
        <f>ROUND(J169*(1+G170),8)</f>
        <v/>
      </c>
      <c r="K170" s="4">
        <f>ROUND(K169+H170,8)</f>
        <v/>
      </c>
      <c r="L170" s="4">
        <f>ROUND(0.9*F170+0.05*G170+0.05*H170,8)</f>
        <v/>
      </c>
    </row>
    <row r="171">
      <c r="A171" s="2" t="n">
        <v>43998</v>
      </c>
      <c r="B171" s="8" t="n">
        <v>1993.98</v>
      </c>
      <c r="C171" s="8" t="n">
        <v>121.3373</v>
      </c>
      <c r="D171" s="8" t="n">
        <v>0.35</v>
      </c>
      <c r="E171">
        <f>A171-A170</f>
        <v/>
      </c>
      <c r="F171" s="4">
        <f>ROUND(B171/B170-1,8)</f>
        <v/>
      </c>
      <c r="G171" s="4">
        <f>ROUND(C171/C170-1,8)</f>
        <v/>
      </c>
      <c r="H171" s="4">
        <f>ROUND(D171/100/(DATE(YEAR(A171)+1,1,1)-DATE(YEAR(A171),1,1))*E171,8)</f>
        <v/>
      </c>
      <c r="I171" s="4">
        <f>ROUND(I170*(1+F171),8)</f>
        <v/>
      </c>
      <c r="J171" s="4">
        <f>ROUND(J170*(1+G171),8)</f>
        <v/>
      </c>
      <c r="K171" s="4">
        <f>ROUND(K170+H171,8)</f>
        <v/>
      </c>
      <c r="L171" s="4">
        <f>ROUND(0.9*F171+0.05*G171+0.05*H171,8)</f>
        <v/>
      </c>
    </row>
    <row r="172">
      <c r="A172" s="2" t="n">
        <v>43999</v>
      </c>
      <c r="B172" s="8" t="n">
        <v>2005.38</v>
      </c>
      <c r="C172" s="8" t="n">
        <v>121.2131</v>
      </c>
      <c r="D172" s="8" t="n">
        <v>0.35</v>
      </c>
      <c r="E172">
        <f>A172-A171</f>
        <v/>
      </c>
      <c r="F172" s="4">
        <f>ROUND(B172/B171-1,8)</f>
        <v/>
      </c>
      <c r="G172" s="4">
        <f>ROUND(C172/C171-1,8)</f>
        <v/>
      </c>
      <c r="H172" s="4">
        <f>ROUND(D172/100/(DATE(YEAR(A172)+1,1,1)-DATE(YEAR(A172),1,1))*E172,8)</f>
        <v/>
      </c>
      <c r="I172" s="4">
        <f>ROUND(I171*(1+F172),8)</f>
        <v/>
      </c>
      <c r="J172" s="4">
        <f>ROUND(J171*(1+G172),8)</f>
        <v/>
      </c>
      <c r="K172" s="4">
        <f>ROUND(K171+H172,8)</f>
        <v/>
      </c>
      <c r="L172" s="4">
        <f>ROUND(0.9*F172+0.05*G172+0.05*H172,8)</f>
        <v/>
      </c>
    </row>
    <row r="173">
      <c r="A173" s="2" t="n">
        <v>44000</v>
      </c>
      <c r="B173" s="8" t="n">
        <v>1994.72</v>
      </c>
      <c r="C173" s="8" t="n">
        <v>121.2726</v>
      </c>
      <c r="D173" s="8" t="n">
        <v>0.35</v>
      </c>
      <c r="E173">
        <f>A173-A172</f>
        <v/>
      </c>
      <c r="F173" s="4">
        <f>ROUND(B173/B172-1,8)</f>
        <v/>
      </c>
      <c r="G173" s="4">
        <f>ROUND(C173/C172-1,8)</f>
        <v/>
      </c>
      <c r="H173" s="4">
        <f>ROUND(D173/100/(DATE(YEAR(A173)+1,1,1)-DATE(YEAR(A173),1,1))*E173,8)</f>
        <v/>
      </c>
      <c r="I173" s="4">
        <f>ROUND(I172*(1+F173),8)</f>
        <v/>
      </c>
      <c r="J173" s="4">
        <f>ROUND(J172*(1+G173),8)</f>
        <v/>
      </c>
      <c r="K173" s="4">
        <f>ROUND(K172+H173,8)</f>
        <v/>
      </c>
      <c r="L173" s="4">
        <f>ROUND(0.9*F173+0.05*G173+0.05*H173,8)</f>
        <v/>
      </c>
    </row>
    <row r="174">
      <c r="A174" s="2" t="n">
        <v>44001</v>
      </c>
      <c r="B174" s="8" t="n">
        <v>2000.6</v>
      </c>
      <c r="C174" s="8" t="n">
        <v>121.1982</v>
      </c>
      <c r="D174" s="8" t="n">
        <v>0.35</v>
      </c>
      <c r="E174">
        <f>A174-A173</f>
        <v/>
      </c>
      <c r="F174" s="4">
        <f>ROUND(B174/B173-1,8)</f>
        <v/>
      </c>
      <c r="G174" s="4">
        <f>ROUND(C174/C173-1,8)</f>
        <v/>
      </c>
      <c r="H174" s="4">
        <f>ROUND(D174/100/(DATE(YEAR(A174)+1,1,1)-DATE(YEAR(A174),1,1))*E174,8)</f>
        <v/>
      </c>
      <c r="I174" s="4">
        <f>ROUND(I173*(1+F174),8)</f>
        <v/>
      </c>
      <c r="J174" s="4">
        <f>ROUND(J173*(1+G174),8)</f>
        <v/>
      </c>
      <c r="K174" s="4">
        <f>ROUND(K173+H174,8)</f>
        <v/>
      </c>
      <c r="L174" s="4">
        <f>ROUND(0.9*F174+0.05*G174+0.05*H174,8)</f>
        <v/>
      </c>
    </row>
    <row r="175">
      <c r="A175" s="2" t="n">
        <v>44004</v>
      </c>
      <c r="B175" s="8" t="n">
        <v>2005.65</v>
      </c>
      <c r="C175" s="8" t="n">
        <v>121.035</v>
      </c>
      <c r="D175" s="8" t="n">
        <v>0.35</v>
      </c>
      <c r="E175">
        <f>A175-A174</f>
        <v/>
      </c>
      <c r="F175" s="4">
        <f>ROUND(B175/B174-1,8)</f>
        <v/>
      </c>
      <c r="G175" s="4">
        <f>ROUND(C175/C174-1,8)</f>
        <v/>
      </c>
      <c r="H175" s="4">
        <f>ROUND(D175/100/(DATE(YEAR(A175)+1,1,1)-DATE(YEAR(A175),1,1))*E175,8)</f>
        <v/>
      </c>
      <c r="I175" s="4">
        <f>ROUND(I174*(1+F175),8)</f>
        <v/>
      </c>
      <c r="J175" s="4">
        <f>ROUND(J174*(1+G175),8)</f>
        <v/>
      </c>
      <c r="K175" s="4">
        <f>ROUND(K174+H175,8)</f>
        <v/>
      </c>
      <c r="L175" s="4">
        <f>ROUND(0.9*F175+0.05*G175+0.05*H175,8)</f>
        <v/>
      </c>
    </row>
    <row r="176">
      <c r="A176" s="2" t="n">
        <v>44005</v>
      </c>
      <c r="B176" s="8" t="n">
        <v>2000.24</v>
      </c>
      <c r="C176" s="8" t="n">
        <v>120.9556</v>
      </c>
      <c r="D176" s="8" t="n">
        <v>0.35</v>
      </c>
      <c r="E176">
        <f>A176-A175</f>
        <v/>
      </c>
      <c r="F176" s="4">
        <f>ROUND(B176/B175-1,8)</f>
        <v/>
      </c>
      <c r="G176" s="4">
        <f>ROUND(C176/C175-1,8)</f>
        <v/>
      </c>
      <c r="H176" s="4">
        <f>ROUND(D176/100/(DATE(YEAR(A176)+1,1,1)-DATE(YEAR(A176),1,1))*E176,8)</f>
        <v/>
      </c>
      <c r="I176" s="4">
        <f>ROUND(I175*(1+F176),8)</f>
        <v/>
      </c>
      <c r="J176" s="4">
        <f>ROUND(J175*(1+G176),8)</f>
        <v/>
      </c>
      <c r="K176" s="4">
        <f>ROUND(K175+H176,8)</f>
        <v/>
      </c>
      <c r="L176" s="4">
        <f>ROUND(0.9*F176+0.05*G176+0.05*H176,8)</f>
        <v/>
      </c>
    </row>
    <row r="177">
      <c r="A177" s="2" t="n">
        <v>44006</v>
      </c>
      <c r="B177" s="8" t="n">
        <v>1990.41</v>
      </c>
      <c r="C177" s="8" t="n">
        <v>121.1343</v>
      </c>
      <c r="D177" s="8" t="n">
        <v>0.35</v>
      </c>
      <c r="E177">
        <f>A177-A176</f>
        <v/>
      </c>
      <c r="F177" s="4">
        <f>ROUND(B177/B176-1,8)</f>
        <v/>
      </c>
      <c r="G177" s="4">
        <f>ROUND(C177/C176-1,8)</f>
        <v/>
      </c>
      <c r="H177" s="4">
        <f>ROUND(D177/100/(DATE(YEAR(A177)+1,1,1)-DATE(YEAR(A177),1,1))*E177,8)</f>
        <v/>
      </c>
      <c r="I177" s="4">
        <f>ROUND(I176*(1+F177),8)</f>
        <v/>
      </c>
      <c r="J177" s="4">
        <f>ROUND(J176*(1+G177),8)</f>
        <v/>
      </c>
      <c r="K177" s="4">
        <f>ROUND(K176+H177,8)</f>
        <v/>
      </c>
      <c r="L177" s="4">
        <f>ROUND(0.9*F177+0.05*G177+0.05*H177,8)</f>
        <v/>
      </c>
    </row>
    <row r="178">
      <c r="A178" s="2" t="n">
        <v>44011</v>
      </c>
      <c r="B178" s="8" t="n">
        <v>1980.48</v>
      </c>
      <c r="C178" s="8" t="n">
        <v>121.2278</v>
      </c>
      <c r="D178" s="8" t="n">
        <v>0.35</v>
      </c>
      <c r="E178">
        <f>A178-A177</f>
        <v/>
      </c>
      <c r="F178" s="4">
        <f>ROUND(B178/B177-1,8)</f>
        <v/>
      </c>
      <c r="G178" s="4">
        <f>ROUND(C178/C177-1,8)</f>
        <v/>
      </c>
      <c r="H178" s="4">
        <f>ROUND(D178/100/(DATE(YEAR(A178)+1,1,1)-DATE(YEAR(A178),1,1))*E178,8)</f>
        <v/>
      </c>
      <c r="I178" s="4">
        <f>ROUND(I177*(1+F178),8)</f>
        <v/>
      </c>
      <c r="J178" s="4">
        <f>ROUND(J177*(1+G178),8)</f>
        <v/>
      </c>
      <c r="K178" s="4">
        <f>ROUND(K177+H178,8)</f>
        <v/>
      </c>
      <c r="L178" s="4">
        <f>ROUND(0.9*F178+0.05*G178+0.05*H178,8)</f>
        <v/>
      </c>
    </row>
    <row r="179">
      <c r="A179" s="2" t="n">
        <v>44012</v>
      </c>
      <c r="B179" s="8" t="n">
        <v>2012.28</v>
      </c>
      <c r="C179" s="8" t="n">
        <v>121.3123</v>
      </c>
      <c r="D179" s="8" t="n">
        <v>0.35</v>
      </c>
      <c r="E179">
        <f>A179-A178</f>
        <v/>
      </c>
      <c r="F179" s="4">
        <f>ROUND(B179/B178-1,8)</f>
        <v/>
      </c>
      <c r="G179" s="4">
        <f>ROUND(C179/C178-1,8)</f>
        <v/>
      </c>
      <c r="H179" s="4">
        <f>ROUND(D179/100/(DATE(YEAR(A179)+1,1,1)-DATE(YEAR(A179),1,1))*E179,8)</f>
        <v/>
      </c>
      <c r="I179" s="4">
        <f>ROUND(I178*(1+F179),8)</f>
        <v/>
      </c>
      <c r="J179" s="4">
        <f>ROUND(J178*(1+G179),8)</f>
        <v/>
      </c>
      <c r="K179" s="4">
        <f>ROUND(K178+H179,8)</f>
        <v/>
      </c>
      <c r="L179" s="4">
        <f>ROUND(0.9*F179+0.05*G179+0.05*H179,8)</f>
        <v/>
      </c>
    </row>
    <row r="180">
      <c r="A180" s="2" t="n">
        <v>44013</v>
      </c>
      <c r="B180" s="8" t="n">
        <v>2018.55</v>
      </c>
      <c r="C180" s="8" t="n">
        <v>121.3231</v>
      </c>
      <c r="D180" s="8" t="n">
        <v>0.35</v>
      </c>
      <c r="E180">
        <f>A180-A179</f>
        <v/>
      </c>
      <c r="F180" s="4">
        <f>ROUND(B180/B179-1,8)</f>
        <v/>
      </c>
      <c r="G180" s="4">
        <f>ROUND(C180/C179-1,8)</f>
        <v/>
      </c>
      <c r="H180" s="4">
        <f>ROUND(D180/100/(DATE(YEAR(A180)+1,1,1)-DATE(YEAR(A180),1,1))*E180,8)</f>
        <v/>
      </c>
      <c r="I180" s="4">
        <f>ROUND(I179*(1+F180),8)</f>
        <v/>
      </c>
      <c r="J180" s="4">
        <f>ROUND(J179*(1+G180),8)</f>
        <v/>
      </c>
      <c r="K180" s="4">
        <f>ROUND(K179+H180,8)</f>
        <v/>
      </c>
      <c r="L180" s="4">
        <f>ROUND(0.9*F180+0.05*G180+0.05*H180,8)</f>
        <v/>
      </c>
    </row>
    <row r="181">
      <c r="A181" s="2" t="n">
        <v>44014</v>
      </c>
      <c r="B181" s="8" t="n">
        <v>2039.17</v>
      </c>
      <c r="C181" s="8" t="n">
        <v>121.347</v>
      </c>
      <c r="D181" s="8" t="n">
        <v>0.35</v>
      </c>
      <c r="E181">
        <f>A181-A180</f>
        <v/>
      </c>
      <c r="F181" s="4">
        <f>ROUND(B181/B180-1,8)</f>
        <v/>
      </c>
      <c r="G181" s="4">
        <f>ROUND(C181/C180-1,8)</f>
        <v/>
      </c>
      <c r="H181" s="4">
        <f>ROUND(D181/100/(DATE(YEAR(A181)+1,1,1)-DATE(YEAR(A181),1,1))*E181,8)</f>
        <v/>
      </c>
      <c r="I181" s="4">
        <f>ROUND(I180*(1+F181),8)</f>
        <v/>
      </c>
      <c r="J181" s="4">
        <f>ROUND(J180*(1+G181),8)</f>
        <v/>
      </c>
      <c r="K181" s="4">
        <f>ROUND(K180+H181,8)</f>
        <v/>
      </c>
      <c r="L181" s="4">
        <f>ROUND(0.9*F181+0.05*G181+0.05*H181,8)</f>
        <v/>
      </c>
    </row>
    <row r="182">
      <c r="A182" s="2" t="n">
        <v>44015</v>
      </c>
      <c r="B182" s="8" t="n">
        <v>2061.1</v>
      </c>
      <c r="C182" s="8" t="n">
        <v>121.2661</v>
      </c>
      <c r="D182" s="8" t="n">
        <v>0.35</v>
      </c>
      <c r="E182">
        <f>A182-A181</f>
        <v/>
      </c>
      <c r="F182" s="4">
        <f>ROUND(B182/B181-1,8)</f>
        <v/>
      </c>
      <c r="G182" s="4">
        <f>ROUND(C182/C181-1,8)</f>
        <v/>
      </c>
      <c r="H182" s="4">
        <f>ROUND(D182/100/(DATE(YEAR(A182)+1,1,1)-DATE(YEAR(A182),1,1))*E182,8)</f>
        <v/>
      </c>
      <c r="I182" s="4">
        <f>ROUND(I181*(1+F182),8)</f>
        <v/>
      </c>
      <c r="J182" s="4">
        <f>ROUND(J181*(1+G182),8)</f>
        <v/>
      </c>
      <c r="K182" s="4">
        <f>ROUND(K181+H182,8)</f>
        <v/>
      </c>
      <c r="L182" s="4">
        <f>ROUND(0.9*F182+0.05*G182+0.05*H182,8)</f>
        <v/>
      </c>
    </row>
    <row r="183">
      <c r="A183" s="2" t="n">
        <v>44018</v>
      </c>
      <c r="B183" s="8" t="n">
        <v>2132.51</v>
      </c>
      <c r="C183" s="8" t="n">
        <v>120.7999</v>
      </c>
      <c r="D183" s="8" t="n">
        <v>0.35</v>
      </c>
      <c r="E183">
        <f>A183-A182</f>
        <v/>
      </c>
      <c r="F183" s="4">
        <f>ROUND(B183/B182-1,8)</f>
        <v/>
      </c>
      <c r="G183" s="4">
        <f>ROUND(C183/C182-1,8)</f>
        <v/>
      </c>
      <c r="H183" s="4">
        <f>ROUND(D183/100/(DATE(YEAR(A183)+1,1,1)-DATE(YEAR(A183),1,1))*E183,8)</f>
        <v/>
      </c>
      <c r="I183" s="4">
        <f>ROUND(I182*(1+F183),8)</f>
        <v/>
      </c>
      <c r="J183" s="4">
        <f>ROUND(J182*(1+G183),8)</f>
        <v/>
      </c>
      <c r="K183" s="4">
        <f>ROUND(K182+H183,8)</f>
        <v/>
      </c>
      <c r="L183" s="4">
        <f>ROUND(0.9*F183+0.05*G183+0.05*H183,8)</f>
        <v/>
      </c>
    </row>
    <row r="184">
      <c r="A184" s="2" t="n">
        <v>44019</v>
      </c>
      <c r="B184" s="8" t="n">
        <v>2161.3</v>
      </c>
      <c r="C184" s="8" t="n">
        <v>120.6397</v>
      </c>
      <c r="D184" s="8" t="n">
        <v>0.35</v>
      </c>
      <c r="E184">
        <f>A184-A183</f>
        <v/>
      </c>
      <c r="F184" s="4">
        <f>ROUND(B184/B183-1,8)</f>
        <v/>
      </c>
      <c r="G184" s="4">
        <f>ROUND(C184/C183-1,8)</f>
        <v/>
      </c>
      <c r="H184" s="4">
        <f>ROUND(D184/100/(DATE(YEAR(A184)+1,1,1)-DATE(YEAR(A184),1,1))*E184,8)</f>
        <v/>
      </c>
      <c r="I184" s="4">
        <f>ROUND(I183*(1+F184),8)</f>
        <v/>
      </c>
      <c r="J184" s="4">
        <f>ROUND(J183*(1+G184),8)</f>
        <v/>
      </c>
      <c r="K184" s="4">
        <f>ROUND(K183+H184,8)</f>
        <v/>
      </c>
      <c r="L184" s="4">
        <f>ROUND(0.9*F184+0.05*G184+0.05*H184,8)</f>
        <v/>
      </c>
    </row>
    <row r="185">
      <c r="A185" s="2" t="n">
        <v>44020</v>
      </c>
      <c r="B185" s="8" t="n">
        <v>2206.65</v>
      </c>
      <c r="C185" s="8" t="n">
        <v>120.4735</v>
      </c>
      <c r="D185" s="8" t="n">
        <v>0.35</v>
      </c>
      <c r="E185">
        <f>A185-A184</f>
        <v/>
      </c>
      <c r="F185" s="4">
        <f>ROUND(B185/B184-1,8)</f>
        <v/>
      </c>
      <c r="G185" s="4">
        <f>ROUND(C185/C184-1,8)</f>
        <v/>
      </c>
      <c r="H185" s="4">
        <f>ROUND(D185/100/(DATE(YEAR(A185)+1,1,1)-DATE(YEAR(A185),1,1))*E185,8)</f>
        <v/>
      </c>
      <c r="I185" s="4">
        <f>ROUND(I184*(1+F185),8)</f>
        <v/>
      </c>
      <c r="J185" s="4">
        <f>ROUND(J184*(1+G185),8)</f>
        <v/>
      </c>
      <c r="K185" s="4">
        <f>ROUND(K184+H185,8)</f>
        <v/>
      </c>
      <c r="L185" s="4">
        <f>ROUND(0.9*F185+0.05*G185+0.05*H185,8)</f>
        <v/>
      </c>
    </row>
    <row r="186">
      <c r="A186" s="2" t="n">
        <v>44021</v>
      </c>
      <c r="B186" s="8" t="n">
        <v>2269.76</v>
      </c>
      <c r="C186" s="8" t="n">
        <v>120.2216</v>
      </c>
      <c r="D186" s="8" t="n">
        <v>0.35</v>
      </c>
      <c r="E186">
        <f>A186-A185</f>
        <v/>
      </c>
      <c r="F186" s="4">
        <f>ROUND(B186/B185-1,8)</f>
        <v/>
      </c>
      <c r="G186" s="4">
        <f>ROUND(C186/C185-1,8)</f>
        <v/>
      </c>
      <c r="H186" s="4">
        <f>ROUND(D186/100/(DATE(YEAR(A186)+1,1,1)-DATE(YEAR(A186),1,1))*E186,8)</f>
        <v/>
      </c>
      <c r="I186" s="4">
        <f>ROUND(I185*(1+F186),8)</f>
        <v/>
      </c>
      <c r="J186" s="4">
        <f>ROUND(J185*(1+G186),8)</f>
        <v/>
      </c>
      <c r="K186" s="4">
        <f>ROUND(K185+H186,8)</f>
        <v/>
      </c>
      <c r="L186" s="4">
        <f>ROUND(0.9*F186+0.05*G186+0.05*H186,8)</f>
        <v/>
      </c>
    </row>
    <row r="187">
      <c r="A187" s="2" t="n">
        <v>44022</v>
      </c>
      <c r="B187" s="8" t="n">
        <v>2262.65</v>
      </c>
      <c r="C187" s="8" t="n">
        <v>120.2728</v>
      </c>
      <c r="D187" s="8" t="n">
        <v>0.35</v>
      </c>
      <c r="E187">
        <f>A187-A186</f>
        <v/>
      </c>
      <c r="F187" s="4">
        <f>ROUND(B187/B186-1,8)</f>
        <v/>
      </c>
      <c r="G187" s="4">
        <f>ROUND(C187/C186-1,8)</f>
        <v/>
      </c>
      <c r="H187" s="4">
        <f>ROUND(D187/100/(DATE(YEAR(A187)+1,1,1)-DATE(YEAR(A187),1,1))*E187,8)</f>
        <v/>
      </c>
      <c r="I187" s="4">
        <f>ROUND(I186*(1+F187),8)</f>
        <v/>
      </c>
      <c r="J187" s="4">
        <f>ROUND(J186*(1+G187),8)</f>
        <v/>
      </c>
      <c r="K187" s="4">
        <f>ROUND(K186+H187,8)</f>
        <v/>
      </c>
      <c r="L187" s="4">
        <f>ROUND(0.9*F187+0.05*G187+0.05*H187,8)</f>
        <v/>
      </c>
    </row>
    <row r="188">
      <c r="A188" s="2" t="n">
        <v>44025</v>
      </c>
      <c r="B188" s="8" t="n">
        <v>2345.78</v>
      </c>
      <c r="C188" s="8" t="n">
        <v>120.0771</v>
      </c>
      <c r="D188" s="8" t="n">
        <v>0.35</v>
      </c>
      <c r="E188">
        <f>A188-A187</f>
        <v/>
      </c>
      <c r="F188" s="4">
        <f>ROUND(B188/B187-1,8)</f>
        <v/>
      </c>
      <c r="G188" s="4">
        <f>ROUND(C188/C187-1,8)</f>
        <v/>
      </c>
      <c r="H188" s="4">
        <f>ROUND(D188/100/(DATE(YEAR(A188)+1,1,1)-DATE(YEAR(A188),1,1))*E188,8)</f>
        <v/>
      </c>
      <c r="I188" s="4">
        <f>ROUND(I187*(1+F188),8)</f>
        <v/>
      </c>
      <c r="J188" s="4">
        <f>ROUND(J187*(1+G188),8)</f>
        <v/>
      </c>
      <c r="K188" s="4">
        <f>ROUND(K187+H188,8)</f>
        <v/>
      </c>
      <c r="L188" s="4">
        <f>ROUND(0.9*F188+0.05*G188+0.05*H188,8)</f>
        <v/>
      </c>
    </row>
    <row r="189">
      <c r="A189" s="2" t="n">
        <v>44026</v>
      </c>
      <c r="B189" s="8" t="n">
        <v>2332.27</v>
      </c>
      <c r="C189" s="8" t="n">
        <v>120.1054</v>
      </c>
      <c r="D189" s="8" t="n">
        <v>0.35</v>
      </c>
      <c r="E189">
        <f>A189-A188</f>
        <v/>
      </c>
      <c r="F189" s="4">
        <f>ROUND(B189/B188-1,8)</f>
        <v/>
      </c>
      <c r="G189" s="4">
        <f>ROUND(C189/C188-1,8)</f>
        <v/>
      </c>
      <c r="H189" s="4">
        <f>ROUND(D189/100/(DATE(YEAR(A189)+1,1,1)-DATE(YEAR(A189),1,1))*E189,8)</f>
        <v/>
      </c>
      <c r="I189" s="4">
        <f>ROUND(I188*(1+F189),8)</f>
        <v/>
      </c>
      <c r="J189" s="4">
        <f>ROUND(J188*(1+G189),8)</f>
        <v/>
      </c>
      <c r="K189" s="4">
        <f>ROUND(K188+H189,8)</f>
        <v/>
      </c>
      <c r="L189" s="4">
        <f>ROUND(0.9*F189+0.05*G189+0.05*H189,8)</f>
        <v/>
      </c>
    </row>
    <row r="190">
      <c r="A190" s="2" t="n">
        <v>44027</v>
      </c>
      <c r="B190" s="8" t="n">
        <v>2271.46</v>
      </c>
      <c r="C190" s="8" t="n">
        <v>120.1846</v>
      </c>
      <c r="D190" s="8" t="n">
        <v>0.35</v>
      </c>
      <c r="E190">
        <f>A190-A189</f>
        <v/>
      </c>
      <c r="F190" s="4">
        <f>ROUND(B190/B189-1,8)</f>
        <v/>
      </c>
      <c r="G190" s="4">
        <f>ROUND(C190/C189-1,8)</f>
        <v/>
      </c>
      <c r="H190" s="4">
        <f>ROUND(D190/100/(DATE(YEAR(A190)+1,1,1)-DATE(YEAR(A190),1,1))*E190,8)</f>
        <v/>
      </c>
      <c r="I190" s="4">
        <f>ROUND(I189*(1+F190),8)</f>
        <v/>
      </c>
      <c r="J190" s="4">
        <f>ROUND(J189*(1+G190),8)</f>
        <v/>
      </c>
      <c r="K190" s="4">
        <f>ROUND(K189+H190,8)</f>
        <v/>
      </c>
      <c r="L190" s="4">
        <f>ROUND(0.9*F190+0.05*G190+0.05*H190,8)</f>
        <v/>
      </c>
    </row>
    <row r="191">
      <c r="A191" s="2" t="n">
        <v>44028</v>
      </c>
      <c r="B191" s="8" t="n">
        <v>2162.03</v>
      </c>
      <c r="C191" s="8" t="n">
        <v>120.2866</v>
      </c>
      <c r="D191" s="8" t="n">
        <v>0.35</v>
      </c>
      <c r="E191">
        <f>A191-A190</f>
        <v/>
      </c>
      <c r="F191" s="4">
        <f>ROUND(B191/B190-1,8)</f>
        <v/>
      </c>
      <c r="G191" s="4">
        <f>ROUND(C191/C190-1,8)</f>
        <v/>
      </c>
      <c r="H191" s="4">
        <f>ROUND(D191/100/(DATE(YEAR(A191)+1,1,1)-DATE(YEAR(A191),1,1))*E191,8)</f>
        <v/>
      </c>
      <c r="I191" s="4">
        <f>ROUND(I190*(1+F191),8)</f>
        <v/>
      </c>
      <c r="J191" s="4">
        <f>ROUND(J190*(1+G191),8)</f>
        <v/>
      </c>
      <c r="K191" s="4">
        <f>ROUND(K190+H191,8)</f>
        <v/>
      </c>
      <c r="L191" s="4">
        <f>ROUND(0.9*F191+0.05*G191+0.05*H191,8)</f>
        <v/>
      </c>
    </row>
    <row r="192">
      <c r="A192" s="2" t="n">
        <v>44029</v>
      </c>
      <c r="B192" s="8" t="n">
        <v>2170.1</v>
      </c>
      <c r="C192" s="8" t="n">
        <v>120.3112</v>
      </c>
      <c r="D192" s="8" t="n">
        <v>0.35</v>
      </c>
      <c r="E192">
        <f>A192-A191</f>
        <v/>
      </c>
      <c r="F192" s="4">
        <f>ROUND(B192/B191-1,8)</f>
        <v/>
      </c>
      <c r="G192" s="4">
        <f>ROUND(C192/C191-1,8)</f>
        <v/>
      </c>
      <c r="H192" s="4">
        <f>ROUND(D192/100/(DATE(YEAR(A192)+1,1,1)-DATE(YEAR(A192),1,1))*E192,8)</f>
        <v/>
      </c>
      <c r="I192" s="4">
        <f>ROUND(I191*(1+F192),8)</f>
        <v/>
      </c>
      <c r="J192" s="4">
        <f>ROUND(J191*(1+G192),8)</f>
        <v/>
      </c>
      <c r="K192" s="4">
        <f>ROUND(K191+H192,8)</f>
        <v/>
      </c>
      <c r="L192" s="4">
        <f>ROUND(0.9*F192+0.05*G192+0.05*H192,8)</f>
        <v/>
      </c>
    </row>
    <row r="193">
      <c r="A193" s="2" t="n">
        <v>44032</v>
      </c>
      <c r="B193" s="8" t="n">
        <v>2247.35</v>
      </c>
      <c r="C193" s="8" t="n">
        <v>120.3604</v>
      </c>
      <c r="D193" s="8" t="n">
        <v>0.35</v>
      </c>
      <c r="E193">
        <f>A193-A192</f>
        <v/>
      </c>
      <c r="F193" s="4">
        <f>ROUND(B193/B192-1,8)</f>
        <v/>
      </c>
      <c r="G193" s="4">
        <f>ROUND(C193/C192-1,8)</f>
        <v/>
      </c>
      <c r="H193" s="4">
        <f>ROUND(D193/100/(DATE(YEAR(A193)+1,1,1)-DATE(YEAR(A193),1,1))*E193,8)</f>
        <v/>
      </c>
      <c r="I193" s="4">
        <f>ROUND(I192*(1+F193),8)</f>
        <v/>
      </c>
      <c r="J193" s="4">
        <f>ROUND(J192*(1+G193),8)</f>
        <v/>
      </c>
      <c r="K193" s="4">
        <f>ROUND(K192+H193,8)</f>
        <v/>
      </c>
      <c r="L193" s="4">
        <f>ROUND(0.9*F193+0.05*G193+0.05*H193,8)</f>
        <v/>
      </c>
    </row>
    <row r="194">
      <c r="A194" s="2" t="n">
        <v>44033</v>
      </c>
      <c r="B194" s="8" t="n">
        <v>2260.61</v>
      </c>
      <c r="C194" s="8" t="n">
        <v>120.5638</v>
      </c>
      <c r="D194" s="8" t="n">
        <v>0.35</v>
      </c>
      <c r="E194">
        <f>A194-A193</f>
        <v/>
      </c>
      <c r="F194" s="4">
        <f>ROUND(B194/B193-1,8)</f>
        <v/>
      </c>
      <c r="G194" s="4">
        <f>ROUND(C194/C193-1,8)</f>
        <v/>
      </c>
      <c r="H194" s="4">
        <f>ROUND(D194/100/(DATE(YEAR(A194)+1,1,1)-DATE(YEAR(A194),1,1))*E194,8)</f>
        <v/>
      </c>
      <c r="I194" s="4">
        <f>ROUND(I193*(1+F194),8)</f>
        <v/>
      </c>
      <c r="J194" s="4">
        <f>ROUND(J193*(1+G194),8)</f>
        <v/>
      </c>
      <c r="K194" s="4">
        <f>ROUND(K193+H194,8)</f>
        <v/>
      </c>
      <c r="L194" s="4">
        <f>ROUND(0.9*F194+0.05*G194+0.05*H194,8)</f>
        <v/>
      </c>
    </row>
    <row r="195">
      <c r="A195" s="2" t="n">
        <v>44034</v>
      </c>
      <c r="B195" s="8" t="n">
        <v>2270.81</v>
      </c>
      <c r="C195" s="8" t="n">
        <v>120.6609</v>
      </c>
      <c r="D195" s="8" t="n">
        <v>0.35</v>
      </c>
      <c r="E195">
        <f>A195-A194</f>
        <v/>
      </c>
      <c r="F195" s="4">
        <f>ROUND(B195/B194-1,8)</f>
        <v/>
      </c>
      <c r="G195" s="4">
        <f>ROUND(C195/C194-1,8)</f>
        <v/>
      </c>
      <c r="H195" s="4">
        <f>ROUND(D195/100/(DATE(YEAR(A195)+1,1,1)-DATE(YEAR(A195),1,1))*E195,8)</f>
        <v/>
      </c>
      <c r="I195" s="4">
        <f>ROUND(I194*(1+F195),8)</f>
        <v/>
      </c>
      <c r="J195" s="4">
        <f>ROUND(J194*(1+G195),8)</f>
        <v/>
      </c>
      <c r="K195" s="4">
        <f>ROUND(K194+H195,8)</f>
        <v/>
      </c>
      <c r="L195" s="4">
        <f>ROUND(0.9*F195+0.05*G195+0.05*H195,8)</f>
        <v/>
      </c>
    </row>
    <row r="196">
      <c r="A196" s="2" t="n">
        <v>44035</v>
      </c>
      <c r="B196" s="8" t="n">
        <v>2268.1</v>
      </c>
      <c r="C196" s="8" t="n">
        <v>120.6556</v>
      </c>
      <c r="D196" s="8" t="n">
        <v>0.35</v>
      </c>
      <c r="E196">
        <f>A196-A195</f>
        <v/>
      </c>
      <c r="F196" s="4">
        <f>ROUND(B196/B195-1,8)</f>
        <v/>
      </c>
      <c r="G196" s="4">
        <f>ROUND(C196/C195-1,8)</f>
        <v/>
      </c>
      <c r="H196" s="4">
        <f>ROUND(D196/100/(DATE(YEAR(A196)+1,1,1)-DATE(YEAR(A196),1,1))*E196,8)</f>
        <v/>
      </c>
      <c r="I196" s="4">
        <f>ROUND(I195*(1+F196),8)</f>
        <v/>
      </c>
      <c r="J196" s="4">
        <f>ROUND(J195*(1+G196),8)</f>
        <v/>
      </c>
      <c r="K196" s="4">
        <f>ROUND(K195+H196,8)</f>
        <v/>
      </c>
      <c r="L196" s="4">
        <f>ROUND(0.9*F196+0.05*G196+0.05*H196,8)</f>
        <v/>
      </c>
    </row>
    <row r="197">
      <c r="A197" s="2" t="n">
        <v>44036</v>
      </c>
      <c r="B197" s="8" t="n">
        <v>2167.8</v>
      </c>
      <c r="C197" s="8" t="n">
        <v>120.8059</v>
      </c>
      <c r="D197" s="8" t="n">
        <v>0.35</v>
      </c>
      <c r="E197">
        <f>A197-A196</f>
        <v/>
      </c>
      <c r="F197" s="4">
        <f>ROUND(B197/B196-1,8)</f>
        <v/>
      </c>
      <c r="G197" s="4">
        <f>ROUND(C197/C196-1,8)</f>
        <v/>
      </c>
      <c r="H197" s="4">
        <f>ROUND(D197/100/(DATE(YEAR(A197)+1,1,1)-DATE(YEAR(A197),1,1))*E197,8)</f>
        <v/>
      </c>
      <c r="I197" s="4">
        <f>ROUND(I196*(1+F197),8)</f>
        <v/>
      </c>
      <c r="J197" s="4">
        <f>ROUND(J196*(1+G197),8)</f>
        <v/>
      </c>
      <c r="K197" s="4">
        <f>ROUND(K196+H197,8)</f>
        <v/>
      </c>
      <c r="L197" s="4">
        <f>ROUND(0.9*F197+0.05*G197+0.05*H197,8)</f>
        <v/>
      </c>
    </row>
    <row r="198">
      <c r="A198" s="2" t="n">
        <v>44039</v>
      </c>
      <c r="B198" s="8" t="n">
        <v>2168.04</v>
      </c>
      <c r="C198" s="8" t="n">
        <v>120.8</v>
      </c>
      <c r="D198" s="8" t="n">
        <v>0.35</v>
      </c>
      <c r="E198">
        <f>A198-A197</f>
        <v/>
      </c>
      <c r="F198" s="4">
        <f>ROUND(B198/B197-1,8)</f>
        <v/>
      </c>
      <c r="G198" s="4">
        <f>ROUND(C198/C197-1,8)</f>
        <v/>
      </c>
      <c r="H198" s="4">
        <f>ROUND(D198/100/(DATE(YEAR(A198)+1,1,1)-DATE(YEAR(A198),1,1))*E198,8)</f>
        <v/>
      </c>
      <c r="I198" s="4">
        <f>ROUND(I197*(1+F198),8)</f>
        <v/>
      </c>
      <c r="J198" s="4">
        <f>ROUND(J197*(1+G198),8)</f>
        <v/>
      </c>
      <c r="K198" s="4">
        <f>ROUND(K197+H198,8)</f>
        <v/>
      </c>
      <c r="L198" s="4">
        <f>ROUND(0.9*F198+0.05*G198+0.05*H198,8)</f>
        <v/>
      </c>
    </row>
    <row r="199">
      <c r="A199" s="2" t="n">
        <v>44040</v>
      </c>
      <c r="B199" s="8" t="n">
        <v>2196.88</v>
      </c>
      <c r="C199" s="8" t="n">
        <v>120.6729</v>
      </c>
      <c r="D199" s="8" t="n">
        <v>0.35</v>
      </c>
      <c r="E199">
        <f>A199-A198</f>
        <v/>
      </c>
      <c r="F199" s="4">
        <f>ROUND(B199/B198-1,8)</f>
        <v/>
      </c>
      <c r="G199" s="4">
        <f>ROUND(C199/C198-1,8)</f>
        <v/>
      </c>
      <c r="H199" s="4">
        <f>ROUND(D199/100/(DATE(YEAR(A199)+1,1,1)-DATE(YEAR(A199),1,1))*E199,8)</f>
        <v/>
      </c>
      <c r="I199" s="4">
        <f>ROUND(I198*(1+F199),8)</f>
        <v/>
      </c>
      <c r="J199" s="4">
        <f>ROUND(J198*(1+G199),8)</f>
        <v/>
      </c>
      <c r="K199" s="4">
        <f>ROUND(K198+H199,8)</f>
        <v/>
      </c>
      <c r="L199" s="4">
        <f>ROUND(0.9*F199+0.05*G199+0.05*H199,8)</f>
        <v/>
      </c>
    </row>
    <row r="200">
      <c r="A200" s="2" t="n">
        <v>44041</v>
      </c>
      <c r="B200" s="8" t="n">
        <v>2254.01</v>
      </c>
      <c r="C200" s="8" t="n">
        <v>120.5961</v>
      </c>
      <c r="D200" s="8" t="n">
        <v>0.35</v>
      </c>
      <c r="E200">
        <f>A200-A199</f>
        <v/>
      </c>
      <c r="F200" s="4">
        <f>ROUND(B200/B199-1,8)</f>
        <v/>
      </c>
      <c r="G200" s="4">
        <f>ROUND(C200/C199-1,8)</f>
        <v/>
      </c>
      <c r="H200" s="4">
        <f>ROUND(D200/100/(DATE(YEAR(A200)+1,1,1)-DATE(YEAR(A200),1,1))*E200,8)</f>
        <v/>
      </c>
      <c r="I200" s="4">
        <f>ROUND(I199*(1+F200),8)</f>
        <v/>
      </c>
      <c r="J200" s="4">
        <f>ROUND(J199*(1+G200),8)</f>
        <v/>
      </c>
      <c r="K200" s="4">
        <f>ROUND(K199+H200,8)</f>
        <v/>
      </c>
      <c r="L200" s="4">
        <f>ROUND(0.9*F200+0.05*G200+0.05*H200,8)</f>
        <v/>
      </c>
    </row>
    <row r="201">
      <c r="A201" s="2" t="n">
        <v>44042</v>
      </c>
      <c r="B201" s="8" t="n">
        <v>2254.85</v>
      </c>
      <c r="C201" s="8" t="n">
        <v>120.5805</v>
      </c>
      <c r="D201" s="8" t="n">
        <v>0.35</v>
      </c>
      <c r="E201">
        <f>A201-A200</f>
        <v/>
      </c>
      <c r="F201" s="4">
        <f>ROUND(B201/B200-1,8)</f>
        <v/>
      </c>
      <c r="G201" s="4">
        <f>ROUND(C201/C200-1,8)</f>
        <v/>
      </c>
      <c r="H201" s="4">
        <f>ROUND(D201/100/(DATE(YEAR(A201)+1,1,1)-DATE(YEAR(A201),1,1))*E201,8)</f>
        <v/>
      </c>
      <c r="I201" s="4">
        <f>ROUND(I200*(1+F201),8)</f>
        <v/>
      </c>
      <c r="J201" s="4">
        <f>ROUND(J200*(1+G201),8)</f>
        <v/>
      </c>
      <c r="K201" s="4">
        <f>ROUND(K200+H201,8)</f>
        <v/>
      </c>
      <c r="L201" s="4">
        <f>ROUND(0.9*F201+0.05*G201+0.05*H201,8)</f>
        <v/>
      </c>
    </row>
    <row r="202">
      <c r="A202" s="2" t="n">
        <v>44043</v>
      </c>
      <c r="B202" s="8" t="n">
        <v>2291.58</v>
      </c>
      <c r="C202" s="8" t="n">
        <v>120.502</v>
      </c>
      <c r="D202" s="8" t="n">
        <v>0.35</v>
      </c>
      <c r="E202">
        <f>A202-A201</f>
        <v/>
      </c>
      <c r="F202" s="4">
        <f>ROUND(B202/B201-1,8)</f>
        <v/>
      </c>
      <c r="G202" s="4">
        <f>ROUND(C202/C201-1,8)</f>
        <v/>
      </c>
      <c r="H202" s="4">
        <f>ROUND(D202/100/(DATE(YEAR(A202)+1,1,1)-DATE(YEAR(A202),1,1))*E202,8)</f>
        <v/>
      </c>
      <c r="I202" s="4">
        <f>ROUND(I201*(1+F202),8)</f>
        <v/>
      </c>
      <c r="J202" s="4">
        <f>ROUND(J201*(1+G202),8)</f>
        <v/>
      </c>
      <c r="K202" s="4">
        <f>ROUND(K201+H202,8)</f>
        <v/>
      </c>
      <c r="L202" s="4">
        <f>ROUND(0.9*F202+0.05*G202+0.05*H202,8)</f>
        <v/>
      </c>
    </row>
    <row r="203">
      <c r="A203" s="2" t="n">
        <v>44046</v>
      </c>
      <c r="B203" s="8" t="n">
        <v>2364.33</v>
      </c>
      <c r="C203" s="8" t="n">
        <v>120.5063</v>
      </c>
      <c r="D203" s="8" t="n">
        <v>0.35</v>
      </c>
      <c r="E203">
        <f>A203-A202</f>
        <v/>
      </c>
      <c r="F203" s="4">
        <f>ROUND(B203/B202-1,8)</f>
        <v/>
      </c>
      <c r="G203" s="4">
        <f>ROUND(C203/C202-1,8)</f>
        <v/>
      </c>
      <c r="H203" s="4">
        <f>ROUND(D203/100/(DATE(YEAR(A203)+1,1,1)-DATE(YEAR(A203),1,1))*E203,8)</f>
        <v/>
      </c>
      <c r="I203" s="4">
        <f>ROUND(I202*(1+F203),8)</f>
        <v/>
      </c>
      <c r="J203" s="4">
        <f>ROUND(J202*(1+G203),8)</f>
        <v/>
      </c>
      <c r="K203" s="4">
        <f>ROUND(K202+H203,8)</f>
        <v/>
      </c>
      <c r="L203" s="4">
        <f>ROUND(0.9*F203+0.05*G203+0.05*H203,8)</f>
        <v/>
      </c>
    </row>
    <row r="204">
      <c r="A204" s="2" t="n">
        <v>44047</v>
      </c>
      <c r="B204" s="8" t="n">
        <v>2342.24</v>
      </c>
      <c r="C204" s="8" t="n">
        <v>120.4993</v>
      </c>
      <c r="D204" s="8" t="n">
        <v>0.35</v>
      </c>
      <c r="E204">
        <f>A204-A203</f>
        <v/>
      </c>
      <c r="F204" s="4">
        <f>ROUND(B204/B203-1,8)</f>
        <v/>
      </c>
      <c r="G204" s="4">
        <f>ROUND(C204/C203-1,8)</f>
        <v/>
      </c>
      <c r="H204" s="4">
        <f>ROUND(D204/100/(DATE(YEAR(A204)+1,1,1)-DATE(YEAR(A204),1,1))*E204,8)</f>
        <v/>
      </c>
      <c r="I204" s="4">
        <f>ROUND(I203*(1+F204),8)</f>
        <v/>
      </c>
      <c r="J204" s="4">
        <f>ROUND(J203*(1+G204),8)</f>
        <v/>
      </c>
      <c r="K204" s="4">
        <f>ROUND(K203+H204,8)</f>
        <v/>
      </c>
      <c r="L204" s="4">
        <f>ROUND(0.9*F204+0.05*G204+0.05*H204,8)</f>
        <v/>
      </c>
    </row>
    <row r="205">
      <c r="A205" s="2" t="n">
        <v>44048</v>
      </c>
      <c r="B205" s="8" t="n">
        <v>2371.61</v>
      </c>
      <c r="C205" s="8" t="n">
        <v>120.4827</v>
      </c>
      <c r="D205" s="8" t="n">
        <v>0.35</v>
      </c>
      <c r="E205">
        <f>A205-A204</f>
        <v/>
      </c>
      <c r="F205" s="4">
        <f>ROUND(B205/B204-1,8)</f>
        <v/>
      </c>
      <c r="G205" s="4">
        <f>ROUND(C205/C204-1,8)</f>
        <v/>
      </c>
      <c r="H205" s="4">
        <f>ROUND(D205/100/(DATE(YEAR(A205)+1,1,1)-DATE(YEAR(A205),1,1))*E205,8)</f>
        <v/>
      </c>
      <c r="I205" s="4">
        <f>ROUND(I204*(1+F205),8)</f>
        <v/>
      </c>
      <c r="J205" s="4">
        <f>ROUND(J204*(1+G205),8)</f>
        <v/>
      </c>
      <c r="K205" s="4">
        <f>ROUND(K204+H205,8)</f>
        <v/>
      </c>
      <c r="L205" s="4">
        <f>ROUND(0.9*F205+0.05*G205+0.05*H205,8)</f>
        <v/>
      </c>
    </row>
    <row r="206">
      <c r="A206" s="2" t="n">
        <v>44049</v>
      </c>
      <c r="B206" s="8" t="n">
        <v>2365.85</v>
      </c>
      <c r="C206" s="8" t="n">
        <v>120.4257</v>
      </c>
      <c r="D206" s="8" t="n">
        <v>0.35</v>
      </c>
      <c r="E206">
        <f>A206-A205</f>
        <v/>
      </c>
      <c r="F206" s="4">
        <f>ROUND(B206/B205-1,8)</f>
        <v/>
      </c>
      <c r="G206" s="4">
        <f>ROUND(C206/C205-1,8)</f>
        <v/>
      </c>
      <c r="H206" s="4">
        <f>ROUND(D206/100/(DATE(YEAR(A206)+1,1,1)-DATE(YEAR(A206),1,1))*E206,8)</f>
        <v/>
      </c>
      <c r="I206" s="4">
        <f>ROUND(I205*(1+F206),8)</f>
        <v/>
      </c>
      <c r="J206" s="4">
        <f>ROUND(J205*(1+G206),8)</f>
        <v/>
      </c>
      <c r="K206" s="4">
        <f>ROUND(K205+H206,8)</f>
        <v/>
      </c>
      <c r="L206" s="4">
        <f>ROUND(0.9*F206+0.05*G206+0.05*H206,8)</f>
        <v/>
      </c>
    </row>
    <row r="207">
      <c r="A207" s="2" t="n">
        <v>44050</v>
      </c>
      <c r="B207" s="8" t="n">
        <v>2336.85</v>
      </c>
      <c r="C207" s="8" t="n">
        <v>120.3713</v>
      </c>
      <c r="D207" s="8" t="n">
        <v>0.35</v>
      </c>
      <c r="E207">
        <f>A207-A206</f>
        <v/>
      </c>
      <c r="F207" s="4">
        <f>ROUND(B207/B206-1,8)</f>
        <v/>
      </c>
      <c r="G207" s="4">
        <f>ROUND(C207/C206-1,8)</f>
        <v/>
      </c>
      <c r="H207" s="4">
        <f>ROUND(D207/100/(DATE(YEAR(A207)+1,1,1)-DATE(YEAR(A207),1,1))*E207,8)</f>
        <v/>
      </c>
      <c r="I207" s="4">
        <f>ROUND(I206*(1+F207),8)</f>
        <v/>
      </c>
      <c r="J207" s="4">
        <f>ROUND(J206*(1+G207),8)</f>
        <v/>
      </c>
      <c r="K207" s="4">
        <f>ROUND(K206+H207,8)</f>
        <v/>
      </c>
      <c r="L207" s="4">
        <f>ROUND(0.9*F207+0.05*G207+0.05*H207,8)</f>
        <v/>
      </c>
    </row>
    <row r="208">
      <c r="A208" s="2" t="n">
        <v>44053</v>
      </c>
      <c r="B208" s="8" t="n">
        <v>2356.27</v>
      </c>
      <c r="C208" s="8" t="n">
        <v>120.4323</v>
      </c>
      <c r="D208" s="8" t="n">
        <v>0.35</v>
      </c>
      <c r="E208">
        <f>A208-A207</f>
        <v/>
      </c>
      <c r="F208" s="4">
        <f>ROUND(B208/B207-1,8)</f>
        <v/>
      </c>
      <c r="G208" s="4">
        <f>ROUND(C208/C207-1,8)</f>
        <v/>
      </c>
      <c r="H208" s="4">
        <f>ROUND(D208/100/(DATE(YEAR(A208)+1,1,1)-DATE(YEAR(A208),1,1))*E208,8)</f>
        <v/>
      </c>
      <c r="I208" s="4">
        <f>ROUND(I207*(1+F208),8)</f>
        <v/>
      </c>
      <c r="J208" s="4">
        <f>ROUND(J207*(1+G208),8)</f>
        <v/>
      </c>
      <c r="K208" s="4">
        <f>ROUND(K207+H208,8)</f>
        <v/>
      </c>
      <c r="L208" s="4">
        <f>ROUND(0.9*F208+0.05*G208+0.05*H208,8)</f>
        <v/>
      </c>
    </row>
    <row r="209">
      <c r="A209" s="2" t="n">
        <v>44054</v>
      </c>
      <c r="B209" s="8" t="n">
        <v>2305.41</v>
      </c>
      <c r="C209" s="8" t="n">
        <v>120.4294</v>
      </c>
      <c r="D209" s="8" t="n">
        <v>0.35</v>
      </c>
      <c r="E209">
        <f>A209-A208</f>
        <v/>
      </c>
      <c r="F209" s="4">
        <f>ROUND(B209/B208-1,8)</f>
        <v/>
      </c>
      <c r="G209" s="4">
        <f>ROUND(C209/C208-1,8)</f>
        <v/>
      </c>
      <c r="H209" s="4">
        <f>ROUND(D209/100/(DATE(YEAR(A209)+1,1,1)-DATE(YEAR(A209),1,1))*E209,8)</f>
        <v/>
      </c>
      <c r="I209" s="4">
        <f>ROUND(I208*(1+F209),8)</f>
        <v/>
      </c>
      <c r="J209" s="4">
        <f>ROUND(J208*(1+G209),8)</f>
        <v/>
      </c>
      <c r="K209" s="4">
        <f>ROUND(K208+H209,8)</f>
        <v/>
      </c>
      <c r="L209" s="4">
        <f>ROUND(0.9*F209+0.05*G209+0.05*H209,8)</f>
        <v/>
      </c>
    </row>
    <row r="210">
      <c r="A210" s="2" t="n">
        <v>44055</v>
      </c>
      <c r="B210" s="8" t="n">
        <v>2291.86</v>
      </c>
      <c r="C210" s="8" t="n">
        <v>120.3997</v>
      </c>
      <c r="D210" s="8" t="n">
        <v>0.35</v>
      </c>
      <c r="E210">
        <f>A210-A209</f>
        <v/>
      </c>
      <c r="F210" s="4">
        <f>ROUND(B210/B209-1,8)</f>
        <v/>
      </c>
      <c r="G210" s="4">
        <f>ROUND(C210/C209-1,8)</f>
        <v/>
      </c>
      <c r="H210" s="4">
        <f>ROUND(D210/100/(DATE(YEAR(A210)+1,1,1)-DATE(YEAR(A210),1,1))*E210,8)</f>
        <v/>
      </c>
      <c r="I210" s="4">
        <f>ROUND(I209*(1+F210),8)</f>
        <v/>
      </c>
      <c r="J210" s="4">
        <f>ROUND(J209*(1+G210),8)</f>
        <v/>
      </c>
      <c r="K210" s="4">
        <f>ROUND(K209+H210,8)</f>
        <v/>
      </c>
      <c r="L210" s="4">
        <f>ROUND(0.9*F210+0.05*G210+0.05*H210,8)</f>
        <v/>
      </c>
    </row>
    <row r="211">
      <c r="A211" s="2" t="n">
        <v>44056</v>
      </c>
      <c r="B211" s="8" t="n">
        <v>2309.83</v>
      </c>
      <c r="C211" s="8" t="n">
        <v>120.4079</v>
      </c>
      <c r="D211" s="8" t="n">
        <v>0.35</v>
      </c>
      <c r="E211">
        <f>A211-A210</f>
        <v/>
      </c>
      <c r="F211" s="4">
        <f>ROUND(B211/B210-1,8)</f>
        <v/>
      </c>
      <c r="G211" s="4">
        <f>ROUND(C211/C210-1,8)</f>
        <v/>
      </c>
      <c r="H211" s="4">
        <f>ROUND(D211/100/(DATE(YEAR(A211)+1,1,1)-DATE(YEAR(A211),1,1))*E211,8)</f>
        <v/>
      </c>
      <c r="I211" s="4">
        <f>ROUND(I210*(1+F211),8)</f>
        <v/>
      </c>
      <c r="J211" s="4">
        <f>ROUND(J210*(1+G211),8)</f>
        <v/>
      </c>
      <c r="K211" s="4">
        <f>ROUND(K210+H211,8)</f>
        <v/>
      </c>
      <c r="L211" s="4">
        <f>ROUND(0.9*F211+0.05*G211+0.05*H211,8)</f>
        <v/>
      </c>
    </row>
    <row r="212">
      <c r="A212" s="2" t="n">
        <v>44057</v>
      </c>
      <c r="B212" s="8" t="n">
        <v>2319.55</v>
      </c>
      <c r="C212" s="8" t="n">
        <v>120.4438</v>
      </c>
      <c r="D212" s="8" t="n">
        <v>0.35</v>
      </c>
      <c r="E212">
        <f>A212-A211</f>
        <v/>
      </c>
      <c r="F212" s="4">
        <f>ROUND(B212/B211-1,8)</f>
        <v/>
      </c>
      <c r="G212" s="4">
        <f>ROUND(C212/C211-1,8)</f>
        <v/>
      </c>
      <c r="H212" s="4">
        <f>ROUND(D212/100/(DATE(YEAR(A212)+1,1,1)-DATE(YEAR(A212),1,1))*E212,8)</f>
        <v/>
      </c>
      <c r="I212" s="4">
        <f>ROUND(I211*(1+F212),8)</f>
        <v/>
      </c>
      <c r="J212" s="4">
        <f>ROUND(J211*(1+G212),8)</f>
        <v/>
      </c>
      <c r="K212" s="4">
        <f>ROUND(K211+H212,8)</f>
        <v/>
      </c>
      <c r="L212" s="4">
        <f>ROUND(0.9*F212+0.05*G212+0.05*H212,8)</f>
        <v/>
      </c>
    </row>
    <row r="213">
      <c r="A213" s="2" t="n">
        <v>44060</v>
      </c>
      <c r="B213" s="8" t="n">
        <v>2365.55</v>
      </c>
      <c r="C213" s="8" t="n">
        <v>120.4754</v>
      </c>
      <c r="D213" s="8" t="n">
        <v>0.35</v>
      </c>
      <c r="E213">
        <f>A213-A212</f>
        <v/>
      </c>
      <c r="F213" s="4">
        <f>ROUND(B213/B212-1,8)</f>
        <v/>
      </c>
      <c r="G213" s="4">
        <f>ROUND(C213/C212-1,8)</f>
        <v/>
      </c>
      <c r="H213" s="4">
        <f>ROUND(D213/100/(DATE(YEAR(A213)+1,1,1)-DATE(YEAR(A213),1,1))*E213,8)</f>
        <v/>
      </c>
      <c r="I213" s="4">
        <f>ROUND(I212*(1+F213),8)</f>
        <v/>
      </c>
      <c r="J213" s="4">
        <f>ROUND(J212*(1+G213),8)</f>
        <v/>
      </c>
      <c r="K213" s="4">
        <f>ROUND(K212+H213,8)</f>
        <v/>
      </c>
      <c r="L213" s="4">
        <f>ROUND(0.9*F213+0.05*G213+0.05*H213,8)</f>
        <v/>
      </c>
    </row>
    <row r="214">
      <c r="A214" s="2" t="n">
        <v>44061</v>
      </c>
      <c r="B214" s="8" t="n">
        <v>2390.04</v>
      </c>
      <c r="C214" s="8" t="n">
        <v>120.4166</v>
      </c>
      <c r="D214" s="8" t="n">
        <v>0.35</v>
      </c>
      <c r="E214">
        <f>A214-A213</f>
        <v/>
      </c>
      <c r="F214" s="4">
        <f>ROUND(B214/B213-1,8)</f>
        <v/>
      </c>
      <c r="G214" s="4">
        <f>ROUND(C214/C213-1,8)</f>
        <v/>
      </c>
      <c r="H214" s="4">
        <f>ROUND(D214/100/(DATE(YEAR(A214)+1,1,1)-DATE(YEAR(A214),1,1))*E214,8)</f>
        <v/>
      </c>
      <c r="I214" s="4">
        <f>ROUND(I213*(1+F214),8)</f>
        <v/>
      </c>
      <c r="J214" s="4">
        <f>ROUND(J213*(1+G214),8)</f>
        <v/>
      </c>
      <c r="K214" s="4">
        <f>ROUND(K213+H214,8)</f>
        <v/>
      </c>
      <c r="L214" s="4">
        <f>ROUND(0.9*F214+0.05*G214+0.05*H214,8)</f>
        <v/>
      </c>
    </row>
    <row r="215">
      <c r="A215" s="2" t="n">
        <v>44062</v>
      </c>
      <c r="B215" s="8" t="n">
        <v>2351.96</v>
      </c>
      <c r="C215" s="8" t="n">
        <v>120.3269</v>
      </c>
      <c r="D215" s="8" t="n">
        <v>0.35</v>
      </c>
      <c r="E215">
        <f>A215-A214</f>
        <v/>
      </c>
      <c r="F215" s="4">
        <f>ROUND(B215/B214-1,8)</f>
        <v/>
      </c>
      <c r="G215" s="4">
        <f>ROUND(C215/C214-1,8)</f>
        <v/>
      </c>
      <c r="H215" s="4">
        <f>ROUND(D215/100/(DATE(YEAR(A215)+1,1,1)-DATE(YEAR(A215),1,1))*E215,8)</f>
        <v/>
      </c>
      <c r="I215" s="4">
        <f>ROUND(I214*(1+F215),8)</f>
        <v/>
      </c>
      <c r="J215" s="4">
        <f>ROUND(J214*(1+G215),8)</f>
        <v/>
      </c>
      <c r="K215" s="4">
        <f>ROUND(K214+H215,8)</f>
        <v/>
      </c>
      <c r="L215" s="4">
        <f>ROUND(0.9*F215+0.05*G215+0.05*H215,8)</f>
        <v/>
      </c>
    </row>
    <row r="216">
      <c r="A216" s="2" t="n">
        <v>44063</v>
      </c>
      <c r="B216" s="8" t="n">
        <v>2323.65</v>
      </c>
      <c r="C216" s="8" t="n">
        <v>120.2328</v>
      </c>
      <c r="D216" s="8" t="n">
        <v>0.35</v>
      </c>
      <c r="E216">
        <f>A216-A215</f>
        <v/>
      </c>
      <c r="F216" s="4">
        <f>ROUND(B216/B215-1,8)</f>
        <v/>
      </c>
      <c r="G216" s="4">
        <f>ROUND(C216/C215-1,8)</f>
        <v/>
      </c>
      <c r="H216" s="4">
        <f>ROUND(D216/100/(DATE(YEAR(A216)+1,1,1)-DATE(YEAR(A216),1,1))*E216,8)</f>
        <v/>
      </c>
      <c r="I216" s="4">
        <f>ROUND(I215*(1+F216),8)</f>
        <v/>
      </c>
      <c r="J216" s="4">
        <f>ROUND(J215*(1+G216),8)</f>
        <v/>
      </c>
      <c r="K216" s="4">
        <f>ROUND(K215+H216,8)</f>
        <v/>
      </c>
      <c r="L216" s="4">
        <f>ROUND(0.9*F216+0.05*G216+0.05*H216,8)</f>
        <v/>
      </c>
    </row>
    <row r="217">
      <c r="A217" s="2" t="n">
        <v>44064</v>
      </c>
      <c r="B217" s="8" t="n">
        <v>2338.65</v>
      </c>
      <c r="C217" s="8" t="n">
        <v>120.2318</v>
      </c>
      <c r="D217" s="8" t="n">
        <v>0.35</v>
      </c>
      <c r="E217">
        <f>A217-A216</f>
        <v/>
      </c>
      <c r="F217" s="4">
        <f>ROUND(B217/B216-1,8)</f>
        <v/>
      </c>
      <c r="G217" s="4">
        <f>ROUND(C217/C216-1,8)</f>
        <v/>
      </c>
      <c r="H217" s="4">
        <f>ROUND(D217/100/(DATE(YEAR(A217)+1,1,1)-DATE(YEAR(A217),1,1))*E217,8)</f>
        <v/>
      </c>
      <c r="I217" s="4">
        <f>ROUND(I216*(1+F217),8)</f>
        <v/>
      </c>
      <c r="J217" s="4">
        <f>ROUND(J216*(1+G217),8)</f>
        <v/>
      </c>
      <c r="K217" s="4">
        <f>ROUND(K216+H217,8)</f>
        <v/>
      </c>
      <c r="L217" s="4">
        <f>ROUND(0.9*F217+0.05*G217+0.05*H217,8)</f>
        <v/>
      </c>
    </row>
    <row r="218">
      <c r="A218" s="2" t="n">
        <v>44067</v>
      </c>
      <c r="B218" s="8" t="n">
        <v>2360.22</v>
      </c>
      <c r="C218" s="8" t="n">
        <v>120.1348</v>
      </c>
      <c r="D218" s="8" t="n">
        <v>0.35</v>
      </c>
      <c r="E218">
        <f>A218-A217</f>
        <v/>
      </c>
      <c r="F218" s="4">
        <f>ROUND(B218/B217-1,8)</f>
        <v/>
      </c>
      <c r="G218" s="4">
        <f>ROUND(C218/C217-1,8)</f>
        <v/>
      </c>
      <c r="H218" s="4">
        <f>ROUND(D218/100/(DATE(YEAR(A218)+1,1,1)-DATE(YEAR(A218),1,1))*E218,8)</f>
        <v/>
      </c>
      <c r="I218" s="4">
        <f>ROUND(I217*(1+F218),8)</f>
        <v/>
      </c>
      <c r="J218" s="4">
        <f>ROUND(J217*(1+G218),8)</f>
        <v/>
      </c>
      <c r="K218" s="4">
        <f>ROUND(K217+H218,8)</f>
        <v/>
      </c>
      <c r="L218" s="4">
        <f>ROUND(0.9*F218+0.05*G218+0.05*H218,8)</f>
        <v/>
      </c>
    </row>
    <row r="219">
      <c r="A219" s="2" t="n">
        <v>44068</v>
      </c>
      <c r="B219" s="8" t="n">
        <v>2359.63</v>
      </c>
      <c r="C219" s="8" t="n">
        <v>119.9813</v>
      </c>
      <c r="D219" s="8" t="n">
        <v>0.35</v>
      </c>
      <c r="E219">
        <f>A219-A218</f>
        <v/>
      </c>
      <c r="F219" s="4">
        <f>ROUND(B219/B218-1,8)</f>
        <v/>
      </c>
      <c r="G219" s="4">
        <f>ROUND(C219/C218-1,8)</f>
        <v/>
      </c>
      <c r="H219" s="4">
        <f>ROUND(D219/100/(DATE(YEAR(A219)+1,1,1)-DATE(YEAR(A219),1,1))*E219,8)</f>
        <v/>
      </c>
      <c r="I219" s="4">
        <f>ROUND(I218*(1+F219),8)</f>
        <v/>
      </c>
      <c r="J219" s="4">
        <f>ROUND(J218*(1+G219),8)</f>
        <v/>
      </c>
      <c r="K219" s="4">
        <f>ROUND(K218+H219,8)</f>
        <v/>
      </c>
      <c r="L219" s="4">
        <f>ROUND(0.9*F219+0.05*G219+0.05*H219,8)</f>
        <v/>
      </c>
    </row>
    <row r="220">
      <c r="A220" s="2" t="n">
        <v>44069</v>
      </c>
      <c r="B220" s="8" t="n">
        <v>2304.47</v>
      </c>
      <c r="C220" s="8" t="n">
        <v>119.9409</v>
      </c>
      <c r="D220" s="8" t="n">
        <v>0.35</v>
      </c>
      <c r="E220">
        <f>A220-A219</f>
        <v/>
      </c>
      <c r="F220" s="4">
        <f>ROUND(B220/B219-1,8)</f>
        <v/>
      </c>
      <c r="G220" s="4">
        <f>ROUND(C220/C219-1,8)</f>
        <v/>
      </c>
      <c r="H220" s="4">
        <f>ROUND(D220/100/(DATE(YEAR(A220)+1,1,1)-DATE(YEAR(A220),1,1))*E220,8)</f>
        <v/>
      </c>
      <c r="I220" s="4">
        <f>ROUND(I219*(1+F220),8)</f>
        <v/>
      </c>
      <c r="J220" s="4">
        <f>ROUND(J219*(1+G220),8)</f>
        <v/>
      </c>
      <c r="K220" s="4">
        <f>ROUND(K219+H220,8)</f>
        <v/>
      </c>
      <c r="L220" s="4">
        <f>ROUND(0.9*F220+0.05*G220+0.05*H220,8)</f>
        <v/>
      </c>
    </row>
    <row r="221">
      <c r="A221" s="2" t="n">
        <v>44070</v>
      </c>
      <c r="B221" s="8" t="n">
        <v>2342.87</v>
      </c>
      <c r="C221" s="8" t="n">
        <v>119.8631</v>
      </c>
      <c r="D221" s="8" t="n">
        <v>0.35</v>
      </c>
      <c r="E221">
        <f>A221-A220</f>
        <v/>
      </c>
      <c r="F221" s="4">
        <f>ROUND(B221/B220-1,8)</f>
        <v/>
      </c>
      <c r="G221" s="4">
        <f>ROUND(C221/C220-1,8)</f>
        <v/>
      </c>
      <c r="H221" s="4">
        <f>ROUND(D221/100/(DATE(YEAR(A221)+1,1,1)-DATE(YEAR(A221),1,1))*E221,8)</f>
        <v/>
      </c>
      <c r="I221" s="4">
        <f>ROUND(I220*(1+F221),8)</f>
        <v/>
      </c>
      <c r="J221" s="4">
        <f>ROUND(J220*(1+G221),8)</f>
        <v/>
      </c>
      <c r="K221" s="4">
        <f>ROUND(K220+H221,8)</f>
        <v/>
      </c>
      <c r="L221" s="4">
        <f>ROUND(0.9*F221+0.05*G221+0.05*H221,8)</f>
        <v/>
      </c>
    </row>
    <row r="222">
      <c r="A222" s="2" t="n">
        <v>44071</v>
      </c>
      <c r="B222" s="8" t="n">
        <v>2362.43</v>
      </c>
      <c r="C222" s="8" t="n">
        <v>119.804</v>
      </c>
      <c r="D222" s="8" t="n">
        <v>0.35</v>
      </c>
      <c r="E222">
        <f>A222-A221</f>
        <v/>
      </c>
      <c r="F222" s="4">
        <f>ROUND(B222/B221-1,8)</f>
        <v/>
      </c>
      <c r="G222" s="4">
        <f>ROUND(C222/C221-1,8)</f>
        <v/>
      </c>
      <c r="H222" s="4">
        <f>ROUND(D222/100/(DATE(YEAR(A222)+1,1,1)-DATE(YEAR(A222),1,1))*E222,8)</f>
        <v/>
      </c>
      <c r="I222" s="4">
        <f>ROUND(I221*(1+F222),8)</f>
        <v/>
      </c>
      <c r="J222" s="4">
        <f>ROUND(J221*(1+G222),8)</f>
        <v/>
      </c>
      <c r="K222" s="4">
        <f>ROUND(K221+H222,8)</f>
        <v/>
      </c>
      <c r="L222" s="4">
        <f>ROUND(0.9*F222+0.05*G222+0.05*H222,8)</f>
        <v/>
      </c>
    </row>
    <row r="223">
      <c r="A223" s="2" t="n">
        <v>44074</v>
      </c>
      <c r="B223" s="8" t="n">
        <v>2368.49</v>
      </c>
      <c r="C223" s="8" t="n">
        <v>119.8824</v>
      </c>
      <c r="D223" s="8" t="n">
        <v>0.35</v>
      </c>
      <c r="E223">
        <f>A223-A222</f>
        <v/>
      </c>
      <c r="F223" s="4">
        <f>ROUND(B223/B222-1,8)</f>
        <v/>
      </c>
      <c r="G223" s="4">
        <f>ROUND(C223/C222-1,8)</f>
        <v/>
      </c>
      <c r="H223" s="4">
        <f>ROUND(D223/100/(DATE(YEAR(A223)+1,1,1)-DATE(YEAR(A223),1,1))*E223,8)</f>
        <v/>
      </c>
      <c r="I223" s="4">
        <f>ROUND(I222*(1+F223),8)</f>
        <v/>
      </c>
      <c r="J223" s="4">
        <f>ROUND(J222*(1+G223),8)</f>
        <v/>
      </c>
      <c r="K223" s="4">
        <f>ROUND(K222+H223,8)</f>
        <v/>
      </c>
      <c r="L223" s="4">
        <f>ROUND(0.9*F223+0.05*G223+0.05*H223,8)</f>
        <v/>
      </c>
    </row>
    <row r="224">
      <c r="A224" s="2" t="n">
        <v>44075</v>
      </c>
      <c r="B224" s="8" t="n">
        <v>2385.04</v>
      </c>
      <c r="C224" s="8" t="n">
        <v>119.8365</v>
      </c>
      <c r="D224" s="8" t="n">
        <v>0.35</v>
      </c>
      <c r="E224">
        <f>A224-A223</f>
        <v/>
      </c>
      <c r="F224" s="4">
        <f>ROUND(B224/B223-1,8)</f>
        <v/>
      </c>
      <c r="G224" s="4">
        <f>ROUND(C224/C223-1,8)</f>
        <v/>
      </c>
      <c r="H224" s="4">
        <f>ROUND(D224/100/(DATE(YEAR(A224)+1,1,1)-DATE(YEAR(A224),1,1))*E224,8)</f>
        <v/>
      </c>
      <c r="I224" s="4">
        <f>ROUND(I223*(1+F224),8)</f>
        <v/>
      </c>
      <c r="J224" s="4">
        <f>ROUND(J223*(1+G224),8)</f>
        <v/>
      </c>
      <c r="K224" s="4">
        <f>ROUND(K223+H224,8)</f>
        <v/>
      </c>
      <c r="L224" s="4">
        <f>ROUND(0.9*F224+0.05*G224+0.05*H224,8)</f>
        <v/>
      </c>
    </row>
    <row r="225">
      <c r="A225" s="2" t="n">
        <v>44076</v>
      </c>
      <c r="B225" s="8" t="n">
        <v>2410.99</v>
      </c>
      <c r="C225" s="8" t="n">
        <v>119.7197</v>
      </c>
      <c r="D225" s="8" t="n">
        <v>0.35</v>
      </c>
      <c r="E225">
        <f>A225-A224</f>
        <v/>
      </c>
      <c r="F225" s="4">
        <f>ROUND(B225/B224-1,8)</f>
        <v/>
      </c>
      <c r="G225" s="4">
        <f>ROUND(C225/C224-1,8)</f>
        <v/>
      </c>
      <c r="H225" s="4">
        <f>ROUND(D225/100/(DATE(YEAR(A225)+1,1,1)-DATE(YEAR(A225),1,1))*E225,8)</f>
        <v/>
      </c>
      <c r="I225" s="4">
        <f>ROUND(I224*(1+F225),8)</f>
        <v/>
      </c>
      <c r="J225" s="4">
        <f>ROUND(J224*(1+G225),8)</f>
        <v/>
      </c>
      <c r="K225" s="4">
        <f>ROUND(K224+H225,8)</f>
        <v/>
      </c>
      <c r="L225" s="4">
        <f>ROUND(0.9*F225+0.05*G225+0.05*H225,8)</f>
        <v/>
      </c>
    </row>
    <row r="226">
      <c r="A226" s="2" t="n">
        <v>44077</v>
      </c>
      <c r="B226" s="8" t="n">
        <v>2383</v>
      </c>
      <c r="C226" s="8" t="n">
        <v>119.673</v>
      </c>
      <c r="D226" s="8" t="n">
        <v>0.35</v>
      </c>
      <c r="E226">
        <f>A226-A225</f>
        <v/>
      </c>
      <c r="F226" s="4">
        <f>ROUND(B226/B225-1,8)</f>
        <v/>
      </c>
      <c r="G226" s="4">
        <f>ROUND(C226/C225-1,8)</f>
        <v/>
      </c>
      <c r="H226" s="4">
        <f>ROUND(D226/100/(DATE(YEAR(A226)+1,1,1)-DATE(YEAR(A226),1,1))*E226,8)</f>
        <v/>
      </c>
      <c r="I226" s="4">
        <f>ROUND(I225*(1+F226),8)</f>
        <v/>
      </c>
      <c r="J226" s="4">
        <f>ROUND(J225*(1+G226),8)</f>
        <v/>
      </c>
      <c r="K226" s="4">
        <f>ROUND(K225+H226,8)</f>
        <v/>
      </c>
      <c r="L226" s="4">
        <f>ROUND(0.9*F226+0.05*G226+0.05*H226,8)</f>
        <v/>
      </c>
    </row>
    <row r="227">
      <c r="A227" s="2" t="n">
        <v>44078</v>
      </c>
      <c r="B227" s="8" t="n">
        <v>2391.95</v>
      </c>
      <c r="C227" s="8" t="n">
        <v>119.6266</v>
      </c>
      <c r="D227" s="8" t="n">
        <v>0.35</v>
      </c>
      <c r="E227">
        <f>A227-A226</f>
        <v/>
      </c>
      <c r="F227" s="4">
        <f>ROUND(B227/B226-1,8)</f>
        <v/>
      </c>
      <c r="G227" s="4">
        <f>ROUND(C227/C226-1,8)</f>
        <v/>
      </c>
      <c r="H227" s="4">
        <f>ROUND(D227/100/(DATE(YEAR(A227)+1,1,1)-DATE(YEAR(A227),1,1))*E227,8)</f>
        <v/>
      </c>
      <c r="I227" s="4">
        <f>ROUND(I226*(1+F227),8)</f>
        <v/>
      </c>
      <c r="J227" s="4">
        <f>ROUND(J226*(1+G227),8)</f>
        <v/>
      </c>
      <c r="K227" s="4">
        <f>ROUND(K226+H227,8)</f>
        <v/>
      </c>
      <c r="L227" s="4">
        <f>ROUND(0.9*F227+0.05*G227+0.05*H227,8)</f>
        <v/>
      </c>
    </row>
    <row r="228">
      <c r="A228" s="2" t="n">
        <v>44081</v>
      </c>
      <c r="B228" s="8" t="n">
        <v>2375.28</v>
      </c>
      <c r="C228" s="8" t="n">
        <v>119.545</v>
      </c>
      <c r="D228" s="8" t="n">
        <v>0.35</v>
      </c>
      <c r="E228">
        <f>A228-A227</f>
        <v/>
      </c>
      <c r="F228" s="4">
        <f>ROUND(B228/B227-1,8)</f>
        <v/>
      </c>
      <c r="G228" s="4">
        <f>ROUND(C228/C227-1,8)</f>
        <v/>
      </c>
      <c r="H228" s="4">
        <f>ROUND(D228/100/(DATE(YEAR(A228)+1,1,1)-DATE(YEAR(A228),1,1))*E228,8)</f>
        <v/>
      </c>
      <c r="I228" s="4">
        <f>ROUND(I227*(1+F228),8)</f>
        <v/>
      </c>
      <c r="J228" s="4">
        <f>ROUND(J227*(1+G228),8)</f>
        <v/>
      </c>
      <c r="K228" s="4">
        <f>ROUND(K227+H228,8)</f>
        <v/>
      </c>
      <c r="L228" s="4">
        <f>ROUND(0.9*F228+0.05*G228+0.05*H228,8)</f>
        <v/>
      </c>
    </row>
    <row r="229">
      <c r="A229" s="2" t="n">
        <v>44082</v>
      </c>
      <c r="B229" s="8" t="n">
        <v>2402.96</v>
      </c>
      <c r="C229" s="8" t="n">
        <v>119.563</v>
      </c>
      <c r="D229" s="8" t="n">
        <v>0.35</v>
      </c>
      <c r="E229">
        <f>A229-A228</f>
        <v/>
      </c>
      <c r="F229" s="4">
        <f>ROUND(B229/B228-1,8)</f>
        <v/>
      </c>
      <c r="G229" s="4">
        <f>ROUND(C229/C228-1,8)</f>
        <v/>
      </c>
      <c r="H229" s="4">
        <f>ROUND(D229/100/(DATE(YEAR(A229)+1,1,1)-DATE(YEAR(A229),1,1))*E229,8)</f>
        <v/>
      </c>
      <c r="I229" s="4">
        <f>ROUND(I228*(1+F229),8)</f>
        <v/>
      </c>
      <c r="J229" s="4">
        <f>ROUND(J228*(1+G229),8)</f>
        <v/>
      </c>
      <c r="K229" s="4">
        <f>ROUND(K228+H229,8)</f>
        <v/>
      </c>
      <c r="L229" s="4">
        <f>ROUND(0.9*F229+0.05*G229+0.05*H229,8)</f>
        <v/>
      </c>
    </row>
    <row r="230">
      <c r="A230" s="2" t="n">
        <v>44083</v>
      </c>
      <c r="B230" s="8" t="n">
        <v>2326.38</v>
      </c>
      <c r="C230" s="8" t="n">
        <v>119.6914</v>
      </c>
      <c r="D230" s="8" t="n">
        <v>0.35</v>
      </c>
      <c r="E230">
        <f>A230-A229</f>
        <v/>
      </c>
      <c r="F230" s="4">
        <f>ROUND(B230/B229-1,8)</f>
        <v/>
      </c>
      <c r="G230" s="4">
        <f>ROUND(C230/C229-1,8)</f>
        <v/>
      </c>
      <c r="H230" s="4">
        <f>ROUND(D230/100/(DATE(YEAR(A230)+1,1,1)-DATE(YEAR(A230),1,1))*E230,8)</f>
        <v/>
      </c>
      <c r="I230" s="4">
        <f>ROUND(I229*(1+F230),8)</f>
        <v/>
      </c>
      <c r="J230" s="4">
        <f>ROUND(J229*(1+G230),8)</f>
        <v/>
      </c>
      <c r="K230" s="4">
        <f>ROUND(K229+H230,8)</f>
        <v/>
      </c>
      <c r="L230" s="4">
        <f>ROUND(0.9*F230+0.05*G230+0.05*H230,8)</f>
        <v/>
      </c>
    </row>
    <row r="231">
      <c r="A231" s="2" t="n">
        <v>44084</v>
      </c>
      <c r="B231" s="8" t="n">
        <v>2212.95</v>
      </c>
      <c r="C231" s="8" t="n">
        <v>119.7108</v>
      </c>
      <c r="D231" s="8" t="n">
        <v>0.35</v>
      </c>
      <c r="E231">
        <f>A231-A230</f>
        <v/>
      </c>
      <c r="F231" s="4">
        <f>ROUND(B231/B230-1,8)</f>
        <v/>
      </c>
      <c r="G231" s="4">
        <f>ROUND(C231/C230-1,8)</f>
        <v/>
      </c>
      <c r="H231" s="4">
        <f>ROUND(D231/100/(DATE(YEAR(A231)+1,1,1)-DATE(YEAR(A231),1,1))*E231,8)</f>
        <v/>
      </c>
      <c r="I231" s="4">
        <f>ROUND(I230*(1+F231),8)</f>
        <v/>
      </c>
      <c r="J231" s="4">
        <f>ROUND(J230*(1+G231),8)</f>
        <v/>
      </c>
      <c r="K231" s="4">
        <f>ROUND(K230+H231,8)</f>
        <v/>
      </c>
      <c r="L231" s="4">
        <f>ROUND(0.9*F231+0.05*G231+0.05*H231,8)</f>
        <v/>
      </c>
    </row>
    <row r="232">
      <c r="A232" s="2" t="n">
        <v>44085</v>
      </c>
      <c r="B232" s="8" t="n">
        <v>2249.07</v>
      </c>
      <c r="C232" s="8" t="n">
        <v>119.6162</v>
      </c>
      <c r="D232" s="8" t="n">
        <v>0.35</v>
      </c>
      <c r="E232">
        <f>A232-A231</f>
        <v/>
      </c>
      <c r="F232" s="4">
        <f>ROUND(B232/B231-1,8)</f>
        <v/>
      </c>
      <c r="G232" s="4">
        <f>ROUND(C232/C231-1,8)</f>
        <v/>
      </c>
      <c r="H232" s="4">
        <f>ROUND(D232/100/(DATE(YEAR(A232)+1,1,1)-DATE(YEAR(A232),1,1))*E232,8)</f>
        <v/>
      </c>
      <c r="I232" s="4">
        <f>ROUND(I231*(1+F232),8)</f>
        <v/>
      </c>
      <c r="J232" s="4">
        <f>ROUND(J231*(1+G232),8)</f>
        <v/>
      </c>
      <c r="K232" s="4">
        <f>ROUND(K231+H232,8)</f>
        <v/>
      </c>
      <c r="L232" s="4">
        <f>ROUND(0.9*F232+0.05*G232+0.05*H232,8)</f>
        <v/>
      </c>
    </row>
    <row r="233">
      <c r="A233" s="2" t="n">
        <v>44088</v>
      </c>
      <c r="B233" s="8" t="n">
        <v>2299.15</v>
      </c>
      <c r="C233" s="8" t="n">
        <v>119.5672</v>
      </c>
      <c r="D233" s="8" t="n">
        <v>0.35</v>
      </c>
      <c r="E233">
        <f>A233-A232</f>
        <v/>
      </c>
      <c r="F233" s="4">
        <f>ROUND(B233/B232-1,8)</f>
        <v/>
      </c>
      <c r="G233" s="4">
        <f>ROUND(C233/C232-1,8)</f>
        <v/>
      </c>
      <c r="H233" s="4">
        <f>ROUND(D233/100/(DATE(YEAR(A233)+1,1,1)-DATE(YEAR(A233),1,1))*E233,8)</f>
        <v/>
      </c>
      <c r="I233" s="4">
        <f>ROUND(I232*(1+F233),8)</f>
        <v/>
      </c>
      <c r="J233" s="4">
        <f>ROUND(J232*(1+G233),8)</f>
        <v/>
      </c>
      <c r="K233" s="4">
        <f>ROUND(K232+H233,8)</f>
        <v/>
      </c>
      <c r="L233" s="4">
        <f>ROUND(0.9*F233+0.05*G233+0.05*H233,8)</f>
        <v/>
      </c>
    </row>
    <row r="234">
      <c r="A234" s="2" t="n">
        <v>44089</v>
      </c>
      <c r="B234" s="8" t="n">
        <v>2304.16</v>
      </c>
      <c r="C234" s="8" t="n">
        <v>119.6095</v>
      </c>
      <c r="D234" s="8" t="n">
        <v>0.35</v>
      </c>
      <c r="E234">
        <f>A234-A233</f>
        <v/>
      </c>
      <c r="F234" s="4">
        <f>ROUND(B234/B233-1,8)</f>
        <v/>
      </c>
      <c r="G234" s="4">
        <f>ROUND(C234/C233-1,8)</f>
        <v/>
      </c>
      <c r="H234" s="4">
        <f>ROUND(D234/100/(DATE(YEAR(A234)+1,1,1)-DATE(YEAR(A234),1,1))*E234,8)</f>
        <v/>
      </c>
      <c r="I234" s="4">
        <f>ROUND(I233*(1+F234),8)</f>
        <v/>
      </c>
      <c r="J234" s="4">
        <f>ROUND(J233*(1+G234),8)</f>
        <v/>
      </c>
      <c r="K234" s="4">
        <f>ROUND(K233+H234,8)</f>
        <v/>
      </c>
      <c r="L234" s="4">
        <f>ROUND(0.9*F234+0.05*G234+0.05*H234,8)</f>
        <v/>
      </c>
    </row>
    <row r="235">
      <c r="A235" s="2" t="n">
        <v>44090</v>
      </c>
      <c r="B235" s="8" t="n">
        <v>2282.96</v>
      </c>
      <c r="C235" s="8" t="n">
        <v>119.6262</v>
      </c>
      <c r="D235" s="8" t="n">
        <v>0.35</v>
      </c>
      <c r="E235">
        <f>A235-A234</f>
        <v/>
      </c>
      <c r="F235" s="4">
        <f>ROUND(B235/B234-1,8)</f>
        <v/>
      </c>
      <c r="G235" s="4">
        <f>ROUND(C235/C234-1,8)</f>
        <v/>
      </c>
      <c r="H235" s="4">
        <f>ROUND(D235/100/(DATE(YEAR(A235)+1,1,1)-DATE(YEAR(A235),1,1))*E235,8)</f>
        <v/>
      </c>
      <c r="I235" s="4">
        <f>ROUND(I234*(1+F235),8)</f>
        <v/>
      </c>
      <c r="J235" s="4">
        <f>ROUND(J234*(1+G235),8)</f>
        <v/>
      </c>
      <c r="K235" s="4">
        <f>ROUND(K234+H235,8)</f>
        <v/>
      </c>
      <c r="L235" s="4">
        <f>ROUND(0.9*F235+0.05*G235+0.05*H235,8)</f>
        <v/>
      </c>
    </row>
    <row r="236">
      <c r="A236" s="2" t="n">
        <v>44091</v>
      </c>
      <c r="B236" s="8" t="n">
        <v>2288.22</v>
      </c>
      <c r="C236" s="8" t="n">
        <v>119.6024</v>
      </c>
      <c r="D236" s="8" t="n">
        <v>0.35</v>
      </c>
      <c r="E236">
        <f>A236-A235</f>
        <v/>
      </c>
      <c r="F236" s="4">
        <f>ROUND(B236/B235-1,8)</f>
        <v/>
      </c>
      <c r="G236" s="4">
        <f>ROUND(C236/C235-1,8)</f>
        <v/>
      </c>
      <c r="H236" s="4">
        <f>ROUND(D236/100/(DATE(YEAR(A236)+1,1,1)-DATE(YEAR(A236),1,1))*E236,8)</f>
        <v/>
      </c>
      <c r="I236" s="4">
        <f>ROUND(I235*(1+F236),8)</f>
        <v/>
      </c>
      <c r="J236" s="4">
        <f>ROUND(J235*(1+G236),8)</f>
        <v/>
      </c>
      <c r="K236" s="4">
        <f>ROUND(K235+H236,8)</f>
        <v/>
      </c>
      <c r="L236" s="4">
        <f>ROUND(0.9*F236+0.05*G236+0.05*H236,8)</f>
        <v/>
      </c>
    </row>
    <row r="237">
      <c r="A237" s="2" t="n">
        <v>44092</v>
      </c>
      <c r="B237" s="8" t="n">
        <v>2316.28</v>
      </c>
      <c r="C237" s="8" t="n">
        <v>119.6014</v>
      </c>
      <c r="D237" s="8" t="n">
        <v>0.35</v>
      </c>
      <c r="E237">
        <f>A237-A236</f>
        <v/>
      </c>
      <c r="F237" s="4">
        <f>ROUND(B237/B236-1,8)</f>
        <v/>
      </c>
      <c r="G237" s="4">
        <f>ROUND(C237/C236-1,8)</f>
        <v/>
      </c>
      <c r="H237" s="4">
        <f>ROUND(D237/100/(DATE(YEAR(A237)+1,1,1)-DATE(YEAR(A237),1,1))*E237,8)</f>
        <v/>
      </c>
      <c r="I237" s="4">
        <f>ROUND(I236*(1+F237),8)</f>
        <v/>
      </c>
      <c r="J237" s="4">
        <f>ROUND(J236*(1+G237),8)</f>
        <v/>
      </c>
      <c r="K237" s="4">
        <f>ROUND(K236+H237,8)</f>
        <v/>
      </c>
      <c r="L237" s="4">
        <f>ROUND(0.9*F237+0.05*G237+0.05*H237,8)</f>
        <v/>
      </c>
    </row>
    <row r="238">
      <c r="A238" s="2" t="n">
        <v>44095</v>
      </c>
      <c r="B238" s="8" t="n">
        <v>2314.13</v>
      </c>
      <c r="C238" s="8" t="n">
        <v>119.6359</v>
      </c>
      <c r="D238" s="8" t="n">
        <v>0.35</v>
      </c>
      <c r="E238">
        <f>A238-A237</f>
        <v/>
      </c>
      <c r="F238" s="4">
        <f>ROUND(B238/B237-1,8)</f>
        <v/>
      </c>
      <c r="G238" s="4">
        <f>ROUND(C238/C237-1,8)</f>
        <v/>
      </c>
      <c r="H238" s="4">
        <f>ROUND(D238/100/(DATE(YEAR(A238)+1,1,1)-DATE(YEAR(A238),1,1))*E238,8)</f>
        <v/>
      </c>
      <c r="I238" s="4">
        <f>ROUND(I237*(1+F238),8)</f>
        <v/>
      </c>
      <c r="J238" s="4">
        <f>ROUND(J237*(1+G238),8)</f>
        <v/>
      </c>
      <c r="K238" s="4">
        <f>ROUND(K237+H238,8)</f>
        <v/>
      </c>
      <c r="L238" s="4">
        <f>ROUND(0.9*F238+0.05*G238+0.05*H238,8)</f>
        <v/>
      </c>
    </row>
    <row r="239">
      <c r="A239" s="2" t="n">
        <v>44096</v>
      </c>
      <c r="B239" s="8" t="n">
        <v>2281.62</v>
      </c>
      <c r="C239" s="8" t="n">
        <v>119.6827</v>
      </c>
      <c r="D239" s="8" t="n">
        <v>0.35</v>
      </c>
      <c r="E239">
        <f>A239-A238</f>
        <v/>
      </c>
      <c r="F239" s="4">
        <f>ROUND(B239/B238-1,8)</f>
        <v/>
      </c>
      <c r="G239" s="4">
        <f>ROUND(C239/C238-1,8)</f>
        <v/>
      </c>
      <c r="H239" s="4">
        <f>ROUND(D239/100/(DATE(YEAR(A239)+1,1,1)-DATE(YEAR(A239),1,1))*E239,8)</f>
        <v/>
      </c>
      <c r="I239" s="4">
        <f>ROUND(I238*(1+F239),8)</f>
        <v/>
      </c>
      <c r="J239" s="4">
        <f>ROUND(J238*(1+G239),8)</f>
        <v/>
      </c>
      <c r="K239" s="4">
        <f>ROUND(K238+H239,8)</f>
        <v/>
      </c>
      <c r="L239" s="4">
        <f>ROUND(0.9*F239+0.05*G239+0.05*H239,8)</f>
        <v/>
      </c>
    </row>
    <row r="240">
      <c r="A240" s="2" t="n">
        <v>44097</v>
      </c>
      <c r="B240" s="8" t="n">
        <v>2298.95</v>
      </c>
      <c r="C240" s="8" t="n">
        <v>119.6723</v>
      </c>
      <c r="D240" s="8" t="n">
        <v>0.35</v>
      </c>
      <c r="E240">
        <f>A240-A239</f>
        <v/>
      </c>
      <c r="F240" s="4">
        <f>ROUND(B240/B239-1,8)</f>
        <v/>
      </c>
      <c r="G240" s="4">
        <f>ROUND(C240/C239-1,8)</f>
        <v/>
      </c>
      <c r="H240" s="4">
        <f>ROUND(D240/100/(DATE(YEAR(A240)+1,1,1)-DATE(YEAR(A240),1,1))*E240,8)</f>
        <v/>
      </c>
      <c r="I240" s="4">
        <f>ROUND(I239*(1+F240),8)</f>
        <v/>
      </c>
      <c r="J240" s="4">
        <f>ROUND(J239*(1+G240),8)</f>
        <v/>
      </c>
      <c r="K240" s="4">
        <f>ROUND(K239+H240,8)</f>
        <v/>
      </c>
      <c r="L240" s="4">
        <f>ROUND(0.9*F240+0.05*G240+0.05*H240,8)</f>
        <v/>
      </c>
    </row>
    <row r="241">
      <c r="A241" s="2" t="n">
        <v>44098</v>
      </c>
      <c r="B241" s="8" t="n">
        <v>2227.64</v>
      </c>
      <c r="C241" s="8" t="n">
        <v>119.6909</v>
      </c>
      <c r="D241" s="8" t="n">
        <v>0.35</v>
      </c>
      <c r="E241">
        <f>A241-A240</f>
        <v/>
      </c>
      <c r="F241" s="4">
        <f>ROUND(B241/B240-1,8)</f>
        <v/>
      </c>
      <c r="G241" s="4">
        <f>ROUND(C241/C240-1,8)</f>
        <v/>
      </c>
      <c r="H241" s="4">
        <f>ROUND(D241/100/(DATE(YEAR(A241)+1,1,1)-DATE(YEAR(A241),1,1))*E241,8)</f>
        <v/>
      </c>
      <c r="I241" s="4">
        <f>ROUND(I240*(1+F241),8)</f>
        <v/>
      </c>
      <c r="J241" s="4">
        <f>ROUND(J240*(1+G241),8)</f>
        <v/>
      </c>
      <c r="K241" s="4">
        <f>ROUND(K240+H241,8)</f>
        <v/>
      </c>
      <c r="L241" s="4">
        <f>ROUND(0.9*F241+0.05*G241+0.05*H241,8)</f>
        <v/>
      </c>
    </row>
    <row r="242">
      <c r="A242" s="2" t="n">
        <v>44099</v>
      </c>
      <c r="B242" s="8" t="n">
        <v>2212.18</v>
      </c>
      <c r="C242" s="8" t="n">
        <v>119.5944</v>
      </c>
      <c r="D242" s="8" t="n">
        <v>0.35</v>
      </c>
      <c r="E242">
        <f>A242-A241</f>
        <v/>
      </c>
      <c r="F242" s="4">
        <f>ROUND(B242/B241-1,8)</f>
        <v/>
      </c>
      <c r="G242" s="4">
        <f>ROUND(C242/C241-1,8)</f>
        <v/>
      </c>
      <c r="H242" s="4">
        <f>ROUND(D242/100/(DATE(YEAR(A242)+1,1,1)-DATE(YEAR(A242),1,1))*E242,8)</f>
        <v/>
      </c>
      <c r="I242" s="4">
        <f>ROUND(I241*(1+F242),8)</f>
        <v/>
      </c>
      <c r="J242" s="4">
        <f>ROUND(J241*(1+G242),8)</f>
        <v/>
      </c>
      <c r="K242" s="4">
        <f>ROUND(K241+H242,8)</f>
        <v/>
      </c>
      <c r="L242" s="4">
        <f>ROUND(0.9*F242+0.05*G242+0.05*H242,8)</f>
        <v/>
      </c>
    </row>
    <row r="243">
      <c r="A243" s="2" t="n">
        <v>44102</v>
      </c>
      <c r="B243" s="8" t="n">
        <v>2173.85</v>
      </c>
      <c r="C243" s="8" t="n">
        <v>119.5929</v>
      </c>
      <c r="D243" s="8" t="n">
        <v>0.35</v>
      </c>
      <c r="E243">
        <f>A243-A242</f>
        <v/>
      </c>
      <c r="F243" s="4">
        <f>ROUND(B243/B242-1,8)</f>
        <v/>
      </c>
      <c r="G243" s="4">
        <f>ROUND(C243/C242-1,8)</f>
        <v/>
      </c>
      <c r="H243" s="4">
        <f>ROUND(D243/100/(DATE(YEAR(A243)+1,1,1)-DATE(YEAR(A243),1,1))*E243,8)</f>
        <v/>
      </c>
      <c r="I243" s="4">
        <f>ROUND(I242*(1+F243),8)</f>
        <v/>
      </c>
      <c r="J243" s="4">
        <f>ROUND(J242*(1+G243),8)</f>
        <v/>
      </c>
      <c r="K243" s="4">
        <f>ROUND(K242+H243,8)</f>
        <v/>
      </c>
      <c r="L243" s="4">
        <f>ROUND(0.9*F243+0.05*G243+0.05*H243,8)</f>
        <v/>
      </c>
    </row>
    <row r="244">
      <c r="A244" s="2" t="n">
        <v>44103</v>
      </c>
      <c r="B244" s="8" t="n">
        <v>2194.16</v>
      </c>
      <c r="C244" s="8" t="n">
        <v>119.5713</v>
      </c>
      <c r="D244" s="8" t="n">
        <v>0.35</v>
      </c>
      <c r="E244">
        <f>A244-A243</f>
        <v/>
      </c>
      <c r="F244" s="4">
        <f>ROUND(B244/B243-1,8)</f>
        <v/>
      </c>
      <c r="G244" s="4">
        <f>ROUND(C244/C243-1,8)</f>
        <v/>
      </c>
      <c r="H244" s="4">
        <f>ROUND(D244/100/(DATE(YEAR(A244)+1,1,1)-DATE(YEAR(A244),1,1))*E244,8)</f>
        <v/>
      </c>
      <c r="I244" s="4">
        <f>ROUND(I243*(1+F244),8)</f>
        <v/>
      </c>
      <c r="J244" s="4">
        <f>ROUND(J243*(1+G244),8)</f>
        <v/>
      </c>
      <c r="K244" s="4">
        <f>ROUND(K243+H244,8)</f>
        <v/>
      </c>
      <c r="L244" s="4">
        <f>ROUND(0.9*F244+0.05*G244+0.05*H244,8)</f>
        <v/>
      </c>
    </row>
    <row r="245">
      <c r="A245" s="2" t="n">
        <v>44104</v>
      </c>
      <c r="B245" s="8" t="n">
        <v>2191.64</v>
      </c>
      <c r="C245" s="8" t="n">
        <v>119.5184</v>
      </c>
      <c r="D245" s="8" t="n">
        <v>0.35</v>
      </c>
      <c r="E245">
        <f>A245-A244</f>
        <v/>
      </c>
      <c r="F245" s="4">
        <f>ROUND(B245/B244-1,8)</f>
        <v/>
      </c>
      <c r="G245" s="4">
        <f>ROUND(C245/C244-1,8)</f>
        <v/>
      </c>
      <c r="H245" s="4">
        <f>ROUND(D245/100/(DATE(YEAR(A245)+1,1,1)-DATE(YEAR(A245),1,1))*E245,8)</f>
        <v/>
      </c>
      <c r="I245" s="4">
        <f>ROUND(I244*(1+F245),8)</f>
        <v/>
      </c>
      <c r="J245" s="4">
        <f>ROUND(J244*(1+G245),8)</f>
        <v/>
      </c>
      <c r="K245" s="4">
        <f>ROUND(K244+H245,8)</f>
        <v/>
      </c>
      <c r="L245" s="4">
        <f>ROUND(0.9*F245+0.05*G245+0.05*H245,8)</f>
        <v/>
      </c>
    </row>
    <row r="246">
      <c r="A246" s="2" t="n">
        <v>44113</v>
      </c>
      <c r="B246" s="8" t="n">
        <v>2266.8</v>
      </c>
      <c r="C246" s="8" t="n">
        <v>119.4819</v>
      </c>
      <c r="D246" s="8" t="n">
        <v>0.35</v>
      </c>
      <c r="E246">
        <f>A246-A245</f>
        <v/>
      </c>
      <c r="F246" s="4">
        <f>ROUND(B246/B245-1,8)</f>
        <v/>
      </c>
      <c r="G246" s="4">
        <f>ROUND(C246/C245-1,8)</f>
        <v/>
      </c>
      <c r="H246" s="4">
        <f>ROUND(D246/100/(DATE(YEAR(A246)+1,1,1)-DATE(YEAR(A246),1,1))*E246,8)</f>
        <v/>
      </c>
      <c r="I246" s="4">
        <f>ROUND(I245*(1+F246),8)</f>
        <v/>
      </c>
      <c r="J246" s="4">
        <f>ROUND(J245*(1+G246),8)</f>
        <v/>
      </c>
      <c r="K246" s="4">
        <f>ROUND(K245+H246,8)</f>
        <v/>
      </c>
      <c r="L246" s="4">
        <f>ROUND(0.9*F246+0.05*G246+0.05*H246,8)</f>
        <v/>
      </c>
    </row>
    <row r="247">
      <c r="A247" s="2" t="n">
        <v>44116</v>
      </c>
      <c r="B247" s="8" t="n">
        <v>2343.83</v>
      </c>
      <c r="C247" s="8" t="n">
        <v>119.4737</v>
      </c>
      <c r="D247" s="8" t="n">
        <v>0.35</v>
      </c>
      <c r="E247">
        <f>A247-A246</f>
        <v/>
      </c>
      <c r="F247" s="4">
        <f>ROUND(B247/B246-1,8)</f>
        <v/>
      </c>
      <c r="G247" s="4">
        <f>ROUND(C247/C246-1,8)</f>
        <v/>
      </c>
      <c r="H247" s="4">
        <f>ROUND(D247/100/(DATE(YEAR(A247)+1,1,1)-DATE(YEAR(A247),1,1))*E247,8)</f>
        <v/>
      </c>
      <c r="I247" s="4">
        <f>ROUND(I246*(1+F247),8)</f>
        <v/>
      </c>
      <c r="J247" s="4">
        <f>ROUND(J246*(1+G247),8)</f>
        <v/>
      </c>
      <c r="K247" s="4">
        <f>ROUND(K246+H247,8)</f>
        <v/>
      </c>
      <c r="L247" s="4">
        <f>ROUND(0.9*F247+0.05*G247+0.05*H247,8)</f>
        <v/>
      </c>
    </row>
    <row r="248">
      <c r="A248" s="2" t="n">
        <v>44117</v>
      </c>
      <c r="B248" s="8" t="n">
        <v>2359.53</v>
      </c>
      <c r="C248" s="8" t="n">
        <v>119.4674</v>
      </c>
      <c r="D248" s="8" t="n">
        <v>0.35</v>
      </c>
      <c r="E248">
        <f>A248-A247</f>
        <v/>
      </c>
      <c r="F248" s="4">
        <f>ROUND(B248/B247-1,8)</f>
        <v/>
      </c>
      <c r="G248" s="4">
        <f>ROUND(C248/C247-1,8)</f>
        <v/>
      </c>
      <c r="H248" s="4">
        <f>ROUND(D248/100/(DATE(YEAR(A248)+1,1,1)-DATE(YEAR(A248),1,1))*E248,8)</f>
        <v/>
      </c>
      <c r="I248" s="4">
        <f>ROUND(I247*(1+F248),8)</f>
        <v/>
      </c>
      <c r="J248" s="4">
        <f>ROUND(J247*(1+G248),8)</f>
        <v/>
      </c>
      <c r="K248" s="4">
        <f>ROUND(K247+H248,8)</f>
        <v/>
      </c>
      <c r="L248" s="4">
        <f>ROUND(0.9*F248+0.05*G248+0.05*H248,8)</f>
        <v/>
      </c>
    </row>
    <row r="249">
      <c r="A249" s="2" t="n">
        <v>44118</v>
      </c>
      <c r="B249" s="8" t="n">
        <v>2351.96</v>
      </c>
      <c r="C249" s="8" t="n">
        <v>119.4459</v>
      </c>
      <c r="D249" s="8" t="n">
        <v>0.35</v>
      </c>
      <c r="E249">
        <f>A249-A248</f>
        <v/>
      </c>
      <c r="F249" s="4">
        <f>ROUND(B249/B248-1,8)</f>
        <v/>
      </c>
      <c r="G249" s="4">
        <f>ROUND(C249/C248-1,8)</f>
        <v/>
      </c>
      <c r="H249" s="4">
        <f>ROUND(D249/100/(DATE(YEAR(A249)+1,1,1)-DATE(YEAR(A249),1,1))*E249,8)</f>
        <v/>
      </c>
      <c r="I249" s="4">
        <f>ROUND(I248*(1+F249),8)</f>
        <v/>
      </c>
      <c r="J249" s="4">
        <f>ROUND(J248*(1+G249),8)</f>
        <v/>
      </c>
      <c r="K249" s="4">
        <f>ROUND(K248+H249,8)</f>
        <v/>
      </c>
      <c r="L249" s="4">
        <f>ROUND(0.9*F249+0.05*G249+0.05*H249,8)</f>
        <v/>
      </c>
    </row>
    <row r="250">
      <c r="A250" s="2" t="n">
        <v>44119</v>
      </c>
      <c r="B250" s="8" t="n">
        <v>2327.5</v>
      </c>
      <c r="C250" s="8" t="n">
        <v>119.4315</v>
      </c>
      <c r="D250" s="8" t="n">
        <v>0.35</v>
      </c>
      <c r="E250">
        <f>A250-A249</f>
        <v/>
      </c>
      <c r="F250" s="4">
        <f>ROUND(B250/B249-1,8)</f>
        <v/>
      </c>
      <c r="G250" s="4">
        <f>ROUND(C250/C249-1,8)</f>
        <v/>
      </c>
      <c r="H250" s="4">
        <f>ROUND(D250/100/(DATE(YEAR(A250)+1,1,1)-DATE(YEAR(A250),1,1))*E250,8)</f>
        <v/>
      </c>
      <c r="I250" s="4">
        <f>ROUND(I249*(1+F250),8)</f>
        <v/>
      </c>
      <c r="J250" s="4">
        <f>ROUND(J249*(1+G250),8)</f>
        <v/>
      </c>
      <c r="K250" s="4">
        <f>ROUND(K249+H250,8)</f>
        <v/>
      </c>
      <c r="L250" s="4">
        <f>ROUND(0.9*F250+0.05*G250+0.05*H250,8)</f>
        <v/>
      </c>
    </row>
    <row r="251">
      <c r="A251" s="2" t="n">
        <v>44120</v>
      </c>
      <c r="B251" s="8" t="n">
        <v>2335.47</v>
      </c>
      <c r="C251" s="8" t="n">
        <v>119.424</v>
      </c>
      <c r="D251" s="8" t="n">
        <v>0.35</v>
      </c>
      <c r="E251">
        <f>A251-A250</f>
        <v/>
      </c>
      <c r="F251" s="4">
        <f>ROUND(B251/B250-1,8)</f>
        <v/>
      </c>
      <c r="G251" s="4">
        <f>ROUND(C251/C250-1,8)</f>
        <v/>
      </c>
      <c r="H251" s="4">
        <f>ROUND(D251/100/(DATE(YEAR(A251)+1,1,1)-DATE(YEAR(A251),1,1))*E251,8)</f>
        <v/>
      </c>
      <c r="I251" s="4">
        <f>ROUND(I250*(1+F251),8)</f>
        <v/>
      </c>
      <c r="J251" s="4">
        <f>ROUND(J250*(1+G251),8)</f>
        <v/>
      </c>
      <c r="K251" s="4">
        <f>ROUND(K250+H251,8)</f>
        <v/>
      </c>
      <c r="L251" s="4">
        <f>ROUND(0.9*F251+0.05*G251+0.05*H251,8)</f>
        <v/>
      </c>
    </row>
    <row r="252">
      <c r="A252" s="2" t="n">
        <v>44123</v>
      </c>
      <c r="B252" s="8" t="n">
        <v>2324.45</v>
      </c>
      <c r="C252" s="8" t="n">
        <v>119.4767</v>
      </c>
      <c r="D252" s="8" t="n">
        <v>0.35</v>
      </c>
      <c r="E252">
        <f>A252-A251</f>
        <v/>
      </c>
      <c r="F252" s="4">
        <f>ROUND(B252/B251-1,8)</f>
        <v/>
      </c>
      <c r="G252" s="4">
        <f>ROUND(C252/C251-1,8)</f>
        <v/>
      </c>
      <c r="H252" s="4">
        <f>ROUND(D252/100/(DATE(YEAR(A252)+1,1,1)-DATE(YEAR(A252),1,1))*E252,8)</f>
        <v/>
      </c>
      <c r="I252" s="4">
        <f>ROUND(I251*(1+F252),8)</f>
        <v/>
      </c>
      <c r="J252" s="4">
        <f>ROUND(J251*(1+G252),8)</f>
        <v/>
      </c>
      <c r="K252" s="4">
        <f>ROUND(K251+H252,8)</f>
        <v/>
      </c>
      <c r="L252" s="4">
        <f>ROUND(0.9*F252+0.05*G252+0.05*H252,8)</f>
        <v/>
      </c>
    </row>
    <row r="253">
      <c r="A253" s="2" t="n">
        <v>44124</v>
      </c>
      <c r="B253" s="8" t="n">
        <v>2350.07</v>
      </c>
      <c r="C253" s="8" t="n">
        <v>119.5104</v>
      </c>
      <c r="D253" s="8" t="n">
        <v>0.35</v>
      </c>
      <c r="E253">
        <f>A253-A252</f>
        <v/>
      </c>
      <c r="F253" s="4">
        <f>ROUND(B253/B252-1,8)</f>
        <v/>
      </c>
      <c r="G253" s="4">
        <f>ROUND(C253/C252-1,8)</f>
        <v/>
      </c>
      <c r="H253" s="4">
        <f>ROUND(D253/100/(DATE(YEAR(A253)+1,1,1)-DATE(YEAR(A253),1,1))*E253,8)</f>
        <v/>
      </c>
      <c r="I253" s="4">
        <f>ROUND(I252*(1+F253),8)</f>
        <v/>
      </c>
      <c r="J253" s="4">
        <f>ROUND(J252*(1+G253),8)</f>
        <v/>
      </c>
      <c r="K253" s="4">
        <f>ROUND(K252+H253,8)</f>
        <v/>
      </c>
      <c r="L253" s="4">
        <f>ROUND(0.9*F253+0.05*G253+0.05*H253,8)</f>
        <v/>
      </c>
    </row>
    <row r="254">
      <c r="A254" s="2" t="n">
        <v>44125</v>
      </c>
      <c r="B254" s="8" t="n">
        <v>2313.71</v>
      </c>
      <c r="C254" s="8" t="n">
        <v>119.5812</v>
      </c>
      <c r="D254" s="8" t="n">
        <v>0.35</v>
      </c>
      <c r="E254">
        <f>A254-A253</f>
        <v/>
      </c>
      <c r="F254" s="4">
        <f>ROUND(B254/B253-1,8)</f>
        <v/>
      </c>
      <c r="G254" s="4">
        <f>ROUND(C254/C253-1,8)</f>
        <v/>
      </c>
      <c r="H254" s="4">
        <f>ROUND(D254/100/(DATE(YEAR(A254)+1,1,1)-DATE(YEAR(A254),1,1))*E254,8)</f>
        <v/>
      </c>
      <c r="I254" s="4">
        <f>ROUND(I253*(1+F254),8)</f>
        <v/>
      </c>
      <c r="J254" s="4">
        <f>ROUND(J253*(1+G254),8)</f>
        <v/>
      </c>
      <c r="K254" s="4">
        <f>ROUND(K253+H254,8)</f>
        <v/>
      </c>
      <c r="L254" s="4">
        <f>ROUND(0.9*F254+0.05*G254+0.05*H254,8)</f>
        <v/>
      </c>
    </row>
    <row r="255">
      <c r="A255" s="2" t="n">
        <v>44126</v>
      </c>
      <c r="B255" s="8" t="n">
        <v>2308.14</v>
      </c>
      <c r="C255" s="8" t="n">
        <v>119.658</v>
      </c>
      <c r="D255" s="8" t="n">
        <v>0.35</v>
      </c>
      <c r="E255">
        <f>A255-A254</f>
        <v/>
      </c>
      <c r="F255" s="4">
        <f>ROUND(B255/B254-1,8)</f>
        <v/>
      </c>
      <c r="G255" s="4">
        <f>ROUND(C255/C254-1,8)</f>
        <v/>
      </c>
      <c r="H255" s="4">
        <f>ROUND(D255/100/(DATE(YEAR(A255)+1,1,1)-DATE(YEAR(A255),1,1))*E255,8)</f>
        <v/>
      </c>
      <c r="I255" s="4">
        <f>ROUND(I254*(1+F255),8)</f>
        <v/>
      </c>
      <c r="J255" s="4">
        <f>ROUND(J254*(1+G255),8)</f>
        <v/>
      </c>
      <c r="K255" s="4">
        <f>ROUND(K254+H255,8)</f>
        <v/>
      </c>
      <c r="L255" s="4">
        <f>ROUND(0.9*F255+0.05*G255+0.05*H255,8)</f>
        <v/>
      </c>
    </row>
    <row r="256">
      <c r="A256" s="2" t="n">
        <v>44127</v>
      </c>
      <c r="B256" s="8" t="n">
        <v>2274.65</v>
      </c>
      <c r="C256" s="8" t="n">
        <v>119.6443</v>
      </c>
      <c r="D256" s="8" t="n">
        <v>0.35</v>
      </c>
      <c r="E256">
        <f>A256-A255</f>
        <v/>
      </c>
      <c r="F256" s="4">
        <f>ROUND(B256/B255-1,8)</f>
        <v/>
      </c>
      <c r="G256" s="4">
        <f>ROUND(C256/C255-1,8)</f>
        <v/>
      </c>
      <c r="H256" s="4">
        <f>ROUND(D256/100/(DATE(YEAR(A256)+1,1,1)-DATE(YEAR(A256),1,1))*E256,8)</f>
        <v/>
      </c>
      <c r="I256" s="4">
        <f>ROUND(I255*(1+F256),8)</f>
        <v/>
      </c>
      <c r="J256" s="4">
        <f>ROUND(J255*(1+G256),8)</f>
        <v/>
      </c>
      <c r="K256" s="4">
        <f>ROUND(K255+H256,8)</f>
        <v/>
      </c>
      <c r="L256" s="4">
        <f>ROUND(0.9*F256+0.05*G256+0.05*H256,8)</f>
        <v/>
      </c>
    </row>
    <row r="257">
      <c r="A257" s="2" t="n">
        <v>44130</v>
      </c>
      <c r="B257" s="8" t="n">
        <v>2288.19</v>
      </c>
      <c r="C257" s="8" t="n">
        <v>119.631</v>
      </c>
      <c r="D257" s="8" t="n">
        <v>0.35</v>
      </c>
      <c r="E257">
        <f>A257-A256</f>
        <v/>
      </c>
      <c r="F257" s="4">
        <f>ROUND(B257/B256-1,8)</f>
        <v/>
      </c>
      <c r="G257" s="4">
        <f>ROUND(C257/C256-1,8)</f>
        <v/>
      </c>
      <c r="H257" s="4">
        <f>ROUND(D257/100/(DATE(YEAR(A257)+1,1,1)-DATE(YEAR(A257),1,1))*E257,8)</f>
        <v/>
      </c>
      <c r="I257" s="4">
        <f>ROUND(I256*(1+F257),8)</f>
        <v/>
      </c>
      <c r="J257" s="4">
        <f>ROUND(J256*(1+G257),8)</f>
        <v/>
      </c>
      <c r="K257" s="4">
        <f>ROUND(K256+H257,8)</f>
        <v/>
      </c>
      <c r="L257" s="4">
        <f>ROUND(0.9*F257+0.05*G257+0.05*H257,8)</f>
        <v/>
      </c>
    </row>
    <row r="258">
      <c r="A258" s="2" t="n">
        <v>44131</v>
      </c>
      <c r="B258" s="8" t="n">
        <v>2289.09</v>
      </c>
      <c r="C258" s="8" t="n">
        <v>119.681</v>
      </c>
      <c r="D258" s="8" t="n">
        <v>0.35</v>
      </c>
      <c r="E258">
        <f>A258-A257</f>
        <v/>
      </c>
      <c r="F258" s="4">
        <f>ROUND(B258/B257-1,8)</f>
        <v/>
      </c>
      <c r="G258" s="4">
        <f>ROUND(C258/C257-1,8)</f>
        <v/>
      </c>
      <c r="H258" s="4">
        <f>ROUND(D258/100/(DATE(YEAR(A258)+1,1,1)-DATE(YEAR(A258),1,1))*E258,8)</f>
        <v/>
      </c>
      <c r="I258" s="4">
        <f>ROUND(I257*(1+F258),8)</f>
        <v/>
      </c>
      <c r="J258" s="4">
        <f>ROUND(J257*(1+G258),8)</f>
        <v/>
      </c>
      <c r="K258" s="4">
        <f>ROUND(K257+H258,8)</f>
        <v/>
      </c>
      <c r="L258" s="4">
        <f>ROUND(0.9*F258+0.05*G258+0.05*H258,8)</f>
        <v/>
      </c>
    </row>
    <row r="259">
      <c r="A259" s="2" t="n">
        <v>44132</v>
      </c>
      <c r="B259" s="8" t="n">
        <v>2291.71</v>
      </c>
      <c r="C259" s="8" t="n">
        <v>119.6653</v>
      </c>
      <c r="D259" s="8" t="n">
        <v>0.35</v>
      </c>
      <c r="E259">
        <f>A259-A258</f>
        <v/>
      </c>
      <c r="F259" s="4">
        <f>ROUND(B259/B258-1,8)</f>
        <v/>
      </c>
      <c r="G259" s="4">
        <f>ROUND(C259/C258-1,8)</f>
        <v/>
      </c>
      <c r="H259" s="4">
        <f>ROUND(D259/100/(DATE(YEAR(A259)+1,1,1)-DATE(YEAR(A259),1,1))*E259,8)</f>
        <v/>
      </c>
      <c r="I259" s="4">
        <f>ROUND(I258*(1+F259),8)</f>
        <v/>
      </c>
      <c r="J259" s="4">
        <f>ROUND(J258*(1+G259),8)</f>
        <v/>
      </c>
      <c r="K259" s="4">
        <f>ROUND(K258+H259,8)</f>
        <v/>
      </c>
      <c r="L259" s="4">
        <f>ROUND(0.9*F259+0.05*G259+0.05*H259,8)</f>
        <v/>
      </c>
    </row>
    <row r="260">
      <c r="A260" s="2" t="n">
        <v>44133</v>
      </c>
      <c r="B260" s="8" t="n">
        <v>2284.28</v>
      </c>
      <c r="C260" s="8" t="n">
        <v>119.683</v>
      </c>
      <c r="D260" s="8" t="n">
        <v>0.35</v>
      </c>
      <c r="E260">
        <f>A260-A259</f>
        <v/>
      </c>
      <c r="F260" s="4">
        <f>ROUND(B260/B259-1,8)</f>
        <v/>
      </c>
      <c r="G260" s="4">
        <f>ROUND(C260/C259-1,8)</f>
        <v/>
      </c>
      <c r="H260" s="4">
        <f>ROUND(D260/100/(DATE(YEAR(A260)+1,1,1)-DATE(YEAR(A260),1,1))*E260,8)</f>
        <v/>
      </c>
      <c r="I260" s="4">
        <f>ROUND(I259*(1+F260),8)</f>
        <v/>
      </c>
      <c r="J260" s="4">
        <f>ROUND(J259*(1+G260),8)</f>
        <v/>
      </c>
      <c r="K260" s="4">
        <f>ROUND(K259+H260,8)</f>
        <v/>
      </c>
      <c r="L260" s="4">
        <f>ROUND(0.9*F260+0.05*G260+0.05*H260,8)</f>
        <v/>
      </c>
    </row>
    <row r="261">
      <c r="A261" s="2" t="n">
        <v>44134</v>
      </c>
      <c r="B261" s="8" t="n">
        <v>2210.34</v>
      </c>
      <c r="C261" s="8" t="n">
        <v>119.6957</v>
      </c>
      <c r="D261" s="8" t="n">
        <v>0.35</v>
      </c>
      <c r="E261">
        <f>A261-A260</f>
        <v/>
      </c>
      <c r="F261" s="4">
        <f>ROUND(B261/B260-1,8)</f>
        <v/>
      </c>
      <c r="G261" s="4">
        <f>ROUND(C261/C260-1,8)</f>
        <v/>
      </c>
      <c r="H261" s="4">
        <f>ROUND(D261/100/(DATE(YEAR(A261)+1,1,1)-DATE(YEAR(A261),1,1))*E261,8)</f>
        <v/>
      </c>
      <c r="I261" s="4">
        <f>ROUND(I260*(1+F261),8)</f>
        <v/>
      </c>
      <c r="J261" s="4">
        <f>ROUND(J260*(1+G261),8)</f>
        <v/>
      </c>
      <c r="K261" s="4">
        <f>ROUND(K260+H261,8)</f>
        <v/>
      </c>
      <c r="L261" s="4">
        <f>ROUND(0.9*F261+0.05*G261+0.05*H261,8)</f>
        <v/>
      </c>
    </row>
    <row r="262">
      <c r="A262" s="2" t="n">
        <v>44137</v>
      </c>
      <c r="B262" s="8" t="n">
        <v>2218.93</v>
      </c>
      <c r="C262" s="8" t="n">
        <v>119.7438</v>
      </c>
      <c r="D262" s="8" t="n">
        <v>0.35</v>
      </c>
      <c r="E262">
        <f>A262-A261</f>
        <v/>
      </c>
      <c r="F262" s="4">
        <f>ROUND(B262/B261-1,8)</f>
        <v/>
      </c>
      <c r="G262" s="4">
        <f>ROUND(C262/C261-1,8)</f>
        <v/>
      </c>
      <c r="H262" s="4">
        <f>ROUND(D262/100/(DATE(YEAR(A262)+1,1,1)-DATE(YEAR(A262),1,1))*E262,8)</f>
        <v/>
      </c>
      <c r="I262" s="4">
        <f>ROUND(I261*(1+F262),8)</f>
        <v/>
      </c>
      <c r="J262" s="4">
        <f>ROUND(J261*(1+G262),8)</f>
        <v/>
      </c>
      <c r="K262" s="4">
        <f>ROUND(K261+H262,8)</f>
        <v/>
      </c>
      <c r="L262" s="4">
        <f>ROUND(0.9*F262+0.05*G262+0.05*H262,8)</f>
        <v/>
      </c>
    </row>
    <row r="263">
      <c r="A263" s="2" t="n">
        <v>44138</v>
      </c>
      <c r="B263" s="8" t="n">
        <v>2261.84</v>
      </c>
      <c r="C263" s="8" t="n">
        <v>119.7988</v>
      </c>
      <c r="D263" s="8" t="n">
        <v>0.35</v>
      </c>
      <c r="E263">
        <f>A263-A262</f>
        <v/>
      </c>
      <c r="F263" s="4">
        <f>ROUND(B263/B262-1,8)</f>
        <v/>
      </c>
      <c r="G263" s="4">
        <f>ROUND(C263/C262-1,8)</f>
        <v/>
      </c>
      <c r="H263" s="4">
        <f>ROUND(D263/100/(DATE(YEAR(A263)+1,1,1)-DATE(YEAR(A263),1,1))*E263,8)</f>
        <v/>
      </c>
      <c r="I263" s="4">
        <f>ROUND(I262*(1+F263),8)</f>
        <v/>
      </c>
      <c r="J263" s="4">
        <f>ROUND(J262*(1+G263),8)</f>
        <v/>
      </c>
      <c r="K263" s="4">
        <f>ROUND(K262+H263,8)</f>
        <v/>
      </c>
      <c r="L263" s="4">
        <f>ROUND(0.9*F263+0.05*G263+0.05*H263,8)</f>
        <v/>
      </c>
    </row>
    <row r="264">
      <c r="A264" s="2" t="n">
        <v>44139</v>
      </c>
      <c r="B264" s="8" t="n">
        <v>2257</v>
      </c>
      <c r="C264" s="8" t="n">
        <v>119.8371</v>
      </c>
      <c r="D264" s="8" t="n">
        <v>0.35</v>
      </c>
      <c r="E264">
        <f>A264-A263</f>
        <v/>
      </c>
      <c r="F264" s="4">
        <f>ROUND(B264/B263-1,8)</f>
        <v/>
      </c>
      <c r="G264" s="4">
        <f>ROUND(C264/C263-1,8)</f>
        <v/>
      </c>
      <c r="H264" s="4">
        <f>ROUND(D264/100/(DATE(YEAR(A264)+1,1,1)-DATE(YEAR(A264),1,1))*E264,8)</f>
        <v/>
      </c>
      <c r="I264" s="4">
        <f>ROUND(I263*(1+F264),8)</f>
        <v/>
      </c>
      <c r="J264" s="4">
        <f>ROUND(J263*(1+G264),8)</f>
        <v/>
      </c>
      <c r="K264" s="4">
        <f>ROUND(K263+H264,8)</f>
        <v/>
      </c>
      <c r="L264" s="4">
        <f>ROUND(0.9*F264+0.05*G264+0.05*H264,8)</f>
        <v/>
      </c>
    </row>
    <row r="265">
      <c r="A265" s="2" t="n">
        <v>44140</v>
      </c>
      <c r="B265" s="8" t="n">
        <v>2296.36</v>
      </c>
      <c r="C265" s="8" t="n">
        <v>119.8318</v>
      </c>
      <c r="D265" s="8" t="n">
        <v>0.35</v>
      </c>
      <c r="E265">
        <f>A265-A264</f>
        <v/>
      </c>
      <c r="F265" s="4">
        <f>ROUND(B265/B264-1,8)</f>
        <v/>
      </c>
      <c r="G265" s="4">
        <f>ROUND(C265/C264-1,8)</f>
        <v/>
      </c>
      <c r="H265" s="4">
        <f>ROUND(D265/100/(DATE(YEAR(A265)+1,1,1)-DATE(YEAR(A265),1,1))*E265,8)</f>
        <v/>
      </c>
      <c r="I265" s="4">
        <f>ROUND(I264*(1+F265),8)</f>
        <v/>
      </c>
      <c r="J265" s="4">
        <f>ROUND(J264*(1+G265),8)</f>
        <v/>
      </c>
      <c r="K265" s="4">
        <f>ROUND(K264+H265,8)</f>
        <v/>
      </c>
      <c r="L265" s="4">
        <f>ROUND(0.9*F265+0.05*G265+0.05*H265,8)</f>
        <v/>
      </c>
    </row>
    <row r="266">
      <c r="A266" s="2" t="n">
        <v>44141</v>
      </c>
      <c r="B266" s="8" t="n">
        <v>2262.75</v>
      </c>
      <c r="C266" s="8" t="n">
        <v>119.7991</v>
      </c>
      <c r="D266" s="8" t="n">
        <v>0.35</v>
      </c>
      <c r="E266">
        <f>A266-A265</f>
        <v/>
      </c>
      <c r="F266" s="4">
        <f>ROUND(B266/B265-1,8)</f>
        <v/>
      </c>
      <c r="G266" s="4">
        <f>ROUND(C266/C265-1,8)</f>
        <v/>
      </c>
      <c r="H266" s="4">
        <f>ROUND(D266/100/(DATE(YEAR(A266)+1,1,1)-DATE(YEAR(A266),1,1))*E266,8)</f>
        <v/>
      </c>
      <c r="I266" s="4">
        <f>ROUND(I265*(1+F266),8)</f>
        <v/>
      </c>
      <c r="J266" s="4">
        <f>ROUND(J265*(1+G266),8)</f>
        <v/>
      </c>
      <c r="K266" s="4">
        <f>ROUND(K265+H266,8)</f>
        <v/>
      </c>
      <c r="L266" s="4">
        <f>ROUND(0.9*F266+0.05*G266+0.05*H266,8)</f>
        <v/>
      </c>
    </row>
    <row r="267">
      <c r="A267" s="2" t="n">
        <v>44144</v>
      </c>
      <c r="B267" s="8" t="n">
        <v>2314.58</v>
      </c>
      <c r="C267" s="8" t="n">
        <v>119.7326</v>
      </c>
      <c r="D267" s="8" t="n">
        <v>0.35</v>
      </c>
      <c r="E267">
        <f>A267-A266</f>
        <v/>
      </c>
      <c r="F267" s="4">
        <f>ROUND(B267/B266-1,8)</f>
        <v/>
      </c>
      <c r="G267" s="4">
        <f>ROUND(C267/C266-1,8)</f>
        <v/>
      </c>
      <c r="H267" s="4">
        <f>ROUND(D267/100/(DATE(YEAR(A267)+1,1,1)-DATE(YEAR(A267),1,1))*E267,8)</f>
        <v/>
      </c>
      <c r="I267" s="4">
        <f>ROUND(I266*(1+F267),8)</f>
        <v/>
      </c>
      <c r="J267" s="4">
        <f>ROUND(J266*(1+G267),8)</f>
        <v/>
      </c>
      <c r="K267" s="4">
        <f>ROUND(K266+H267,8)</f>
        <v/>
      </c>
      <c r="L267" s="4">
        <f>ROUND(0.9*F267+0.05*G267+0.05*H267,8)</f>
        <v/>
      </c>
    </row>
    <row r="268">
      <c r="A268" s="2" t="n">
        <v>44145</v>
      </c>
      <c r="B268" s="8" t="n">
        <v>2281.7</v>
      </c>
      <c r="C268" s="8" t="n">
        <v>119.7286</v>
      </c>
      <c r="D268" s="8" t="n">
        <v>0.35</v>
      </c>
      <c r="E268">
        <f>A268-A267</f>
        <v/>
      </c>
      <c r="F268" s="4">
        <f>ROUND(B268/B267-1,8)</f>
        <v/>
      </c>
      <c r="G268" s="4">
        <f>ROUND(C268/C267-1,8)</f>
        <v/>
      </c>
      <c r="H268" s="4">
        <f>ROUND(D268/100/(DATE(YEAR(A268)+1,1,1)-DATE(YEAR(A268),1,1))*E268,8)</f>
        <v/>
      </c>
      <c r="I268" s="4">
        <f>ROUND(I267*(1+F268),8)</f>
        <v/>
      </c>
      <c r="J268" s="4">
        <f>ROUND(J267*(1+G268),8)</f>
        <v/>
      </c>
      <c r="K268" s="4">
        <f>ROUND(K267+H268,8)</f>
        <v/>
      </c>
      <c r="L268" s="4">
        <f>ROUND(0.9*F268+0.05*G268+0.05*H268,8)</f>
        <v/>
      </c>
    </row>
    <row r="269">
      <c r="A269" s="2" t="n">
        <v>44146</v>
      </c>
      <c r="B269" s="8" t="n">
        <v>2246.8</v>
      </c>
      <c r="C269" s="8" t="n">
        <v>119.7269</v>
      </c>
      <c r="D269" s="8" t="n">
        <v>0.35</v>
      </c>
      <c r="E269">
        <f>A269-A268</f>
        <v/>
      </c>
      <c r="F269" s="4">
        <f>ROUND(B269/B268-1,8)</f>
        <v/>
      </c>
      <c r="G269" s="4">
        <f>ROUND(C269/C268-1,8)</f>
        <v/>
      </c>
      <c r="H269" s="4">
        <f>ROUND(D269/100/(DATE(YEAR(A269)+1,1,1)-DATE(YEAR(A269),1,1))*E269,8)</f>
        <v/>
      </c>
      <c r="I269" s="4">
        <f>ROUND(I268*(1+F269),8)</f>
        <v/>
      </c>
      <c r="J269" s="4">
        <f>ROUND(J268*(1+G269),8)</f>
        <v/>
      </c>
      <c r="K269" s="4">
        <f>ROUND(K268+H269,8)</f>
        <v/>
      </c>
      <c r="L269" s="4">
        <f>ROUND(0.9*F269+0.05*G269+0.05*H269,8)</f>
        <v/>
      </c>
    </row>
    <row r="270">
      <c r="A270" s="2" t="n">
        <v>44147</v>
      </c>
      <c r="B270" s="8" t="n">
        <v>2248.91</v>
      </c>
      <c r="C270" s="8" t="n">
        <v>119.6531</v>
      </c>
      <c r="D270" s="8" t="n">
        <v>0.35</v>
      </c>
      <c r="E270">
        <f>A270-A269</f>
        <v/>
      </c>
      <c r="F270" s="4">
        <f>ROUND(B270/B269-1,8)</f>
        <v/>
      </c>
      <c r="G270" s="4">
        <f>ROUND(C270/C269-1,8)</f>
        <v/>
      </c>
      <c r="H270" s="4">
        <f>ROUND(D270/100/(DATE(YEAR(A270)+1,1,1)-DATE(YEAR(A270),1,1))*E270,8)</f>
        <v/>
      </c>
      <c r="I270" s="4">
        <f>ROUND(I269*(1+F270),8)</f>
        <v/>
      </c>
      <c r="J270" s="4">
        <f>ROUND(J269*(1+G270),8)</f>
        <v/>
      </c>
      <c r="K270" s="4">
        <f>ROUND(K269+H270,8)</f>
        <v/>
      </c>
      <c r="L270" s="4">
        <f>ROUND(0.9*F270+0.05*G270+0.05*H270,8)</f>
        <v/>
      </c>
    </row>
    <row r="271">
      <c r="A271" s="2" t="n">
        <v>44148</v>
      </c>
      <c r="B271" s="8" t="n">
        <v>2249.04</v>
      </c>
      <c r="C271" s="8" t="n">
        <v>119.5637</v>
      </c>
      <c r="D271" s="8" t="n">
        <v>0.35</v>
      </c>
      <c r="E271">
        <f>A271-A270</f>
        <v/>
      </c>
      <c r="F271" s="4">
        <f>ROUND(B271/B270-1,8)</f>
        <v/>
      </c>
      <c r="G271" s="4">
        <f>ROUND(C271/C270-1,8)</f>
        <v/>
      </c>
      <c r="H271" s="4">
        <f>ROUND(D271/100/(DATE(YEAR(A271)+1,1,1)-DATE(YEAR(A271),1,1))*E271,8)</f>
        <v/>
      </c>
      <c r="I271" s="4">
        <f>ROUND(I270*(1+F271),8)</f>
        <v/>
      </c>
      <c r="J271" s="4">
        <f>ROUND(J270*(1+G271),8)</f>
        <v/>
      </c>
      <c r="K271" s="4">
        <f>ROUND(K270+H271,8)</f>
        <v/>
      </c>
      <c r="L271" s="4">
        <f>ROUND(0.9*F271+0.05*G271+0.05*H271,8)</f>
        <v/>
      </c>
    </row>
    <row r="272">
      <c r="A272" s="2" t="n">
        <v>44151</v>
      </c>
      <c r="B272" s="8" t="n">
        <v>2265.28</v>
      </c>
      <c r="C272" s="8" t="n">
        <v>119.5611</v>
      </c>
      <c r="D272" s="8" t="n">
        <v>0.35</v>
      </c>
      <c r="E272">
        <f>A272-A271</f>
        <v/>
      </c>
      <c r="F272" s="4">
        <f>ROUND(B272/B271-1,8)</f>
        <v/>
      </c>
      <c r="G272" s="4">
        <f>ROUND(C272/C271-1,8)</f>
        <v/>
      </c>
      <c r="H272" s="4">
        <f>ROUND(D272/100/(DATE(YEAR(A272)+1,1,1)-DATE(YEAR(A272),1,1))*E272,8)</f>
        <v/>
      </c>
      <c r="I272" s="4">
        <f>ROUND(I271*(1+F272),8)</f>
        <v/>
      </c>
      <c r="J272" s="4">
        <f>ROUND(J271*(1+G272),8)</f>
        <v/>
      </c>
      <c r="K272" s="4">
        <f>ROUND(K271+H272,8)</f>
        <v/>
      </c>
      <c r="L272" s="4">
        <f>ROUND(0.9*F272+0.05*G272+0.05*H272,8)</f>
        <v/>
      </c>
    </row>
    <row r="273">
      <c r="A273" s="2" t="n">
        <v>44152</v>
      </c>
      <c r="B273" s="8" t="n">
        <v>2243.36</v>
      </c>
      <c r="C273" s="8" t="n">
        <v>119.5146</v>
      </c>
      <c r="D273" s="8" t="n">
        <v>0.35</v>
      </c>
      <c r="E273">
        <f>A273-A272</f>
        <v/>
      </c>
      <c r="F273" s="4">
        <f>ROUND(B273/B272-1,8)</f>
        <v/>
      </c>
      <c r="G273" s="4">
        <f>ROUND(C273/C272-1,8)</f>
        <v/>
      </c>
      <c r="H273" s="4">
        <f>ROUND(D273/100/(DATE(YEAR(A273)+1,1,1)-DATE(YEAR(A273),1,1))*E273,8)</f>
        <v/>
      </c>
      <c r="I273" s="4">
        <f>ROUND(I272*(1+F273),8)</f>
        <v/>
      </c>
      <c r="J273" s="4">
        <f>ROUND(J272*(1+G273),8)</f>
        <v/>
      </c>
      <c r="K273" s="4">
        <f>ROUND(K272+H273,8)</f>
        <v/>
      </c>
      <c r="L273" s="4">
        <f>ROUND(0.9*F273+0.05*G273+0.05*H273,8)</f>
        <v/>
      </c>
    </row>
    <row r="274">
      <c r="A274" s="2" t="n">
        <v>44153</v>
      </c>
      <c r="B274" s="8" t="n">
        <v>2255.18</v>
      </c>
      <c r="C274" s="8" t="n">
        <v>119.4316</v>
      </c>
      <c r="D274" s="8" t="n">
        <v>0.35</v>
      </c>
      <c r="E274">
        <f>A274-A273</f>
        <v/>
      </c>
      <c r="F274" s="4">
        <f>ROUND(B274/B273-1,8)</f>
        <v/>
      </c>
      <c r="G274" s="4">
        <f>ROUND(C274/C273-1,8)</f>
        <v/>
      </c>
      <c r="H274" s="4">
        <f>ROUND(D274/100/(DATE(YEAR(A274)+1,1,1)-DATE(YEAR(A274),1,1))*E274,8)</f>
        <v/>
      </c>
      <c r="I274" s="4">
        <f>ROUND(I273*(1+F274),8)</f>
        <v/>
      </c>
      <c r="J274" s="4">
        <f>ROUND(J273*(1+G274),8)</f>
        <v/>
      </c>
      <c r="K274" s="4">
        <f>ROUND(K273+H274,8)</f>
        <v/>
      </c>
      <c r="L274" s="4">
        <f>ROUND(0.9*F274+0.05*G274+0.05*H274,8)</f>
        <v/>
      </c>
    </row>
    <row r="275">
      <c r="A275" s="2" t="n">
        <v>44154</v>
      </c>
      <c r="B275" s="8" t="n">
        <v>2263.74</v>
      </c>
      <c r="C275" s="8" t="n">
        <v>119.3437</v>
      </c>
      <c r="D275" s="8" t="n">
        <v>0.35</v>
      </c>
      <c r="E275">
        <f>A275-A274</f>
        <v/>
      </c>
      <c r="F275" s="4">
        <f>ROUND(B275/B274-1,8)</f>
        <v/>
      </c>
      <c r="G275" s="4">
        <f>ROUND(C275/C274-1,8)</f>
        <v/>
      </c>
      <c r="H275" s="4">
        <f>ROUND(D275/100/(DATE(YEAR(A275)+1,1,1)-DATE(YEAR(A275),1,1))*E275,8)</f>
        <v/>
      </c>
      <c r="I275" s="4">
        <f>ROUND(I274*(1+F275),8)</f>
        <v/>
      </c>
      <c r="J275" s="4">
        <f>ROUND(J274*(1+G275),8)</f>
        <v/>
      </c>
      <c r="K275" s="4">
        <f>ROUND(K274+H275,8)</f>
        <v/>
      </c>
      <c r="L275" s="4">
        <f>ROUND(0.9*F275+0.05*G275+0.05*H275,8)</f>
        <v/>
      </c>
    </row>
    <row r="276">
      <c r="A276" s="2" t="n">
        <v>44155</v>
      </c>
      <c r="B276" s="8" t="n">
        <v>2273.63</v>
      </c>
      <c r="C276" s="8" t="n">
        <v>119.3126</v>
      </c>
      <c r="D276" s="8" t="n">
        <v>0.35</v>
      </c>
      <c r="E276">
        <f>A276-A275</f>
        <v/>
      </c>
      <c r="F276" s="4">
        <f>ROUND(B276/B275-1,8)</f>
        <v/>
      </c>
      <c r="G276" s="4">
        <f>ROUND(C276/C275-1,8)</f>
        <v/>
      </c>
      <c r="H276" s="4">
        <f>ROUND(D276/100/(DATE(YEAR(A276)+1,1,1)-DATE(YEAR(A276),1,1))*E276,8)</f>
        <v/>
      </c>
      <c r="I276" s="4">
        <f>ROUND(I275*(1+F276),8)</f>
        <v/>
      </c>
      <c r="J276" s="4">
        <f>ROUND(J275*(1+G276),8)</f>
        <v/>
      </c>
      <c r="K276" s="4">
        <f>ROUND(K275+H276,8)</f>
        <v/>
      </c>
      <c r="L276" s="4">
        <f>ROUND(0.9*F276+0.05*G276+0.05*H276,8)</f>
        <v/>
      </c>
    </row>
    <row r="277">
      <c r="A277" s="2" t="n">
        <v>44158</v>
      </c>
      <c r="B277" s="8" t="n">
        <v>2276.41</v>
      </c>
      <c r="C277" s="8" t="n">
        <v>119.372</v>
      </c>
      <c r="D277" s="8" t="n">
        <v>0.35</v>
      </c>
      <c r="E277">
        <f>A277-A276</f>
        <v/>
      </c>
      <c r="F277" s="4">
        <f>ROUND(B277/B276-1,8)</f>
        <v/>
      </c>
      <c r="G277" s="4">
        <f>ROUND(C277/C276-1,8)</f>
        <v/>
      </c>
      <c r="H277" s="4">
        <f>ROUND(D277/100/(DATE(YEAR(A277)+1,1,1)-DATE(YEAR(A277),1,1))*E277,8)</f>
        <v/>
      </c>
      <c r="I277" s="4">
        <f>ROUND(I276*(1+F277),8)</f>
        <v/>
      </c>
      <c r="J277" s="4">
        <f>ROUND(J276*(1+G277),8)</f>
        <v/>
      </c>
      <c r="K277" s="4">
        <f>ROUND(K276+H277,8)</f>
        <v/>
      </c>
      <c r="L277" s="4">
        <f>ROUND(0.9*F277+0.05*G277+0.05*H277,8)</f>
        <v/>
      </c>
    </row>
    <row r="278">
      <c r="A278" s="2" t="n">
        <v>44159</v>
      </c>
      <c r="B278" s="8" t="n">
        <v>2275.23</v>
      </c>
      <c r="C278" s="8" t="n">
        <v>119.3671</v>
      </c>
      <c r="D278" s="8" t="n">
        <v>0.35</v>
      </c>
      <c r="E278">
        <f>A278-A277</f>
        <v/>
      </c>
      <c r="F278" s="4">
        <f>ROUND(B278/B277-1,8)</f>
        <v/>
      </c>
      <c r="G278" s="4">
        <f>ROUND(C278/C277-1,8)</f>
        <v/>
      </c>
      <c r="H278" s="4">
        <f>ROUND(D278/100/(DATE(YEAR(A278)+1,1,1)-DATE(YEAR(A278),1,1))*E278,8)</f>
        <v/>
      </c>
      <c r="I278" s="4">
        <f>ROUND(I277*(1+F278),8)</f>
        <v/>
      </c>
      <c r="J278" s="4">
        <f>ROUND(J277*(1+G278),8)</f>
        <v/>
      </c>
      <c r="K278" s="4">
        <f>ROUND(K277+H278,8)</f>
        <v/>
      </c>
      <c r="L278" s="4">
        <f>ROUND(0.9*F278+0.05*G278+0.05*H278,8)</f>
        <v/>
      </c>
    </row>
    <row r="279">
      <c r="A279" s="2" t="n">
        <v>44160</v>
      </c>
      <c r="B279" s="8" t="n">
        <v>2243.82</v>
      </c>
      <c r="C279" s="8" t="n">
        <v>119.4292</v>
      </c>
      <c r="D279" s="8" t="n">
        <v>0.35</v>
      </c>
      <c r="E279">
        <f>A279-A278</f>
        <v/>
      </c>
      <c r="F279" s="4">
        <f>ROUND(B279/B278-1,8)</f>
        <v/>
      </c>
      <c r="G279" s="4">
        <f>ROUND(C279/C278-1,8)</f>
        <v/>
      </c>
      <c r="H279" s="4">
        <f>ROUND(D279/100/(DATE(YEAR(A279)+1,1,1)-DATE(YEAR(A279),1,1))*E279,8)</f>
        <v/>
      </c>
      <c r="I279" s="4">
        <f>ROUND(I278*(1+F279),8)</f>
        <v/>
      </c>
      <c r="J279" s="4">
        <f>ROUND(J278*(1+G279),8)</f>
        <v/>
      </c>
      <c r="K279" s="4">
        <f>ROUND(K278+H279,8)</f>
        <v/>
      </c>
      <c r="L279" s="4">
        <f>ROUND(0.9*F279+0.05*G279+0.05*H279,8)</f>
        <v/>
      </c>
    </row>
    <row r="280">
      <c r="A280" s="2" t="n">
        <v>44161</v>
      </c>
      <c r="B280" s="8" t="n">
        <v>2228.48</v>
      </c>
      <c r="C280" s="8" t="n">
        <v>119.4336</v>
      </c>
      <c r="D280" s="8" t="n">
        <v>0.35</v>
      </c>
      <c r="E280">
        <f>A280-A279</f>
        <v/>
      </c>
      <c r="F280" s="4">
        <f>ROUND(B280/B279-1,8)</f>
        <v/>
      </c>
      <c r="G280" s="4">
        <f>ROUND(C280/C279-1,8)</f>
        <v/>
      </c>
      <c r="H280" s="4">
        <f>ROUND(D280/100/(DATE(YEAR(A280)+1,1,1)-DATE(YEAR(A280),1,1))*E280,8)</f>
        <v/>
      </c>
      <c r="I280" s="4">
        <f>ROUND(I279*(1+F280),8)</f>
        <v/>
      </c>
      <c r="J280" s="4">
        <f>ROUND(J279*(1+G280),8)</f>
        <v/>
      </c>
      <c r="K280" s="4">
        <f>ROUND(K279+H280,8)</f>
        <v/>
      </c>
      <c r="L280" s="4">
        <f>ROUND(0.9*F280+0.05*G280+0.05*H280,8)</f>
        <v/>
      </c>
    </row>
    <row r="281">
      <c r="A281" s="2" t="n">
        <v>44162</v>
      </c>
      <c r="B281" s="8" t="n">
        <v>2222.61</v>
      </c>
      <c r="C281" s="8" t="n">
        <v>119.4148</v>
      </c>
      <c r="D281" s="8" t="n">
        <v>0.35</v>
      </c>
      <c r="E281">
        <f>A281-A280</f>
        <v/>
      </c>
      <c r="F281" s="4">
        <f>ROUND(B281/B280-1,8)</f>
        <v/>
      </c>
      <c r="G281" s="4">
        <f>ROUND(C281/C280-1,8)</f>
        <v/>
      </c>
      <c r="H281" s="4">
        <f>ROUND(D281/100/(DATE(YEAR(A281)+1,1,1)-DATE(YEAR(A281),1,1))*E281,8)</f>
        <v/>
      </c>
      <c r="I281" s="4">
        <f>ROUND(I280*(1+F281),8)</f>
        <v/>
      </c>
      <c r="J281" s="4">
        <f>ROUND(J280*(1+G281),8)</f>
        <v/>
      </c>
      <c r="K281" s="4">
        <f>ROUND(K280+H281,8)</f>
        <v/>
      </c>
      <c r="L281" s="4">
        <f>ROUND(0.9*F281+0.05*G281+0.05*H281,8)</f>
        <v/>
      </c>
    </row>
    <row r="282">
      <c r="A282" s="2" t="n">
        <v>44165</v>
      </c>
      <c r="B282" s="8" t="n">
        <v>2215.26</v>
      </c>
      <c r="C282" s="8" t="n">
        <v>119.5906</v>
      </c>
      <c r="D282" s="8" t="n">
        <v>0.35</v>
      </c>
      <c r="E282">
        <f>A282-A281</f>
        <v/>
      </c>
      <c r="F282" s="4">
        <f>ROUND(B282/B281-1,8)</f>
        <v/>
      </c>
      <c r="G282" s="4">
        <f>ROUND(C282/C281-1,8)</f>
        <v/>
      </c>
      <c r="H282" s="4">
        <f>ROUND(D282/100/(DATE(YEAR(A282)+1,1,1)-DATE(YEAR(A282),1,1))*E282,8)</f>
        <v/>
      </c>
      <c r="I282" s="4">
        <f>ROUND(I281*(1+F282),8)</f>
        <v/>
      </c>
      <c r="J282" s="4">
        <f>ROUND(J281*(1+G282),8)</f>
        <v/>
      </c>
      <c r="K282" s="4">
        <f>ROUND(K281+H282,8)</f>
        <v/>
      </c>
      <c r="L282" s="4">
        <f>ROUND(0.9*F282+0.05*G282+0.05*H282,8)</f>
        <v/>
      </c>
    </row>
    <row r="283">
      <c r="A283" s="2" t="n">
        <v>44166</v>
      </c>
      <c r="B283" s="8" t="n">
        <v>2241.93</v>
      </c>
      <c r="C283" s="8" t="n">
        <v>119.5859</v>
      </c>
      <c r="D283" s="8" t="n">
        <v>0.35</v>
      </c>
      <c r="E283">
        <f>A283-A282</f>
        <v/>
      </c>
      <c r="F283" s="4">
        <f>ROUND(B283/B282-1,8)</f>
        <v/>
      </c>
      <c r="G283" s="4">
        <f>ROUND(C283/C282-1,8)</f>
        <v/>
      </c>
      <c r="H283" s="4">
        <f>ROUND(D283/100/(DATE(YEAR(A283)+1,1,1)-DATE(YEAR(A283),1,1))*E283,8)</f>
        <v/>
      </c>
      <c r="I283" s="4">
        <f>ROUND(I282*(1+F283),8)</f>
        <v/>
      </c>
      <c r="J283" s="4">
        <f>ROUND(J282*(1+G283),8)</f>
        <v/>
      </c>
      <c r="K283" s="4">
        <f>ROUND(K282+H283,8)</f>
        <v/>
      </c>
      <c r="L283" s="4">
        <f>ROUND(0.9*F283+0.05*G283+0.05*H283,8)</f>
        <v/>
      </c>
    </row>
    <row r="284">
      <c r="A284" s="2" t="n">
        <v>44167</v>
      </c>
      <c r="B284" s="8" t="n">
        <v>2243.97</v>
      </c>
      <c r="C284" s="8" t="n">
        <v>119.5463</v>
      </c>
      <c r="D284" s="8" t="n">
        <v>0.35</v>
      </c>
      <c r="E284">
        <f>A284-A283</f>
        <v/>
      </c>
      <c r="F284" s="4">
        <f>ROUND(B284/B283-1,8)</f>
        <v/>
      </c>
      <c r="G284" s="4">
        <f>ROUND(C284/C283-1,8)</f>
        <v/>
      </c>
      <c r="H284" s="4">
        <f>ROUND(D284/100/(DATE(YEAR(A284)+1,1,1)-DATE(YEAR(A284),1,1))*E284,8)</f>
        <v/>
      </c>
      <c r="I284" s="4">
        <f>ROUND(I283*(1+F284),8)</f>
        <v/>
      </c>
      <c r="J284" s="4">
        <f>ROUND(J283*(1+G284),8)</f>
        <v/>
      </c>
      <c r="K284" s="4">
        <f>ROUND(K283+H284,8)</f>
        <v/>
      </c>
      <c r="L284" s="4">
        <f>ROUND(0.9*F284+0.05*G284+0.05*H284,8)</f>
        <v/>
      </c>
    </row>
    <row r="285">
      <c r="A285" s="2" t="n">
        <v>44168</v>
      </c>
      <c r="B285" s="8" t="n">
        <v>2240.62</v>
      </c>
      <c r="C285" s="8" t="n">
        <v>119.5494</v>
      </c>
      <c r="D285" s="8" t="n">
        <v>0.35</v>
      </c>
      <c r="E285">
        <f>A285-A284</f>
        <v/>
      </c>
      <c r="F285" s="4">
        <f>ROUND(B285/B284-1,8)</f>
        <v/>
      </c>
      <c r="G285" s="4">
        <f>ROUND(C285/C284-1,8)</f>
        <v/>
      </c>
      <c r="H285" s="4">
        <f>ROUND(D285/100/(DATE(YEAR(A285)+1,1,1)-DATE(YEAR(A285),1,1))*E285,8)</f>
        <v/>
      </c>
      <c r="I285" s="4">
        <f>ROUND(I284*(1+F285),8)</f>
        <v/>
      </c>
      <c r="J285" s="4">
        <f>ROUND(J284*(1+G285),8)</f>
        <v/>
      </c>
      <c r="K285" s="4">
        <f>ROUND(K284+H285,8)</f>
        <v/>
      </c>
      <c r="L285" s="4">
        <f>ROUND(0.9*F285+0.05*G285+0.05*H285,8)</f>
        <v/>
      </c>
    </row>
    <row r="286">
      <c r="A286" s="2" t="n">
        <v>44169</v>
      </c>
      <c r="B286" s="8" t="n">
        <v>2246.96</v>
      </c>
      <c r="C286" s="8" t="n">
        <v>119.591</v>
      </c>
      <c r="D286" s="8" t="n">
        <v>0.35</v>
      </c>
      <c r="E286">
        <f>A286-A285</f>
        <v/>
      </c>
      <c r="F286" s="4">
        <f>ROUND(B286/B285-1,8)</f>
        <v/>
      </c>
      <c r="G286" s="4">
        <f>ROUND(C286/C285-1,8)</f>
        <v/>
      </c>
      <c r="H286" s="4">
        <f>ROUND(D286/100/(DATE(YEAR(A286)+1,1,1)-DATE(YEAR(A286),1,1))*E286,8)</f>
        <v/>
      </c>
      <c r="I286" s="4">
        <f>ROUND(I285*(1+F286),8)</f>
        <v/>
      </c>
      <c r="J286" s="4">
        <f>ROUND(J285*(1+G286),8)</f>
        <v/>
      </c>
      <c r="K286" s="4">
        <f>ROUND(K285+H286,8)</f>
        <v/>
      </c>
      <c r="L286" s="4">
        <f>ROUND(0.9*F286+0.05*G286+0.05*H286,8)</f>
        <v/>
      </c>
    </row>
    <row r="287">
      <c r="A287" s="2" t="n">
        <v>44172</v>
      </c>
      <c r="B287" s="8" t="n">
        <v>2240.64</v>
      </c>
      <c r="C287" s="8" t="n">
        <v>119.5905</v>
      </c>
      <c r="D287" s="8" t="n">
        <v>0.35</v>
      </c>
      <c r="E287">
        <f>A287-A286</f>
        <v/>
      </c>
      <c r="F287" s="4">
        <f>ROUND(B287/B286-1,8)</f>
        <v/>
      </c>
      <c r="G287" s="4">
        <f>ROUND(C287/C286-1,8)</f>
        <v/>
      </c>
      <c r="H287" s="4">
        <f>ROUND(D287/100/(DATE(YEAR(A287)+1,1,1)-DATE(YEAR(A287),1,1))*E287,8)</f>
        <v/>
      </c>
      <c r="I287" s="4">
        <f>ROUND(I286*(1+F287),8)</f>
        <v/>
      </c>
      <c r="J287" s="4">
        <f>ROUND(J286*(1+G287),8)</f>
        <v/>
      </c>
      <c r="K287" s="4">
        <f>ROUND(K286+H287,8)</f>
        <v/>
      </c>
      <c r="L287" s="4">
        <f>ROUND(0.9*F287+0.05*G287+0.05*H287,8)</f>
        <v/>
      </c>
    </row>
    <row r="288">
      <c r="A288" s="2" t="n">
        <v>44173</v>
      </c>
      <c r="B288" s="8" t="n">
        <v>2238.23</v>
      </c>
      <c r="C288" s="8" t="n">
        <v>119.6497</v>
      </c>
      <c r="D288" s="8" t="n">
        <v>0.35</v>
      </c>
      <c r="E288">
        <f>A288-A287</f>
        <v/>
      </c>
      <c r="F288" s="4">
        <f>ROUND(B288/B287-1,8)</f>
        <v/>
      </c>
      <c r="G288" s="4">
        <f>ROUND(C288/C287-1,8)</f>
        <v/>
      </c>
      <c r="H288" s="4">
        <f>ROUND(D288/100/(DATE(YEAR(A288)+1,1,1)-DATE(YEAR(A288),1,1))*E288,8)</f>
        <v/>
      </c>
      <c r="I288" s="4">
        <f>ROUND(I287*(1+F288),8)</f>
        <v/>
      </c>
      <c r="J288" s="4">
        <f>ROUND(J287*(1+G288),8)</f>
        <v/>
      </c>
      <c r="K288" s="4">
        <f>ROUND(K287+H288,8)</f>
        <v/>
      </c>
      <c r="L288" s="4">
        <f>ROUND(0.9*F288+0.05*G288+0.05*H288,8)</f>
        <v/>
      </c>
    </row>
    <row r="289">
      <c r="A289" s="2" t="n">
        <v>44174</v>
      </c>
      <c r="B289" s="8" t="n">
        <v>2193.25</v>
      </c>
      <c r="C289" s="8" t="n">
        <v>119.6583</v>
      </c>
      <c r="D289" s="8" t="n">
        <v>0.35</v>
      </c>
      <c r="E289">
        <f>A289-A288</f>
        <v/>
      </c>
      <c r="F289" s="4">
        <f>ROUND(B289/B288-1,8)</f>
        <v/>
      </c>
      <c r="G289" s="4">
        <f>ROUND(C289/C288-1,8)</f>
        <v/>
      </c>
      <c r="H289" s="4">
        <f>ROUND(D289/100/(DATE(YEAR(A289)+1,1,1)-DATE(YEAR(A289),1,1))*E289,8)</f>
        <v/>
      </c>
      <c r="I289" s="4">
        <f>ROUND(I288*(1+F289),8)</f>
        <v/>
      </c>
      <c r="J289" s="4">
        <f>ROUND(J288*(1+G289),8)</f>
        <v/>
      </c>
      <c r="K289" s="4">
        <f>ROUND(K288+H289,8)</f>
        <v/>
      </c>
      <c r="L289" s="4">
        <f>ROUND(0.9*F289+0.05*G289+0.05*H289,8)</f>
        <v/>
      </c>
    </row>
    <row r="290">
      <c r="A290" s="2" t="n">
        <v>44175</v>
      </c>
      <c r="B290" s="8" t="n">
        <v>2193.1</v>
      </c>
      <c r="C290" s="8" t="n">
        <v>119.701</v>
      </c>
      <c r="D290" s="8" t="n">
        <v>0.35</v>
      </c>
      <c r="E290">
        <f>A290-A289</f>
        <v/>
      </c>
      <c r="F290" s="4">
        <f>ROUND(B290/B289-1,8)</f>
        <v/>
      </c>
      <c r="G290" s="4">
        <f>ROUND(C290/C289-1,8)</f>
        <v/>
      </c>
      <c r="H290" s="4">
        <f>ROUND(D290/100/(DATE(YEAR(A290)+1,1,1)-DATE(YEAR(A290),1,1))*E290,8)</f>
        <v/>
      </c>
      <c r="I290" s="4">
        <f>ROUND(I289*(1+F290),8)</f>
        <v/>
      </c>
      <c r="J290" s="4">
        <f>ROUND(J289*(1+G290),8)</f>
        <v/>
      </c>
      <c r="K290" s="4">
        <f>ROUND(K289+H290,8)</f>
        <v/>
      </c>
      <c r="L290" s="4">
        <f>ROUND(0.9*F290+0.05*G290+0.05*H290,8)</f>
        <v/>
      </c>
    </row>
    <row r="291">
      <c r="A291" s="2" t="n">
        <v>44176</v>
      </c>
      <c r="B291" s="8" t="n">
        <v>2157.06</v>
      </c>
      <c r="C291" s="8" t="n">
        <v>119.6338</v>
      </c>
      <c r="D291" s="8" t="n">
        <v>0.35</v>
      </c>
      <c r="E291">
        <f>A291-A290</f>
        <v/>
      </c>
      <c r="F291" s="4">
        <f>ROUND(B291/B290-1,8)</f>
        <v/>
      </c>
      <c r="G291" s="4">
        <f>ROUND(C291/C290-1,8)</f>
        <v/>
      </c>
      <c r="H291" s="4">
        <f>ROUND(D291/100/(DATE(YEAR(A291)+1,1,1)-DATE(YEAR(A291),1,1))*E291,8)</f>
        <v/>
      </c>
      <c r="I291" s="4">
        <f>ROUND(I290*(1+F291),8)</f>
        <v/>
      </c>
      <c r="J291" s="4">
        <f>ROUND(J290*(1+G291),8)</f>
        <v/>
      </c>
      <c r="K291" s="4">
        <f>ROUND(K290+H291,8)</f>
        <v/>
      </c>
      <c r="L291" s="4">
        <f>ROUND(0.9*F291+0.05*G291+0.05*H291,8)</f>
        <v/>
      </c>
    </row>
    <row r="292">
      <c r="A292" s="2" t="n">
        <v>44179</v>
      </c>
      <c r="B292" s="8" t="n">
        <v>2176.11</v>
      </c>
      <c r="C292" s="8" t="n">
        <v>119.6543</v>
      </c>
      <c r="D292" s="8" t="n">
        <v>0.35</v>
      </c>
      <c r="E292">
        <f>A292-A291</f>
        <v/>
      </c>
      <c r="F292" s="4">
        <f>ROUND(B292/B291-1,8)</f>
        <v/>
      </c>
      <c r="G292" s="4">
        <f>ROUND(C292/C291-1,8)</f>
        <v/>
      </c>
      <c r="H292" s="4">
        <f>ROUND(D292/100/(DATE(YEAR(A292)+1,1,1)-DATE(YEAR(A292),1,1))*E292,8)</f>
        <v/>
      </c>
      <c r="I292" s="4">
        <f>ROUND(I291*(1+F292),8)</f>
        <v/>
      </c>
      <c r="J292" s="4">
        <f>ROUND(J291*(1+G292),8)</f>
        <v/>
      </c>
      <c r="K292" s="4">
        <f>ROUND(K291+H292,8)</f>
        <v/>
      </c>
      <c r="L292" s="4">
        <f>ROUND(0.9*F292+0.05*G292+0.05*H292,8)</f>
        <v/>
      </c>
    </row>
    <row r="293">
      <c r="A293" s="2" t="n">
        <v>44180</v>
      </c>
      <c r="B293" s="8" t="n">
        <v>2174.57</v>
      </c>
      <c r="C293" s="8" t="n">
        <v>119.7106</v>
      </c>
      <c r="D293" s="8" t="n">
        <v>0.35</v>
      </c>
      <c r="E293">
        <f>A293-A292</f>
        <v/>
      </c>
      <c r="F293" s="4">
        <f>ROUND(B293/B292-1,8)</f>
        <v/>
      </c>
      <c r="G293" s="4">
        <f>ROUND(C293/C292-1,8)</f>
        <v/>
      </c>
      <c r="H293" s="4">
        <f>ROUND(D293/100/(DATE(YEAR(A293)+1,1,1)-DATE(YEAR(A293),1,1))*E293,8)</f>
        <v/>
      </c>
      <c r="I293" s="4">
        <f>ROUND(I292*(1+F293),8)</f>
        <v/>
      </c>
      <c r="J293" s="4">
        <f>ROUND(J292*(1+G293),8)</f>
        <v/>
      </c>
      <c r="K293" s="4">
        <f>ROUND(K292+H293,8)</f>
        <v/>
      </c>
      <c r="L293" s="4">
        <f>ROUND(0.9*F293+0.05*G293+0.05*H293,8)</f>
        <v/>
      </c>
    </row>
    <row r="294">
      <c r="A294" s="2" t="n">
        <v>44181</v>
      </c>
      <c r="B294" s="8" t="n">
        <v>2142.64</v>
      </c>
      <c r="C294" s="8" t="n">
        <v>119.7615</v>
      </c>
      <c r="D294" s="8" t="n">
        <v>0.35</v>
      </c>
      <c r="E294">
        <f>A294-A293</f>
        <v/>
      </c>
      <c r="F294" s="4">
        <f>ROUND(B294/B293-1,8)</f>
        <v/>
      </c>
      <c r="G294" s="4">
        <f>ROUND(C294/C293-1,8)</f>
        <v/>
      </c>
      <c r="H294" s="4">
        <f>ROUND(D294/100/(DATE(YEAR(A294)+1,1,1)-DATE(YEAR(A294),1,1))*E294,8)</f>
        <v/>
      </c>
      <c r="I294" s="4">
        <f>ROUND(I293*(1+F294),8)</f>
        <v/>
      </c>
      <c r="J294" s="4">
        <f>ROUND(J293*(1+G294),8)</f>
        <v/>
      </c>
      <c r="K294" s="4">
        <f>ROUND(K293+H294,8)</f>
        <v/>
      </c>
      <c r="L294" s="4">
        <f>ROUND(0.9*F294+0.05*G294+0.05*H294,8)</f>
        <v/>
      </c>
    </row>
    <row r="295">
      <c r="A295" s="2" t="n">
        <v>44182</v>
      </c>
      <c r="B295" s="8" t="n">
        <v>2161.91</v>
      </c>
      <c r="C295" s="8" t="n">
        <v>119.7668</v>
      </c>
      <c r="D295" s="8" t="n">
        <v>0.35</v>
      </c>
      <c r="E295">
        <f>A295-A294</f>
        <v/>
      </c>
      <c r="F295" s="4">
        <f>ROUND(B295/B294-1,8)</f>
        <v/>
      </c>
      <c r="G295" s="4">
        <f>ROUND(C295/C294-1,8)</f>
        <v/>
      </c>
      <c r="H295" s="4">
        <f>ROUND(D295/100/(DATE(YEAR(A295)+1,1,1)-DATE(YEAR(A295),1,1))*E295,8)</f>
        <v/>
      </c>
      <c r="I295" s="4">
        <f>ROUND(I294*(1+F295),8)</f>
        <v/>
      </c>
      <c r="J295" s="4">
        <f>ROUND(J294*(1+G295),8)</f>
        <v/>
      </c>
      <c r="K295" s="4">
        <f>ROUND(K294+H295,8)</f>
        <v/>
      </c>
      <c r="L295" s="4">
        <f>ROUND(0.9*F295+0.05*G295+0.05*H295,8)</f>
        <v/>
      </c>
    </row>
    <row r="296">
      <c r="A296" s="2" t="n">
        <v>44183</v>
      </c>
      <c r="B296" s="8" t="n">
        <v>2153.21</v>
      </c>
      <c r="C296" s="8" t="n">
        <v>119.7853</v>
      </c>
      <c r="D296" s="8" t="n">
        <v>0.35</v>
      </c>
      <c r="E296">
        <f>A296-A295</f>
        <v/>
      </c>
      <c r="F296" s="4">
        <f>ROUND(B296/B295-1,8)</f>
        <v/>
      </c>
      <c r="G296" s="4">
        <f>ROUND(C296/C295-1,8)</f>
        <v/>
      </c>
      <c r="H296" s="4">
        <f>ROUND(D296/100/(DATE(YEAR(A296)+1,1,1)-DATE(YEAR(A296),1,1))*E296,8)</f>
        <v/>
      </c>
      <c r="I296" s="4">
        <f>ROUND(I295*(1+F296),8)</f>
        <v/>
      </c>
      <c r="J296" s="4">
        <f>ROUND(J295*(1+G296),8)</f>
        <v/>
      </c>
      <c r="K296" s="4">
        <f>ROUND(K295+H296,8)</f>
        <v/>
      </c>
      <c r="L296" s="4">
        <f>ROUND(0.9*F296+0.05*G296+0.05*H296,8)</f>
        <v/>
      </c>
    </row>
    <row r="297">
      <c r="A297" s="2" t="n">
        <v>44186</v>
      </c>
      <c r="B297" s="8" t="n">
        <v>2178.58</v>
      </c>
      <c r="C297" s="8" t="n">
        <v>119.871</v>
      </c>
      <c r="D297" s="8" t="n">
        <v>0.35</v>
      </c>
      <c r="E297">
        <f>A297-A296</f>
        <v/>
      </c>
      <c r="F297" s="4">
        <f>ROUND(B297/B296-1,8)</f>
        <v/>
      </c>
      <c r="G297" s="4">
        <f>ROUND(C297/C296-1,8)</f>
        <v/>
      </c>
      <c r="H297" s="4">
        <f>ROUND(D297/100/(DATE(YEAR(A297)+1,1,1)-DATE(YEAR(A297),1,1))*E297,8)</f>
        <v/>
      </c>
      <c r="I297" s="4">
        <f>ROUND(I296*(1+F297),8)</f>
        <v/>
      </c>
      <c r="J297" s="4">
        <f>ROUND(J296*(1+G297),8)</f>
        <v/>
      </c>
      <c r="K297" s="4">
        <f>ROUND(K296+H297,8)</f>
        <v/>
      </c>
      <c r="L297" s="4">
        <f>ROUND(0.9*F297+0.05*G297+0.05*H297,8)</f>
        <v/>
      </c>
    </row>
    <row r="298">
      <c r="A298" s="2" t="n">
        <v>44187</v>
      </c>
      <c r="B298" s="8" t="n">
        <v>2138.64</v>
      </c>
      <c r="C298" s="8" t="n">
        <v>119.9975</v>
      </c>
      <c r="D298" s="8" t="n">
        <v>0.35</v>
      </c>
      <c r="E298">
        <f>A298-A297</f>
        <v/>
      </c>
      <c r="F298" s="4">
        <f>ROUND(B298/B297-1,8)</f>
        <v/>
      </c>
      <c r="G298" s="4">
        <f>ROUND(C298/C297-1,8)</f>
        <v/>
      </c>
      <c r="H298" s="4">
        <f>ROUND(D298/100/(DATE(YEAR(A298)+1,1,1)-DATE(YEAR(A298),1,1))*E298,8)</f>
        <v/>
      </c>
      <c r="I298" s="4">
        <f>ROUND(I297*(1+F298),8)</f>
        <v/>
      </c>
      <c r="J298" s="4">
        <f>ROUND(J297*(1+G298),8)</f>
        <v/>
      </c>
      <c r="K298" s="4">
        <f>ROUND(K297+H298,8)</f>
        <v/>
      </c>
      <c r="L298" s="4">
        <f>ROUND(0.9*F298+0.05*G298+0.05*H298,8)</f>
        <v/>
      </c>
    </row>
    <row r="299">
      <c r="A299" s="2" t="n">
        <v>44188</v>
      </c>
      <c r="B299" s="8" t="n">
        <v>2152.2</v>
      </c>
      <c r="C299" s="8" t="n">
        <v>120.0343</v>
      </c>
      <c r="D299" s="8" t="n">
        <v>0.35</v>
      </c>
      <c r="E299">
        <f>A299-A298</f>
        <v/>
      </c>
      <c r="F299" s="4">
        <f>ROUND(B299/B298-1,8)</f>
        <v/>
      </c>
      <c r="G299" s="4">
        <f>ROUND(C299/C298-1,8)</f>
        <v/>
      </c>
      <c r="H299" s="4">
        <f>ROUND(D299/100/(DATE(YEAR(A299)+1,1,1)-DATE(YEAR(A299),1,1))*E299,8)</f>
        <v/>
      </c>
      <c r="I299" s="4">
        <f>ROUND(I298*(1+F299),8)</f>
        <v/>
      </c>
      <c r="J299" s="4">
        <f>ROUND(J298*(1+G299),8)</f>
        <v/>
      </c>
      <c r="K299" s="4">
        <f>ROUND(K298+H299,8)</f>
        <v/>
      </c>
      <c r="L299" s="4">
        <f>ROUND(0.9*F299+0.05*G299+0.05*H299,8)</f>
        <v/>
      </c>
    </row>
    <row r="300">
      <c r="A300" s="2" t="n">
        <v>44189</v>
      </c>
      <c r="B300" s="8" t="n">
        <v>2106.89</v>
      </c>
      <c r="C300" s="8" t="n">
        <v>119.9921</v>
      </c>
      <c r="D300" s="8" t="n">
        <v>0.35</v>
      </c>
      <c r="E300">
        <f>A300-A299</f>
        <v/>
      </c>
      <c r="F300" s="4">
        <f>ROUND(B300/B299-1,8)</f>
        <v/>
      </c>
      <c r="G300" s="4">
        <f>ROUND(C300/C299-1,8)</f>
        <v/>
      </c>
      <c r="H300" s="4">
        <f>ROUND(D300/100/(DATE(YEAR(A300)+1,1,1)-DATE(YEAR(A300),1,1))*E300,8)</f>
        <v/>
      </c>
      <c r="I300" s="4">
        <f>ROUND(I299*(1+F300),8)</f>
        <v/>
      </c>
      <c r="J300" s="4">
        <f>ROUND(J299*(1+G300),8)</f>
        <v/>
      </c>
      <c r="K300" s="4">
        <f>ROUND(K299+H300,8)</f>
        <v/>
      </c>
      <c r="L300" s="4">
        <f>ROUND(0.9*F300+0.05*G300+0.05*H300,8)</f>
        <v/>
      </c>
    </row>
    <row r="301">
      <c r="A301" s="2" t="n">
        <v>44190</v>
      </c>
      <c r="B301" s="8" t="n">
        <v>2122.77</v>
      </c>
      <c r="C301" s="8" t="n">
        <v>120.0637</v>
      </c>
      <c r="D301" s="8" t="n">
        <v>0.35</v>
      </c>
      <c r="E301">
        <f>A301-A300</f>
        <v/>
      </c>
      <c r="F301" s="4">
        <f>ROUND(B301/B300-1,8)</f>
        <v/>
      </c>
      <c r="G301" s="4">
        <f>ROUND(C301/C300-1,8)</f>
        <v/>
      </c>
      <c r="H301" s="4">
        <f>ROUND(D301/100/(DATE(YEAR(A301)+1,1,1)-DATE(YEAR(A301),1,1))*E301,8)</f>
        <v/>
      </c>
      <c r="I301" s="4">
        <f>ROUND(I300*(1+F301),8)</f>
        <v/>
      </c>
      <c r="J301" s="4">
        <f>ROUND(J300*(1+G301),8)</f>
        <v/>
      </c>
      <c r="K301" s="4">
        <f>ROUND(K300+H301,8)</f>
        <v/>
      </c>
      <c r="L301" s="4">
        <f>ROUND(0.9*F301+0.05*G301+0.05*H301,8)</f>
        <v/>
      </c>
    </row>
    <row r="302">
      <c r="A302" s="2" t="n">
        <v>44193</v>
      </c>
      <c r="B302" s="8" t="n">
        <v>2097.62</v>
      </c>
      <c r="C302" s="8" t="n">
        <v>120.1288</v>
      </c>
      <c r="D302" s="8" t="n">
        <v>0.35</v>
      </c>
      <c r="E302">
        <f>A302-A301</f>
        <v/>
      </c>
      <c r="F302" s="4">
        <f>ROUND(B302/B301-1,8)</f>
        <v/>
      </c>
      <c r="G302" s="4">
        <f>ROUND(C302/C301-1,8)</f>
        <v/>
      </c>
      <c r="H302" s="4">
        <f>ROUND(D302/100/(DATE(YEAR(A302)+1,1,1)-DATE(YEAR(A302),1,1))*E302,8)</f>
        <v/>
      </c>
      <c r="I302" s="4">
        <f>ROUND(I301*(1+F302),8)</f>
        <v/>
      </c>
      <c r="J302" s="4">
        <f>ROUND(J301*(1+G302),8)</f>
        <v/>
      </c>
      <c r="K302" s="4">
        <f>ROUND(K301+H302,8)</f>
        <v/>
      </c>
      <c r="L302" s="4">
        <f>ROUND(0.9*F302+0.05*G302+0.05*H302,8)</f>
        <v/>
      </c>
    </row>
    <row r="303">
      <c r="A303" s="2" t="n">
        <v>44194</v>
      </c>
      <c r="B303" s="8" t="n">
        <v>2083.73</v>
      </c>
      <c r="C303" s="8" t="n">
        <v>120.1648</v>
      </c>
      <c r="D303" s="8" t="n">
        <v>0.35</v>
      </c>
      <c r="E303">
        <f>A303-A302</f>
        <v/>
      </c>
      <c r="F303" s="4">
        <f>ROUND(B303/B302-1,8)</f>
        <v/>
      </c>
      <c r="G303" s="4">
        <f>ROUND(C303/C302-1,8)</f>
        <v/>
      </c>
      <c r="H303" s="4">
        <f>ROUND(D303/100/(DATE(YEAR(A303)+1,1,1)-DATE(YEAR(A303),1,1))*E303,8)</f>
        <v/>
      </c>
      <c r="I303" s="4">
        <f>ROUND(I302*(1+F303),8)</f>
        <v/>
      </c>
      <c r="J303" s="4">
        <f>ROUND(J302*(1+G303),8)</f>
        <v/>
      </c>
      <c r="K303" s="4">
        <f>ROUND(K302+H303,8)</f>
        <v/>
      </c>
      <c r="L303" s="4">
        <f>ROUND(0.9*F303+0.05*G303+0.05*H303,8)</f>
        <v/>
      </c>
    </row>
    <row r="304">
      <c r="A304" s="2" t="n">
        <v>44195</v>
      </c>
      <c r="B304" s="8" t="n">
        <v>2089.54</v>
      </c>
      <c r="C304" s="8" t="n">
        <v>120.2598</v>
      </c>
      <c r="D304" s="8" t="n">
        <v>0.35</v>
      </c>
      <c r="E304">
        <f>A304-A303</f>
        <v/>
      </c>
      <c r="F304" s="4">
        <f>ROUND(B304/B303-1,8)</f>
        <v/>
      </c>
      <c r="G304" s="4">
        <f>ROUND(C304/C303-1,8)</f>
        <v/>
      </c>
      <c r="H304" s="4">
        <f>ROUND(D304/100/(DATE(YEAR(A304)+1,1,1)-DATE(YEAR(A304),1,1))*E304,8)</f>
        <v/>
      </c>
      <c r="I304" s="4">
        <f>ROUND(I303*(1+F304),8)</f>
        <v/>
      </c>
      <c r="J304" s="4">
        <f>ROUND(J303*(1+G304),8)</f>
        <v/>
      </c>
      <c r="K304" s="4">
        <f>ROUND(K303+H304,8)</f>
        <v/>
      </c>
      <c r="L304" s="4">
        <f>ROUND(0.9*F304+0.05*G304+0.05*H304,8)</f>
        <v/>
      </c>
    </row>
    <row r="305">
      <c r="A305" s="2" t="n">
        <v>44196</v>
      </c>
      <c r="B305" s="8" t="n">
        <v>2118.43</v>
      </c>
      <c r="C305" s="8" t="n">
        <v>120.2792</v>
      </c>
      <c r="D305" s="8" t="n">
        <v>0.35</v>
      </c>
      <c r="E305">
        <f>A305-A304</f>
        <v/>
      </c>
      <c r="F305" s="4">
        <f>ROUND(B305/B304-1,8)</f>
        <v/>
      </c>
      <c r="G305" s="4">
        <f>ROUND(C305/C304-1,8)</f>
        <v/>
      </c>
      <c r="H305" s="4">
        <f>ROUND(D305/100/(DATE(YEAR(A305)+1,1,1)-DATE(YEAR(A305),1,1))*E305,8)</f>
        <v/>
      </c>
      <c r="I305" s="4">
        <f>ROUND(I304*(1+F305),8)</f>
        <v/>
      </c>
      <c r="J305" s="4">
        <f>ROUND(J304*(1+G305),8)</f>
        <v/>
      </c>
      <c r="K305" s="4">
        <f>ROUND(K304+H305,8)</f>
        <v/>
      </c>
      <c r="L305" s="4">
        <f>ROUND(0.9*F305+0.05*G305+0.05*H305,8)</f>
        <v/>
      </c>
    </row>
    <row r="306">
      <c r="A306" s="2" t="n">
        <v>44200</v>
      </c>
      <c r="B306" s="8" t="n">
        <v>2154.85</v>
      </c>
      <c r="C306" s="8" t="n">
        <v>120.2416</v>
      </c>
      <c r="D306" s="8" t="n">
        <v>0.35</v>
      </c>
      <c r="E306">
        <f>A306-A305</f>
        <v/>
      </c>
      <c r="F306" s="4">
        <f>ROUND(B306/B305-1,8)</f>
        <v/>
      </c>
      <c r="G306" s="4">
        <f>ROUND(C306/C305-1,8)</f>
        <v/>
      </c>
      <c r="H306" s="4">
        <f>ROUND(D306/100/(DATE(YEAR(A306)+1,1,1)-DATE(YEAR(A306),1,1))*E306,8)</f>
        <v/>
      </c>
      <c r="I306" s="4">
        <f>ROUND(I305*(1+F306),8)</f>
        <v/>
      </c>
      <c r="J306" s="4">
        <f>ROUND(J305*(1+G306),8)</f>
        <v/>
      </c>
      <c r="K306" s="4">
        <f>ROUND(K305+H306,8)</f>
        <v/>
      </c>
      <c r="L306" s="4">
        <f>ROUND(0.9*F306+0.05*G306+0.05*H306,8)</f>
        <v/>
      </c>
    </row>
    <row r="307">
      <c r="A307" s="2" t="n">
        <v>44201</v>
      </c>
      <c r="B307" s="8" t="n">
        <v>2149.95</v>
      </c>
      <c r="C307" s="8" t="n">
        <v>120.3246</v>
      </c>
      <c r="D307" s="8" t="n">
        <v>0.35</v>
      </c>
      <c r="E307">
        <f>A307-A306</f>
        <v/>
      </c>
      <c r="F307" s="4">
        <f>ROUND(B307/B306-1,8)</f>
        <v/>
      </c>
      <c r="G307" s="4">
        <f>ROUND(C307/C306-1,8)</f>
        <v/>
      </c>
      <c r="H307" s="4">
        <f>ROUND(D307/100/(DATE(YEAR(A307)+1,1,1)-DATE(YEAR(A307),1,1))*E307,8)</f>
        <v/>
      </c>
      <c r="I307" s="4">
        <f>ROUND(I306*(1+F307),8)</f>
        <v/>
      </c>
      <c r="J307" s="4">
        <f>ROUND(J306*(1+G307),8)</f>
        <v/>
      </c>
      <c r="K307" s="4">
        <f>ROUND(K306+H307,8)</f>
        <v/>
      </c>
      <c r="L307" s="4">
        <f>ROUND(0.9*F307+0.05*G307+0.05*H307,8)</f>
        <v/>
      </c>
    </row>
    <row r="308">
      <c r="A308" s="2" t="n">
        <v>44202</v>
      </c>
      <c r="B308" s="8" t="n">
        <v>2116.23</v>
      </c>
      <c r="C308" s="8" t="n">
        <v>120.382</v>
      </c>
      <c r="D308" s="8" t="n">
        <v>0.35</v>
      </c>
      <c r="E308">
        <f>A308-A307</f>
        <v/>
      </c>
      <c r="F308" s="4">
        <f>ROUND(B308/B307-1,8)</f>
        <v/>
      </c>
      <c r="G308" s="4">
        <f>ROUND(C308/C307-1,8)</f>
        <v/>
      </c>
      <c r="H308" s="4">
        <f>ROUND(D308/100/(DATE(YEAR(A308)+1,1,1)-DATE(YEAR(A308),1,1))*E308,8)</f>
        <v/>
      </c>
      <c r="I308" s="4">
        <f>ROUND(I307*(1+F308),8)</f>
        <v/>
      </c>
      <c r="J308" s="4">
        <f>ROUND(J307*(1+G308),8)</f>
        <v/>
      </c>
      <c r="K308" s="4">
        <f>ROUND(K307+H308,8)</f>
        <v/>
      </c>
      <c r="L308" s="4">
        <f>ROUND(0.9*F308+0.05*G308+0.05*H308,8)</f>
        <v/>
      </c>
    </row>
    <row r="309">
      <c r="A309" s="2" t="n">
        <v>44203</v>
      </c>
      <c r="B309" s="8" t="n">
        <v>2047.97</v>
      </c>
      <c r="C309" s="8" t="n">
        <v>120.4636</v>
      </c>
      <c r="D309" s="8" t="n">
        <v>0.35</v>
      </c>
      <c r="E309">
        <f>A309-A308</f>
        <v/>
      </c>
      <c r="F309" s="4">
        <f>ROUND(B309/B308-1,8)</f>
        <v/>
      </c>
      <c r="G309" s="4">
        <f>ROUND(C309/C308-1,8)</f>
        <v/>
      </c>
      <c r="H309" s="4">
        <f>ROUND(D309/100/(DATE(YEAR(A309)+1,1,1)-DATE(YEAR(A309),1,1))*E309,8)</f>
        <v/>
      </c>
      <c r="I309" s="4">
        <f>ROUND(I308*(1+F309),8)</f>
        <v/>
      </c>
      <c r="J309" s="4">
        <f>ROUND(J308*(1+G309),8)</f>
        <v/>
      </c>
      <c r="K309" s="4">
        <f>ROUND(K308+H309,8)</f>
        <v/>
      </c>
      <c r="L309" s="4">
        <f>ROUND(0.9*F309+0.05*G309+0.05*H309,8)</f>
        <v/>
      </c>
    </row>
    <row r="310">
      <c r="A310" s="2" t="n">
        <v>44204</v>
      </c>
      <c r="B310" s="8" t="n">
        <v>2038.93</v>
      </c>
      <c r="C310" s="8" t="n">
        <v>120.4734</v>
      </c>
      <c r="D310" s="8" t="n">
        <v>0.35</v>
      </c>
      <c r="E310">
        <f>A310-A309</f>
        <v/>
      </c>
      <c r="F310" s="4">
        <f>ROUND(B310/B309-1,8)</f>
        <v/>
      </c>
      <c r="G310" s="4">
        <f>ROUND(C310/C309-1,8)</f>
        <v/>
      </c>
      <c r="H310" s="4">
        <f>ROUND(D310/100/(DATE(YEAR(A310)+1,1,1)-DATE(YEAR(A310),1,1))*E310,8)</f>
        <v/>
      </c>
      <c r="I310" s="4">
        <f>ROUND(I309*(1+F310),8)</f>
        <v/>
      </c>
      <c r="J310" s="4">
        <f>ROUND(J309*(1+G310),8)</f>
        <v/>
      </c>
      <c r="K310" s="4">
        <f>ROUND(K309+H310,8)</f>
        <v/>
      </c>
      <c r="L310" s="4">
        <f>ROUND(0.9*F310+0.05*G310+0.05*H310,8)</f>
        <v/>
      </c>
    </row>
    <row r="311">
      <c r="A311" s="2" t="n">
        <v>44207</v>
      </c>
      <c r="B311" s="8" t="n">
        <v>1983.65</v>
      </c>
      <c r="C311" s="8" t="n">
        <v>120.4669</v>
      </c>
      <c r="D311" s="8" t="n">
        <v>0.35</v>
      </c>
      <c r="E311">
        <f>A311-A310</f>
        <v/>
      </c>
      <c r="F311" s="4">
        <f>ROUND(B311/B310-1,8)</f>
        <v/>
      </c>
      <c r="G311" s="4">
        <f>ROUND(C311/C310-1,8)</f>
        <v/>
      </c>
      <c r="H311" s="4">
        <f>ROUND(D311/100/(DATE(YEAR(A311)+1,1,1)-DATE(YEAR(A311),1,1))*E311,8)</f>
        <v/>
      </c>
      <c r="I311" s="4">
        <f>ROUND(I310*(1+F311),8)</f>
        <v/>
      </c>
      <c r="J311" s="4">
        <f>ROUND(J310*(1+G311),8)</f>
        <v/>
      </c>
      <c r="K311" s="4">
        <f>ROUND(K310+H311,8)</f>
        <v/>
      </c>
      <c r="L311" s="4">
        <f>ROUND(0.9*F311+0.05*G311+0.05*H311,8)</f>
        <v/>
      </c>
    </row>
    <row r="312">
      <c r="A312" s="2" t="n">
        <v>44208</v>
      </c>
      <c r="B312" s="8" t="n">
        <v>1994.35</v>
      </c>
      <c r="C312" s="8" t="n">
        <v>120.5198</v>
      </c>
      <c r="D312" s="8" t="n">
        <v>0.35</v>
      </c>
      <c r="E312">
        <f>A312-A311</f>
        <v/>
      </c>
      <c r="F312" s="4">
        <f>ROUND(B312/B311-1,8)</f>
        <v/>
      </c>
      <c r="G312" s="4">
        <f>ROUND(C312/C311-1,8)</f>
        <v/>
      </c>
      <c r="H312" s="4">
        <f>ROUND(D312/100/(DATE(YEAR(A312)+1,1,1)-DATE(YEAR(A312),1,1))*E312,8)</f>
        <v/>
      </c>
      <c r="I312" s="4">
        <f>ROUND(I311*(1+F312),8)</f>
        <v/>
      </c>
      <c r="J312" s="4">
        <f>ROUND(J311*(1+G312),8)</f>
        <v/>
      </c>
      <c r="K312" s="4">
        <f>ROUND(K311+H312,8)</f>
        <v/>
      </c>
      <c r="L312" s="4">
        <f>ROUND(0.9*F312+0.05*G312+0.05*H312,8)</f>
        <v/>
      </c>
    </row>
    <row r="313">
      <c r="A313" s="2" t="n">
        <v>44209</v>
      </c>
      <c r="B313" s="8" t="n">
        <v>1953.97</v>
      </c>
      <c r="C313" s="8" t="n">
        <v>120.6222</v>
      </c>
      <c r="D313" s="8" t="n">
        <v>0.35</v>
      </c>
      <c r="E313">
        <f>A313-A312</f>
        <v/>
      </c>
      <c r="F313" s="4">
        <f>ROUND(B313/B312-1,8)</f>
        <v/>
      </c>
      <c r="G313" s="4">
        <f>ROUND(C313/C312-1,8)</f>
        <v/>
      </c>
      <c r="H313" s="4">
        <f>ROUND(D313/100/(DATE(YEAR(A313)+1,1,1)-DATE(YEAR(A313),1,1))*E313,8)</f>
        <v/>
      </c>
      <c r="I313" s="4">
        <f>ROUND(I312*(1+F313),8)</f>
        <v/>
      </c>
      <c r="J313" s="4">
        <f>ROUND(J312*(1+G313),8)</f>
        <v/>
      </c>
      <c r="K313" s="4">
        <f>ROUND(K312+H313,8)</f>
        <v/>
      </c>
      <c r="L313" s="4">
        <f>ROUND(0.9*F313+0.05*G313+0.05*H313,8)</f>
        <v/>
      </c>
    </row>
    <row r="314">
      <c r="A314" s="2" t="n">
        <v>44210</v>
      </c>
      <c r="B314" s="8" t="n">
        <v>1956.64</v>
      </c>
      <c r="C314" s="8" t="n">
        <v>120.6793</v>
      </c>
      <c r="D314" s="8" t="n">
        <v>0.35</v>
      </c>
      <c r="E314">
        <f>A314-A313</f>
        <v/>
      </c>
      <c r="F314" s="4">
        <f>ROUND(B314/B313-1,8)</f>
        <v/>
      </c>
      <c r="G314" s="4">
        <f>ROUND(C314/C313-1,8)</f>
        <v/>
      </c>
      <c r="H314" s="4">
        <f>ROUND(D314/100/(DATE(YEAR(A314)+1,1,1)-DATE(YEAR(A314),1,1))*E314,8)</f>
        <v/>
      </c>
      <c r="I314" s="4">
        <f>ROUND(I313*(1+F314),8)</f>
        <v/>
      </c>
      <c r="J314" s="4">
        <f>ROUND(J313*(1+G314),8)</f>
        <v/>
      </c>
      <c r="K314" s="4">
        <f>ROUND(K313+H314,8)</f>
        <v/>
      </c>
      <c r="L314" s="4">
        <f>ROUND(0.9*F314+0.05*G314+0.05*H314,8)</f>
        <v/>
      </c>
    </row>
    <row r="315">
      <c r="A315" s="2" t="n">
        <v>44211</v>
      </c>
      <c r="B315" s="8" t="n">
        <v>1988.23</v>
      </c>
      <c r="C315" s="8" t="n">
        <v>120.5864</v>
      </c>
      <c r="D315" s="8" t="n">
        <v>0.35</v>
      </c>
      <c r="E315">
        <f>A315-A314</f>
        <v/>
      </c>
      <c r="F315" s="4">
        <f>ROUND(B315/B314-1,8)</f>
        <v/>
      </c>
      <c r="G315" s="4">
        <f>ROUND(C315/C314-1,8)</f>
        <v/>
      </c>
      <c r="H315" s="4">
        <f>ROUND(D315/100/(DATE(YEAR(A315)+1,1,1)-DATE(YEAR(A315),1,1))*E315,8)</f>
        <v/>
      </c>
      <c r="I315" s="4">
        <f>ROUND(I314*(1+F315),8)</f>
        <v/>
      </c>
      <c r="J315" s="4">
        <f>ROUND(J314*(1+G315),8)</f>
        <v/>
      </c>
      <c r="K315" s="4">
        <f>ROUND(K314+H315,8)</f>
        <v/>
      </c>
      <c r="L315" s="4">
        <f>ROUND(0.9*F315+0.05*G315+0.05*H315,8)</f>
        <v/>
      </c>
    </row>
    <row r="316">
      <c r="A316" s="2" t="n">
        <v>44214</v>
      </c>
      <c r="B316" s="8" t="n">
        <v>2026.84</v>
      </c>
      <c r="C316" s="8" t="n">
        <v>120.4782</v>
      </c>
      <c r="D316" s="8" t="n">
        <v>0.35</v>
      </c>
      <c r="E316">
        <f>A316-A315</f>
        <v/>
      </c>
      <c r="F316" s="4">
        <f>ROUND(B316/B315-1,8)</f>
        <v/>
      </c>
      <c r="G316" s="4">
        <f>ROUND(C316/C315-1,8)</f>
        <v/>
      </c>
      <c r="H316" s="4">
        <f>ROUND(D316/100/(DATE(YEAR(A316)+1,1,1)-DATE(YEAR(A316),1,1))*E316,8)</f>
        <v/>
      </c>
      <c r="I316" s="4">
        <f>ROUND(I315*(1+F316),8)</f>
        <v/>
      </c>
      <c r="J316" s="4">
        <f>ROUND(J315*(1+G316),8)</f>
        <v/>
      </c>
      <c r="K316" s="4">
        <f>ROUND(K315+H316,8)</f>
        <v/>
      </c>
      <c r="L316" s="4">
        <f>ROUND(0.9*F316+0.05*G316+0.05*H316,8)</f>
        <v/>
      </c>
    </row>
    <row r="317">
      <c r="A317" s="2" t="n">
        <v>44215</v>
      </c>
      <c r="B317" s="8" t="n">
        <v>2036.7</v>
      </c>
      <c r="C317" s="8" t="n">
        <v>120.4791</v>
      </c>
      <c r="D317" s="8" t="n">
        <v>0.35</v>
      </c>
      <c r="E317">
        <f>A317-A316</f>
        <v/>
      </c>
      <c r="F317" s="4">
        <f>ROUND(B317/B316-1,8)</f>
        <v/>
      </c>
      <c r="G317" s="4">
        <f>ROUND(C317/C316-1,8)</f>
        <v/>
      </c>
      <c r="H317" s="4">
        <f>ROUND(D317/100/(DATE(YEAR(A317)+1,1,1)-DATE(YEAR(A317),1,1))*E317,8)</f>
        <v/>
      </c>
      <c r="I317" s="4">
        <f>ROUND(I316*(1+F317),8)</f>
        <v/>
      </c>
      <c r="J317" s="4">
        <f>ROUND(J316*(1+G317),8)</f>
        <v/>
      </c>
      <c r="K317" s="4">
        <f>ROUND(K316+H317,8)</f>
        <v/>
      </c>
      <c r="L317" s="4">
        <f>ROUND(0.9*F317+0.05*G317+0.05*H317,8)</f>
        <v/>
      </c>
    </row>
    <row r="318">
      <c r="A318" s="2" t="n">
        <v>44216</v>
      </c>
      <c r="B318" s="8" t="n">
        <v>2044.64</v>
      </c>
      <c r="C318" s="8" t="n">
        <v>120.5019</v>
      </c>
      <c r="D318" s="8" t="n">
        <v>0.35</v>
      </c>
      <c r="E318">
        <f>A318-A317</f>
        <v/>
      </c>
      <c r="F318" s="4">
        <f>ROUND(B318/B317-1,8)</f>
        <v/>
      </c>
      <c r="G318" s="4">
        <f>ROUND(C318/C317-1,8)</f>
        <v/>
      </c>
      <c r="H318" s="4">
        <f>ROUND(D318/100/(DATE(YEAR(A318)+1,1,1)-DATE(YEAR(A318),1,1))*E318,8)</f>
        <v/>
      </c>
      <c r="I318" s="4">
        <f>ROUND(I317*(1+F318),8)</f>
        <v/>
      </c>
      <c r="J318" s="4">
        <f>ROUND(J317*(1+G318),8)</f>
        <v/>
      </c>
      <c r="K318" s="4">
        <f>ROUND(K317+H318,8)</f>
        <v/>
      </c>
      <c r="L318" s="4">
        <f>ROUND(0.9*F318+0.05*G318+0.05*H318,8)</f>
        <v/>
      </c>
    </row>
    <row r="319">
      <c r="A319" s="2" t="n">
        <v>44217</v>
      </c>
      <c r="B319" s="8" t="n">
        <v>2056.67</v>
      </c>
      <c r="C319" s="8" t="n">
        <v>120.5811</v>
      </c>
      <c r="D319" s="8" t="n">
        <v>0.35</v>
      </c>
      <c r="E319">
        <f>A319-A318</f>
        <v/>
      </c>
      <c r="F319" s="4">
        <f>ROUND(B319/B318-1,8)</f>
        <v/>
      </c>
      <c r="G319" s="4">
        <f>ROUND(C319/C318-1,8)</f>
        <v/>
      </c>
      <c r="H319" s="4">
        <f>ROUND(D319/100/(DATE(YEAR(A319)+1,1,1)-DATE(YEAR(A319),1,1))*E319,8)</f>
        <v/>
      </c>
      <c r="I319" s="4">
        <f>ROUND(I318*(1+F319),8)</f>
        <v/>
      </c>
      <c r="J319" s="4">
        <f>ROUND(J318*(1+G319),8)</f>
        <v/>
      </c>
      <c r="K319" s="4">
        <f>ROUND(K318+H319,8)</f>
        <v/>
      </c>
      <c r="L319" s="4">
        <f>ROUND(0.9*F319+0.05*G319+0.05*H319,8)</f>
        <v/>
      </c>
    </row>
    <row r="320">
      <c r="A320" s="2" t="n">
        <v>44218</v>
      </c>
      <c r="B320" s="8" t="n">
        <v>2034.51</v>
      </c>
      <c r="C320" s="8" t="n">
        <v>120.5984</v>
      </c>
      <c r="D320" s="8" t="n">
        <v>0.35</v>
      </c>
      <c r="E320">
        <f>A320-A319</f>
        <v/>
      </c>
      <c r="F320" s="4">
        <f>ROUND(B320/B319-1,8)</f>
        <v/>
      </c>
      <c r="G320" s="4">
        <f>ROUND(C320/C319-1,8)</f>
        <v/>
      </c>
      <c r="H320" s="4">
        <f>ROUND(D320/100/(DATE(YEAR(A320)+1,1,1)-DATE(YEAR(A320),1,1))*E320,8)</f>
        <v/>
      </c>
      <c r="I320" s="4">
        <f>ROUND(I319*(1+F320),8)</f>
        <v/>
      </c>
      <c r="J320" s="4">
        <f>ROUND(J319*(1+G320),8)</f>
        <v/>
      </c>
      <c r="K320" s="4">
        <f>ROUND(K319+H320,8)</f>
        <v/>
      </c>
      <c r="L320" s="4">
        <f>ROUND(0.9*F320+0.05*G320+0.05*H320,8)</f>
        <v/>
      </c>
    </row>
    <row r="321">
      <c r="A321" s="2" t="n">
        <v>44221</v>
      </c>
      <c r="B321" s="8" t="n">
        <v>2001.67</v>
      </c>
      <c r="C321" s="8" t="n">
        <v>120.5782</v>
      </c>
      <c r="D321" s="8" t="n">
        <v>0.35</v>
      </c>
      <c r="E321">
        <f>A321-A320</f>
        <v/>
      </c>
      <c r="F321" s="4">
        <f>ROUND(B321/B320-1,8)</f>
        <v/>
      </c>
      <c r="G321" s="4">
        <f>ROUND(C321/C320-1,8)</f>
        <v/>
      </c>
      <c r="H321" s="4">
        <f>ROUND(D321/100/(DATE(YEAR(A321)+1,1,1)-DATE(YEAR(A321),1,1))*E321,8)</f>
        <v/>
      </c>
      <c r="I321" s="4">
        <f>ROUND(I320*(1+F321),8)</f>
        <v/>
      </c>
      <c r="J321" s="4">
        <f>ROUND(J320*(1+G321),8)</f>
        <v/>
      </c>
      <c r="K321" s="4">
        <f>ROUND(K320+H321,8)</f>
        <v/>
      </c>
      <c r="L321" s="4">
        <f>ROUND(0.9*F321+0.05*G321+0.05*H321,8)</f>
        <v/>
      </c>
    </row>
    <row r="322">
      <c r="A322" s="2" t="n">
        <v>44222</v>
      </c>
      <c r="B322" s="8" t="n">
        <v>1983.96</v>
      </c>
      <c r="C322" s="8" t="n">
        <v>120.4585</v>
      </c>
      <c r="D322" s="8" t="n">
        <v>0.35</v>
      </c>
      <c r="E322">
        <f>A322-A321</f>
        <v/>
      </c>
      <c r="F322" s="4">
        <f>ROUND(B322/B321-1,8)</f>
        <v/>
      </c>
      <c r="G322" s="4">
        <f>ROUND(C322/C321-1,8)</f>
        <v/>
      </c>
      <c r="H322" s="4">
        <f>ROUND(D322/100/(DATE(YEAR(A322)+1,1,1)-DATE(YEAR(A322),1,1))*E322,8)</f>
        <v/>
      </c>
      <c r="I322" s="4">
        <f>ROUND(I321*(1+F322),8)</f>
        <v/>
      </c>
      <c r="J322" s="4">
        <f>ROUND(J321*(1+G322),8)</f>
        <v/>
      </c>
      <c r="K322" s="4">
        <f>ROUND(K321+H322,8)</f>
        <v/>
      </c>
      <c r="L322" s="4">
        <f>ROUND(0.9*F322+0.05*G322+0.05*H322,8)</f>
        <v/>
      </c>
    </row>
    <row r="323">
      <c r="A323" s="2" t="n">
        <v>44223</v>
      </c>
      <c r="B323" s="8" t="n">
        <v>1985.92</v>
      </c>
      <c r="C323" s="8" t="n">
        <v>120.4393</v>
      </c>
      <c r="D323" s="8" t="n">
        <v>0.35</v>
      </c>
      <c r="E323">
        <f>A323-A322</f>
        <v/>
      </c>
      <c r="F323" s="4">
        <f>ROUND(B323/B322-1,8)</f>
        <v/>
      </c>
      <c r="G323" s="4">
        <f>ROUND(C323/C322-1,8)</f>
        <v/>
      </c>
      <c r="H323" s="4">
        <f>ROUND(D323/100/(DATE(YEAR(A323)+1,1,1)-DATE(YEAR(A323),1,1))*E323,8)</f>
        <v/>
      </c>
      <c r="I323" s="4">
        <f>ROUND(I322*(1+F323),8)</f>
        <v/>
      </c>
      <c r="J323" s="4">
        <f>ROUND(J322*(1+G323),8)</f>
        <v/>
      </c>
      <c r="K323" s="4">
        <f>ROUND(K322+H323,8)</f>
        <v/>
      </c>
      <c r="L323" s="4">
        <f>ROUND(0.9*F323+0.05*G323+0.05*H323,8)</f>
        <v/>
      </c>
    </row>
    <row r="324">
      <c r="A324" s="2" t="n">
        <v>44224</v>
      </c>
      <c r="B324" s="8" t="n">
        <v>1961.07</v>
      </c>
      <c r="C324" s="8" t="n">
        <v>120.3163</v>
      </c>
      <c r="D324" s="8" t="n">
        <v>0.35</v>
      </c>
      <c r="E324">
        <f>A324-A323</f>
        <v/>
      </c>
      <c r="F324" s="4">
        <f>ROUND(B324/B323-1,8)</f>
        <v/>
      </c>
      <c r="G324" s="4">
        <f>ROUND(C324/C323-1,8)</f>
        <v/>
      </c>
      <c r="H324" s="4">
        <f>ROUND(D324/100/(DATE(YEAR(A324)+1,1,1)-DATE(YEAR(A324),1,1))*E324,8)</f>
        <v/>
      </c>
      <c r="I324" s="4">
        <f>ROUND(I323*(1+F324),8)</f>
        <v/>
      </c>
      <c r="J324" s="4">
        <f>ROUND(J323*(1+G324),8)</f>
        <v/>
      </c>
      <c r="K324" s="4">
        <f>ROUND(K323+H324,8)</f>
        <v/>
      </c>
      <c r="L324" s="4">
        <f>ROUND(0.9*F324+0.05*G324+0.05*H324,8)</f>
        <v/>
      </c>
    </row>
    <row r="325">
      <c r="A325" s="2" t="n">
        <v>44225</v>
      </c>
      <c r="B325" s="8" t="n">
        <v>1928.58</v>
      </c>
      <c r="C325" s="8" t="n">
        <v>120.2872</v>
      </c>
      <c r="D325" s="8" t="n">
        <v>0.35</v>
      </c>
      <c r="E325">
        <f>A325-A324</f>
        <v/>
      </c>
      <c r="F325" s="4">
        <f>ROUND(B325/B324-1,8)</f>
        <v/>
      </c>
      <c r="G325" s="4">
        <f>ROUND(C325/C324-1,8)</f>
        <v/>
      </c>
      <c r="H325" s="4">
        <f>ROUND(D325/100/(DATE(YEAR(A325)+1,1,1)-DATE(YEAR(A325),1,1))*E325,8)</f>
        <v/>
      </c>
      <c r="I325" s="4">
        <f>ROUND(I324*(1+F325),8)</f>
        <v/>
      </c>
      <c r="J325" s="4">
        <f>ROUND(J324*(1+G325),8)</f>
        <v/>
      </c>
      <c r="K325" s="4">
        <f>ROUND(K324+H325,8)</f>
        <v/>
      </c>
      <c r="L325" s="4">
        <f>ROUND(0.9*F325+0.05*G325+0.05*H325,8)</f>
        <v/>
      </c>
    </row>
    <row r="326">
      <c r="A326" s="2" t="n">
        <v>44228</v>
      </c>
      <c r="B326" s="8" t="n">
        <v>1937.17</v>
      </c>
      <c r="C326" s="8" t="n">
        <v>120.3423</v>
      </c>
      <c r="D326" s="8" t="n">
        <v>0.35</v>
      </c>
      <c r="E326">
        <f>A326-A325</f>
        <v/>
      </c>
      <c r="F326" s="4">
        <f>ROUND(B326/B325-1,8)</f>
        <v/>
      </c>
      <c r="G326" s="4">
        <f>ROUND(C326/C325-1,8)</f>
        <v/>
      </c>
      <c r="H326" s="4">
        <f>ROUND(D326/100/(DATE(YEAR(A326)+1,1,1)-DATE(YEAR(A326),1,1))*E326,8)</f>
        <v/>
      </c>
      <c r="I326" s="4">
        <f>ROUND(I325*(1+F326),8)</f>
        <v/>
      </c>
      <c r="J326" s="4">
        <f>ROUND(J325*(1+G326),8)</f>
        <v/>
      </c>
      <c r="K326" s="4">
        <f>ROUND(K325+H326,8)</f>
        <v/>
      </c>
      <c r="L326" s="4">
        <f>ROUND(0.9*F326+0.05*G326+0.05*H326,8)</f>
        <v/>
      </c>
    </row>
    <row r="327">
      <c r="A327" s="2" t="n">
        <v>44229</v>
      </c>
      <c r="B327" s="8" t="n">
        <v>1941.47</v>
      </c>
      <c r="C327" s="8" t="n">
        <v>120.3667</v>
      </c>
      <c r="D327" s="8" t="n">
        <v>0.35</v>
      </c>
      <c r="E327">
        <f>A327-A326</f>
        <v/>
      </c>
      <c r="F327" s="4">
        <f>ROUND(B327/B326-1,8)</f>
        <v/>
      </c>
      <c r="G327" s="4">
        <f>ROUND(C327/C326-1,8)</f>
        <v/>
      </c>
      <c r="H327" s="4">
        <f>ROUND(D327/100/(DATE(YEAR(A327)+1,1,1)-DATE(YEAR(A327),1,1))*E327,8)</f>
        <v/>
      </c>
      <c r="I327" s="4">
        <f>ROUND(I326*(1+F327),8)</f>
        <v/>
      </c>
      <c r="J327" s="4">
        <f>ROUND(J326*(1+G327),8)</f>
        <v/>
      </c>
      <c r="K327" s="4">
        <f>ROUND(K326+H327,8)</f>
        <v/>
      </c>
      <c r="L327" s="4">
        <f>ROUND(0.9*F327+0.05*G327+0.05*H327,8)</f>
        <v/>
      </c>
    </row>
    <row r="328">
      <c r="A328" s="2" t="n">
        <v>44230</v>
      </c>
      <c r="B328" s="8" t="n">
        <v>1913.8</v>
      </c>
      <c r="C328" s="8" t="n">
        <v>120.2751</v>
      </c>
      <c r="D328" s="8" t="n">
        <v>0.35</v>
      </c>
      <c r="E328">
        <f>A328-A327</f>
        <v/>
      </c>
      <c r="F328" s="4">
        <f>ROUND(B328/B327-1,8)</f>
        <v/>
      </c>
      <c r="G328" s="4">
        <f>ROUND(C328/C327-1,8)</f>
        <v/>
      </c>
      <c r="H328" s="4">
        <f>ROUND(D328/100/(DATE(YEAR(A328)+1,1,1)-DATE(YEAR(A328),1,1))*E328,8)</f>
        <v/>
      </c>
      <c r="I328" s="4">
        <f>ROUND(I327*(1+F328),8)</f>
        <v/>
      </c>
      <c r="J328" s="4">
        <f>ROUND(J327*(1+G328),8)</f>
        <v/>
      </c>
      <c r="K328" s="4">
        <f>ROUND(K327+H328,8)</f>
        <v/>
      </c>
      <c r="L328" s="4">
        <f>ROUND(0.9*F328+0.05*G328+0.05*H328,8)</f>
        <v/>
      </c>
    </row>
    <row r="329">
      <c r="A329" s="2" t="n">
        <v>44231</v>
      </c>
      <c r="B329" s="8" t="n">
        <v>1871.67</v>
      </c>
      <c r="C329" s="8" t="n">
        <v>120.2181</v>
      </c>
      <c r="D329" s="8" t="n">
        <v>0.35</v>
      </c>
      <c r="E329">
        <f>A329-A328</f>
        <v/>
      </c>
      <c r="F329" s="4">
        <f>ROUND(B329/B328-1,8)</f>
        <v/>
      </c>
      <c r="G329" s="4">
        <f>ROUND(C329/C328-1,8)</f>
        <v/>
      </c>
      <c r="H329" s="4">
        <f>ROUND(D329/100/(DATE(YEAR(A329)+1,1,1)-DATE(YEAR(A329),1,1))*E329,8)</f>
        <v/>
      </c>
      <c r="I329" s="4">
        <f>ROUND(I328*(1+F329),8)</f>
        <v/>
      </c>
      <c r="J329" s="4">
        <f>ROUND(J328*(1+G329),8)</f>
        <v/>
      </c>
      <c r="K329" s="4">
        <f>ROUND(K328+H329,8)</f>
        <v/>
      </c>
      <c r="L329" s="4">
        <f>ROUND(0.9*F329+0.05*G329+0.05*H329,8)</f>
        <v/>
      </c>
    </row>
    <row r="330">
      <c r="A330" s="2" t="n">
        <v>44232</v>
      </c>
      <c r="B330" s="8" t="n">
        <v>1839.44</v>
      </c>
      <c r="C330" s="8" t="n">
        <v>120.2081</v>
      </c>
      <c r="D330" s="8" t="n">
        <v>0.35</v>
      </c>
      <c r="E330">
        <f>A330-A329</f>
        <v/>
      </c>
      <c r="F330" s="4">
        <f>ROUND(B330/B329-1,8)</f>
        <v/>
      </c>
      <c r="G330" s="4">
        <f>ROUND(C330/C329-1,8)</f>
        <v/>
      </c>
      <c r="H330" s="4">
        <f>ROUND(D330/100/(DATE(YEAR(A330)+1,1,1)-DATE(YEAR(A330),1,1))*E330,8)</f>
        <v/>
      </c>
      <c r="I330" s="4">
        <f>ROUND(I329*(1+F330),8)</f>
        <v/>
      </c>
      <c r="J330" s="4">
        <f>ROUND(J329*(1+G330),8)</f>
        <v/>
      </c>
      <c r="K330" s="4">
        <f>ROUND(K329+H330,8)</f>
        <v/>
      </c>
      <c r="L330" s="4">
        <f>ROUND(0.9*F330+0.05*G330+0.05*H330,8)</f>
        <v/>
      </c>
    </row>
    <row r="331">
      <c r="A331" s="2" t="n">
        <v>44235</v>
      </c>
      <c r="B331" s="8" t="n">
        <v>1838.06</v>
      </c>
      <c r="C331" s="8" t="n">
        <v>120.1917</v>
      </c>
      <c r="D331" s="8" t="n">
        <v>0.35</v>
      </c>
      <c r="E331">
        <f>A331-A330</f>
        <v/>
      </c>
      <c r="F331" s="4">
        <f>ROUND(B331/B330-1,8)</f>
        <v/>
      </c>
      <c r="G331" s="4">
        <f>ROUND(C331/C330-1,8)</f>
        <v/>
      </c>
      <c r="H331" s="4">
        <f>ROUND(D331/100/(DATE(YEAR(A331)+1,1,1)-DATE(YEAR(A331),1,1))*E331,8)</f>
        <v/>
      </c>
      <c r="I331" s="4">
        <f>ROUND(I330*(1+F331),8)</f>
        <v/>
      </c>
      <c r="J331" s="4">
        <f>ROUND(J330*(1+G331),8)</f>
        <v/>
      </c>
      <c r="K331" s="4">
        <f>ROUND(K330+H331,8)</f>
        <v/>
      </c>
      <c r="L331" s="4">
        <f>ROUND(0.9*F331+0.05*G331+0.05*H331,8)</f>
        <v/>
      </c>
    </row>
    <row r="332">
      <c r="A332" s="2" t="n">
        <v>44236</v>
      </c>
      <c r="B332" s="8" t="n">
        <v>1871.73</v>
      </c>
      <c r="C332" s="8" t="n">
        <v>120.222</v>
      </c>
      <c r="D332" s="8" t="n">
        <v>0.35</v>
      </c>
      <c r="E332">
        <f>A332-A331</f>
        <v/>
      </c>
      <c r="F332" s="4">
        <f>ROUND(B332/B331-1,8)</f>
        <v/>
      </c>
      <c r="G332" s="4">
        <f>ROUND(C332/C331-1,8)</f>
        <v/>
      </c>
      <c r="H332" s="4">
        <f>ROUND(D332/100/(DATE(YEAR(A332)+1,1,1)-DATE(YEAR(A332),1,1))*E332,8)</f>
        <v/>
      </c>
      <c r="I332" s="4">
        <f>ROUND(I331*(1+F332),8)</f>
        <v/>
      </c>
      <c r="J332" s="4">
        <f>ROUND(J331*(1+G332),8)</f>
        <v/>
      </c>
      <c r="K332" s="4">
        <f>ROUND(K331+H332,8)</f>
        <v/>
      </c>
      <c r="L332" s="4">
        <f>ROUND(0.9*F332+0.05*G332+0.05*H332,8)</f>
        <v/>
      </c>
    </row>
    <row r="333">
      <c r="A333" s="2" t="n">
        <v>44237</v>
      </c>
      <c r="B333" s="8" t="n">
        <v>1880.98</v>
      </c>
      <c r="C333" s="8" t="n">
        <v>120.1976</v>
      </c>
      <c r="D333" s="8" t="n">
        <v>0.35</v>
      </c>
      <c r="E333">
        <f>A333-A332</f>
        <v/>
      </c>
      <c r="F333" s="4">
        <f>ROUND(B333/B332-1,8)</f>
        <v/>
      </c>
      <c r="G333" s="4">
        <f>ROUND(C333/C332-1,8)</f>
        <v/>
      </c>
      <c r="H333" s="4">
        <f>ROUND(D333/100/(DATE(YEAR(A333)+1,1,1)-DATE(YEAR(A333),1,1))*E333,8)</f>
        <v/>
      </c>
      <c r="I333" s="4">
        <f>ROUND(I332*(1+F333),8)</f>
        <v/>
      </c>
      <c r="J333" s="4">
        <f>ROUND(J332*(1+G333),8)</f>
        <v/>
      </c>
      <c r="K333" s="4">
        <f>ROUND(K332+H333,8)</f>
        <v/>
      </c>
      <c r="L333" s="4">
        <f>ROUND(0.9*F333+0.05*G333+0.05*H333,8)</f>
        <v/>
      </c>
    </row>
    <row r="334">
      <c r="A334" s="2" t="n">
        <v>44245</v>
      </c>
      <c r="B334" s="8" t="n">
        <v>1933.43</v>
      </c>
      <c r="C334" s="8" t="n">
        <v>120.0926</v>
      </c>
      <c r="D334" s="8" t="n">
        <v>0.35</v>
      </c>
      <c r="E334">
        <f>A334-A333</f>
        <v/>
      </c>
      <c r="F334" s="4">
        <f>ROUND(B334/B333-1,8)</f>
        <v/>
      </c>
      <c r="G334" s="4">
        <f>ROUND(C334/C333-1,8)</f>
        <v/>
      </c>
      <c r="H334" s="4">
        <f>ROUND(D334/100/(DATE(YEAR(A334)+1,1,1)-DATE(YEAR(A334),1,1))*E334,8)</f>
        <v/>
      </c>
      <c r="I334" s="4">
        <f>ROUND(I333*(1+F334),8)</f>
        <v/>
      </c>
      <c r="J334" s="4">
        <f>ROUND(J333*(1+G334),8)</f>
        <v/>
      </c>
      <c r="K334" s="4">
        <f>ROUND(K333+H334,8)</f>
        <v/>
      </c>
      <c r="L334" s="4">
        <f>ROUND(0.9*F334+0.05*G334+0.05*H334,8)</f>
        <v/>
      </c>
    </row>
    <row r="335">
      <c r="A335" s="2" t="n">
        <v>44246</v>
      </c>
      <c r="B335" s="8" t="n">
        <v>1990.66</v>
      </c>
      <c r="C335" s="8" t="n">
        <v>120.1648</v>
      </c>
      <c r="D335" s="8" t="n">
        <v>0.35</v>
      </c>
      <c r="E335">
        <f>A335-A334</f>
        <v/>
      </c>
      <c r="F335" s="4">
        <f>ROUND(B335/B334-1,8)</f>
        <v/>
      </c>
      <c r="G335" s="4">
        <f>ROUND(C335/C334-1,8)</f>
        <v/>
      </c>
      <c r="H335" s="4">
        <f>ROUND(D335/100/(DATE(YEAR(A335)+1,1,1)-DATE(YEAR(A335),1,1))*E335,8)</f>
        <v/>
      </c>
      <c r="I335" s="4">
        <f>ROUND(I334*(1+F335),8)</f>
        <v/>
      </c>
      <c r="J335" s="4">
        <f>ROUND(J334*(1+G335),8)</f>
        <v/>
      </c>
      <c r="K335" s="4">
        <f>ROUND(K334+H335,8)</f>
        <v/>
      </c>
      <c r="L335" s="4">
        <f>ROUND(0.9*F335+0.05*G335+0.05*H335,8)</f>
        <v/>
      </c>
    </row>
    <row r="336">
      <c r="A336" s="2" t="n">
        <v>44249</v>
      </c>
      <c r="B336" s="8" t="n">
        <v>2015.44</v>
      </c>
      <c r="C336" s="8" t="n">
        <v>120.1601</v>
      </c>
      <c r="D336" s="8" t="n">
        <v>0.35</v>
      </c>
      <c r="E336">
        <f>A336-A335</f>
        <v/>
      </c>
      <c r="F336" s="4">
        <f>ROUND(B336/B335-1,8)</f>
        <v/>
      </c>
      <c r="G336" s="4">
        <f>ROUND(C336/C335-1,8)</f>
        <v/>
      </c>
      <c r="H336" s="4">
        <f>ROUND(D336/100/(DATE(YEAR(A336)+1,1,1)-DATE(YEAR(A336),1,1))*E336,8)</f>
        <v/>
      </c>
      <c r="I336" s="4">
        <f>ROUND(I335*(1+F336),8)</f>
        <v/>
      </c>
      <c r="J336" s="4">
        <f>ROUND(J335*(1+G336),8)</f>
        <v/>
      </c>
      <c r="K336" s="4">
        <f>ROUND(K335+H336,8)</f>
        <v/>
      </c>
      <c r="L336" s="4">
        <f>ROUND(0.9*F336+0.05*G336+0.05*H336,8)</f>
        <v/>
      </c>
    </row>
    <row r="337">
      <c r="A337" s="2" t="n">
        <v>44250</v>
      </c>
      <c r="B337" s="8" t="n">
        <v>2002.91</v>
      </c>
      <c r="C337" s="8" t="n">
        <v>120.1834</v>
      </c>
      <c r="D337" s="8" t="n">
        <v>0.35</v>
      </c>
      <c r="E337">
        <f>A337-A336</f>
        <v/>
      </c>
      <c r="F337" s="4">
        <f>ROUND(B337/B336-1,8)</f>
        <v/>
      </c>
      <c r="G337" s="4">
        <f>ROUND(C337/C336-1,8)</f>
        <v/>
      </c>
      <c r="H337" s="4">
        <f>ROUND(D337/100/(DATE(YEAR(A337)+1,1,1)-DATE(YEAR(A337),1,1))*E337,8)</f>
        <v/>
      </c>
      <c r="I337" s="4">
        <f>ROUND(I336*(1+F337),8)</f>
        <v/>
      </c>
      <c r="J337" s="4">
        <f>ROUND(J336*(1+G337),8)</f>
        <v/>
      </c>
      <c r="K337" s="4">
        <f>ROUND(K336+H337,8)</f>
        <v/>
      </c>
      <c r="L337" s="4">
        <f>ROUND(0.9*F337+0.05*G337+0.05*H337,8)</f>
        <v/>
      </c>
    </row>
    <row r="338">
      <c r="A338" s="2" t="n">
        <v>44251</v>
      </c>
      <c r="B338" s="8" t="n">
        <v>2004.98</v>
      </c>
      <c r="C338" s="8" t="n">
        <v>120.2206</v>
      </c>
      <c r="D338" s="8" t="n">
        <v>0.35</v>
      </c>
      <c r="E338">
        <f>A338-A337</f>
        <v/>
      </c>
      <c r="F338" s="4">
        <f>ROUND(B338/B337-1,8)</f>
        <v/>
      </c>
      <c r="G338" s="4">
        <f>ROUND(C338/C337-1,8)</f>
        <v/>
      </c>
      <c r="H338" s="4">
        <f>ROUND(D338/100/(DATE(YEAR(A338)+1,1,1)-DATE(YEAR(A338),1,1))*E338,8)</f>
        <v/>
      </c>
      <c r="I338" s="4">
        <f>ROUND(I337*(1+F338),8)</f>
        <v/>
      </c>
      <c r="J338" s="4">
        <f>ROUND(J337*(1+G338),8)</f>
        <v/>
      </c>
      <c r="K338" s="4">
        <f>ROUND(K337+H338,8)</f>
        <v/>
      </c>
      <c r="L338" s="4">
        <f>ROUND(0.9*F338+0.05*G338+0.05*H338,8)</f>
        <v/>
      </c>
    </row>
    <row r="339">
      <c r="A339" s="2" t="n">
        <v>44252</v>
      </c>
      <c r="B339" s="8" t="n">
        <v>1986.59</v>
      </c>
      <c r="C339" s="8" t="n">
        <v>120.1974</v>
      </c>
      <c r="D339" s="8" t="n">
        <v>0.35</v>
      </c>
      <c r="E339">
        <f>A339-A338</f>
        <v/>
      </c>
      <c r="F339" s="4">
        <f>ROUND(B339/B338-1,8)</f>
        <v/>
      </c>
      <c r="G339" s="4">
        <f>ROUND(C339/C338-1,8)</f>
        <v/>
      </c>
      <c r="H339" s="4">
        <f>ROUND(D339/100/(DATE(YEAR(A339)+1,1,1)-DATE(YEAR(A339),1,1))*E339,8)</f>
        <v/>
      </c>
      <c r="I339" s="4">
        <f>ROUND(I338*(1+F339),8)</f>
        <v/>
      </c>
      <c r="J339" s="4">
        <f>ROUND(J338*(1+G339),8)</f>
        <v/>
      </c>
      <c r="K339" s="4">
        <f>ROUND(K338+H339,8)</f>
        <v/>
      </c>
      <c r="L339" s="4">
        <f>ROUND(0.9*F339+0.05*G339+0.05*H339,8)</f>
        <v/>
      </c>
    </row>
    <row r="340">
      <c r="A340" s="2" t="n">
        <v>44253</v>
      </c>
      <c r="B340" s="8" t="n">
        <v>1991.7</v>
      </c>
      <c r="C340" s="8" t="n">
        <v>120.1545</v>
      </c>
      <c r="D340" s="8" t="n">
        <v>0.35</v>
      </c>
      <c r="E340">
        <f>A340-A339</f>
        <v/>
      </c>
      <c r="F340" s="4">
        <f>ROUND(B340/B339-1,8)</f>
        <v/>
      </c>
      <c r="G340" s="4">
        <f>ROUND(C340/C339-1,8)</f>
        <v/>
      </c>
      <c r="H340" s="4">
        <f>ROUND(D340/100/(DATE(YEAR(A340)+1,1,1)-DATE(YEAR(A340),1,1))*E340,8)</f>
        <v/>
      </c>
      <c r="I340" s="4">
        <f>ROUND(I339*(1+F340),8)</f>
        <v/>
      </c>
      <c r="J340" s="4">
        <f>ROUND(J339*(1+G340),8)</f>
        <v/>
      </c>
      <c r="K340" s="4">
        <f>ROUND(K339+H340,8)</f>
        <v/>
      </c>
      <c r="L340" s="4">
        <f>ROUND(0.9*F340+0.05*G340+0.05*H340,8)</f>
        <v/>
      </c>
    </row>
    <row r="341">
      <c r="A341" s="2" t="n">
        <v>44256</v>
      </c>
      <c r="B341" s="8" t="n">
        <v>2041.12</v>
      </c>
      <c r="C341" s="8" t="n">
        <v>120.2158</v>
      </c>
      <c r="D341" s="8" t="n">
        <v>0.35</v>
      </c>
      <c r="E341">
        <f>A341-A340</f>
        <v/>
      </c>
      <c r="F341" s="4">
        <f>ROUND(B341/B340-1,8)</f>
        <v/>
      </c>
      <c r="G341" s="4">
        <f>ROUND(C341/C340-1,8)</f>
        <v/>
      </c>
      <c r="H341" s="4">
        <f>ROUND(D341/100/(DATE(YEAR(A341)+1,1,1)-DATE(YEAR(A341),1,1))*E341,8)</f>
        <v/>
      </c>
      <c r="I341" s="4">
        <f>ROUND(I340*(1+F341),8)</f>
        <v/>
      </c>
      <c r="J341" s="4">
        <f>ROUND(J340*(1+G341),8)</f>
        <v/>
      </c>
      <c r="K341" s="4">
        <f>ROUND(K340+H341,8)</f>
        <v/>
      </c>
      <c r="L341" s="4">
        <f>ROUND(0.9*F341+0.05*G341+0.05*H341,8)</f>
        <v/>
      </c>
    </row>
    <row r="342">
      <c r="A342" s="2" t="n">
        <v>44257</v>
      </c>
      <c r="B342" s="8" t="n">
        <v>2027.68</v>
      </c>
      <c r="C342" s="8" t="n">
        <v>120.227</v>
      </c>
      <c r="D342" s="8" t="n">
        <v>0.35</v>
      </c>
      <c r="E342">
        <f>A342-A341</f>
        <v/>
      </c>
      <c r="F342" s="4">
        <f>ROUND(B342/B341-1,8)</f>
        <v/>
      </c>
      <c r="G342" s="4">
        <f>ROUND(C342/C341-1,8)</f>
        <v/>
      </c>
      <c r="H342" s="4">
        <f>ROUND(D342/100/(DATE(YEAR(A342)+1,1,1)-DATE(YEAR(A342),1,1))*E342,8)</f>
        <v/>
      </c>
      <c r="I342" s="4">
        <f>ROUND(I341*(1+F342),8)</f>
        <v/>
      </c>
      <c r="J342" s="4">
        <f>ROUND(J341*(1+G342),8)</f>
        <v/>
      </c>
      <c r="K342" s="4">
        <f>ROUND(K341+H342,8)</f>
        <v/>
      </c>
      <c r="L342" s="4">
        <f>ROUND(0.9*F342+0.05*G342+0.05*H342,8)</f>
        <v/>
      </c>
    </row>
    <row r="343">
      <c r="A343" s="2" t="n">
        <v>44258</v>
      </c>
      <c r="B343" s="8" t="n">
        <v>2053.45</v>
      </c>
      <c r="C343" s="8" t="n">
        <v>120.2205</v>
      </c>
      <c r="D343" s="8" t="n">
        <v>0.35</v>
      </c>
      <c r="E343">
        <f>A343-A342</f>
        <v/>
      </c>
      <c r="F343" s="4">
        <f>ROUND(B343/B342-1,8)</f>
        <v/>
      </c>
      <c r="G343" s="4">
        <f>ROUND(C343/C342-1,8)</f>
        <v/>
      </c>
      <c r="H343" s="4">
        <f>ROUND(D343/100/(DATE(YEAR(A343)+1,1,1)-DATE(YEAR(A343),1,1))*E343,8)</f>
        <v/>
      </c>
      <c r="I343" s="4">
        <f>ROUND(I342*(1+F343),8)</f>
        <v/>
      </c>
      <c r="J343" s="4">
        <f>ROUND(J342*(1+G343),8)</f>
        <v/>
      </c>
      <c r="K343" s="4">
        <f>ROUND(K342+H343,8)</f>
        <v/>
      </c>
      <c r="L343" s="4">
        <f>ROUND(0.9*F343+0.05*G343+0.05*H343,8)</f>
        <v/>
      </c>
    </row>
    <row r="344">
      <c r="A344" s="2" t="n">
        <v>44259</v>
      </c>
      <c r="B344" s="8" t="n">
        <v>2036.75</v>
      </c>
      <c r="C344" s="8" t="n">
        <v>120.2114</v>
      </c>
      <c r="D344" s="8" t="n">
        <v>0.35</v>
      </c>
      <c r="E344">
        <f>A344-A343</f>
        <v/>
      </c>
      <c r="F344" s="4">
        <f>ROUND(B344/B343-1,8)</f>
        <v/>
      </c>
      <c r="G344" s="4">
        <f>ROUND(C344/C343-1,8)</f>
        <v/>
      </c>
      <c r="H344" s="4">
        <f>ROUND(D344/100/(DATE(YEAR(A344)+1,1,1)-DATE(YEAR(A344),1,1))*E344,8)</f>
        <v/>
      </c>
      <c r="I344" s="4">
        <f>ROUND(I343*(1+F344),8)</f>
        <v/>
      </c>
      <c r="J344" s="4">
        <f>ROUND(J343*(1+G344),8)</f>
        <v/>
      </c>
      <c r="K344" s="4">
        <f>ROUND(K343+H344,8)</f>
        <v/>
      </c>
      <c r="L344" s="4">
        <f>ROUND(0.9*F344+0.05*G344+0.05*H344,8)</f>
        <v/>
      </c>
    </row>
    <row r="345">
      <c r="A345" s="2" t="n">
        <v>44260</v>
      </c>
      <c r="B345" s="8" t="n">
        <v>2056.41</v>
      </c>
      <c r="C345" s="8" t="n">
        <v>120.2563</v>
      </c>
      <c r="D345" s="8" t="n">
        <v>0.35</v>
      </c>
      <c r="E345">
        <f>A345-A344</f>
        <v/>
      </c>
      <c r="F345" s="4">
        <f>ROUND(B345/B344-1,8)</f>
        <v/>
      </c>
      <c r="G345" s="4">
        <f>ROUND(C345/C344-1,8)</f>
        <v/>
      </c>
      <c r="H345" s="4">
        <f>ROUND(D345/100/(DATE(YEAR(A345)+1,1,1)-DATE(YEAR(A345),1,1))*E345,8)</f>
        <v/>
      </c>
      <c r="I345" s="4">
        <f>ROUND(I344*(1+F345),8)</f>
        <v/>
      </c>
      <c r="J345" s="4">
        <f>ROUND(J344*(1+G345),8)</f>
        <v/>
      </c>
      <c r="K345" s="4">
        <f>ROUND(K344+H345,8)</f>
        <v/>
      </c>
      <c r="L345" s="4">
        <f>ROUND(0.9*F345+0.05*G345+0.05*H345,8)</f>
        <v/>
      </c>
    </row>
    <row r="346">
      <c r="A346" s="2" t="n">
        <v>44263</v>
      </c>
      <c r="B346" s="8" t="n">
        <v>2030.36</v>
      </c>
      <c r="C346" s="8" t="n">
        <v>120.2805</v>
      </c>
      <c r="D346" s="8" t="n">
        <v>0.35</v>
      </c>
      <c r="E346">
        <f>A346-A345</f>
        <v/>
      </c>
      <c r="F346" s="4">
        <f>ROUND(B346/B345-1,8)</f>
        <v/>
      </c>
      <c r="G346" s="4">
        <f>ROUND(C346/C345-1,8)</f>
        <v/>
      </c>
      <c r="H346" s="4">
        <f>ROUND(D346/100/(DATE(YEAR(A346)+1,1,1)-DATE(YEAR(A346),1,1))*E346,8)</f>
        <v/>
      </c>
      <c r="I346" s="4">
        <f>ROUND(I345*(1+F346),8)</f>
        <v/>
      </c>
      <c r="J346" s="4">
        <f>ROUND(J345*(1+G346),8)</f>
        <v/>
      </c>
      <c r="K346" s="4">
        <f>ROUND(K345+H346,8)</f>
        <v/>
      </c>
      <c r="L346" s="4">
        <f>ROUND(0.9*F346+0.05*G346+0.05*H346,8)</f>
        <v/>
      </c>
    </row>
    <row r="347">
      <c r="A347" s="2" t="n">
        <v>44264</v>
      </c>
      <c r="B347" s="8" t="n">
        <v>1975.61</v>
      </c>
      <c r="C347" s="8" t="n">
        <v>120.2796</v>
      </c>
      <c r="D347" s="8" t="n">
        <v>0.35</v>
      </c>
      <c r="E347">
        <f>A347-A346</f>
        <v/>
      </c>
      <c r="F347" s="4">
        <f>ROUND(B347/B346-1,8)</f>
        <v/>
      </c>
      <c r="G347" s="4">
        <f>ROUND(C347/C346-1,8)</f>
        <v/>
      </c>
      <c r="H347" s="4">
        <f>ROUND(D347/100/(DATE(YEAR(A347)+1,1,1)-DATE(YEAR(A347),1,1))*E347,8)</f>
        <v/>
      </c>
      <c r="I347" s="4">
        <f>ROUND(I346*(1+F347),8)</f>
        <v/>
      </c>
      <c r="J347" s="4">
        <f>ROUND(J346*(1+G347),8)</f>
        <v/>
      </c>
      <c r="K347" s="4">
        <f>ROUND(K346+H347,8)</f>
        <v/>
      </c>
      <c r="L347" s="4">
        <f>ROUND(0.9*F347+0.05*G347+0.05*H347,8)</f>
        <v/>
      </c>
    </row>
    <row r="348">
      <c r="A348" s="2" t="n">
        <v>44265</v>
      </c>
      <c r="B348" s="8" t="n">
        <v>1947.78</v>
      </c>
      <c r="C348" s="8" t="n">
        <v>120.3095</v>
      </c>
      <c r="D348" s="8" t="n">
        <v>0.35</v>
      </c>
      <c r="E348">
        <f>A348-A347</f>
        <v/>
      </c>
      <c r="F348" s="4">
        <f>ROUND(B348/B347-1,8)</f>
        <v/>
      </c>
      <c r="G348" s="4">
        <f>ROUND(C348/C347-1,8)</f>
        <v/>
      </c>
      <c r="H348" s="4">
        <f>ROUND(D348/100/(DATE(YEAR(A348)+1,1,1)-DATE(YEAR(A348),1,1))*E348,8)</f>
        <v/>
      </c>
      <c r="I348" s="4">
        <f>ROUND(I347*(1+F348),8)</f>
        <v/>
      </c>
      <c r="J348" s="4">
        <f>ROUND(J347*(1+G348),8)</f>
        <v/>
      </c>
      <c r="K348" s="4">
        <f>ROUND(K347+H348,8)</f>
        <v/>
      </c>
      <c r="L348" s="4">
        <f>ROUND(0.9*F348+0.05*G348+0.05*H348,8)</f>
        <v/>
      </c>
    </row>
    <row r="349">
      <c r="A349" s="2" t="n">
        <v>44266</v>
      </c>
      <c r="B349" s="8" t="n">
        <v>1989.84</v>
      </c>
      <c r="C349" s="8" t="n">
        <v>120.3188</v>
      </c>
      <c r="D349" s="8" t="n">
        <v>0.35</v>
      </c>
      <c r="E349">
        <f>A349-A348</f>
        <v/>
      </c>
      <c r="F349" s="4">
        <f>ROUND(B349/B348-1,8)</f>
        <v/>
      </c>
      <c r="G349" s="4">
        <f>ROUND(C349/C348-1,8)</f>
        <v/>
      </c>
      <c r="H349" s="4">
        <f>ROUND(D349/100/(DATE(YEAR(A349)+1,1,1)-DATE(YEAR(A349),1,1))*E349,8)</f>
        <v/>
      </c>
      <c r="I349" s="4">
        <f>ROUND(I348*(1+F349),8)</f>
        <v/>
      </c>
      <c r="J349" s="4">
        <f>ROUND(J348*(1+G349),8)</f>
        <v/>
      </c>
      <c r="K349" s="4">
        <f>ROUND(K348+H349,8)</f>
        <v/>
      </c>
      <c r="L349" s="4">
        <f>ROUND(0.9*F349+0.05*G349+0.05*H349,8)</f>
        <v/>
      </c>
    </row>
    <row r="350">
      <c r="A350" s="2" t="n">
        <v>44267</v>
      </c>
      <c r="B350" s="8" t="n">
        <v>1994.25</v>
      </c>
      <c r="C350" s="8" t="n">
        <v>120.3036</v>
      </c>
      <c r="D350" s="8" t="n">
        <v>0.35</v>
      </c>
      <c r="E350">
        <f>A350-A349</f>
        <v/>
      </c>
      <c r="F350" s="4">
        <f>ROUND(B350/B349-1,8)</f>
        <v/>
      </c>
      <c r="G350" s="4">
        <f>ROUND(C350/C349-1,8)</f>
        <v/>
      </c>
      <c r="H350" s="4">
        <f>ROUND(D350/100/(DATE(YEAR(A350)+1,1,1)-DATE(YEAR(A350),1,1))*E350,8)</f>
        <v/>
      </c>
      <c r="I350" s="4">
        <f>ROUND(I349*(1+F350),8)</f>
        <v/>
      </c>
      <c r="J350" s="4">
        <f>ROUND(J349*(1+G350),8)</f>
        <v/>
      </c>
      <c r="K350" s="4">
        <f>ROUND(K349+H350,8)</f>
        <v/>
      </c>
      <c r="L350" s="4">
        <f>ROUND(0.9*F350+0.05*G350+0.05*H350,8)</f>
        <v/>
      </c>
    </row>
    <row r="351">
      <c r="A351" s="2" t="n">
        <v>44270</v>
      </c>
      <c r="B351" s="8" t="n">
        <v>1995.42</v>
      </c>
      <c r="C351" s="8" t="n">
        <v>120.28</v>
      </c>
      <c r="D351" s="8" t="n">
        <v>0.35</v>
      </c>
      <c r="E351">
        <f>A351-A350</f>
        <v/>
      </c>
      <c r="F351" s="4">
        <f>ROUND(B351/B350-1,8)</f>
        <v/>
      </c>
      <c r="G351" s="4">
        <f>ROUND(C351/C350-1,8)</f>
        <v/>
      </c>
      <c r="H351" s="4">
        <f>ROUND(D351/100/(DATE(YEAR(A351)+1,1,1)-DATE(YEAR(A351),1,1))*E351,8)</f>
        <v/>
      </c>
      <c r="I351" s="4">
        <f>ROUND(I350*(1+F351),8)</f>
        <v/>
      </c>
      <c r="J351" s="4">
        <f>ROUND(J350*(1+G351),8)</f>
        <v/>
      </c>
      <c r="K351" s="4">
        <f>ROUND(K350+H351,8)</f>
        <v/>
      </c>
      <c r="L351" s="4">
        <f>ROUND(0.9*F351+0.05*G351+0.05*H351,8)</f>
        <v/>
      </c>
    </row>
    <row r="352">
      <c r="A352" s="2" t="n">
        <v>44271</v>
      </c>
      <c r="B352" s="8" t="n">
        <v>2025.92</v>
      </c>
      <c r="C352" s="8" t="n">
        <v>120.2834</v>
      </c>
      <c r="D352" s="8" t="n">
        <v>0.35</v>
      </c>
      <c r="E352">
        <f>A352-A351</f>
        <v/>
      </c>
      <c r="F352" s="4">
        <f>ROUND(B352/B351-1,8)</f>
        <v/>
      </c>
      <c r="G352" s="4">
        <f>ROUND(C352/C351-1,8)</f>
        <v/>
      </c>
      <c r="H352" s="4">
        <f>ROUND(D352/100/(DATE(YEAR(A352)+1,1,1)-DATE(YEAR(A352),1,1))*E352,8)</f>
        <v/>
      </c>
      <c r="I352" s="4">
        <f>ROUND(I351*(1+F352),8)</f>
        <v/>
      </c>
      <c r="J352" s="4">
        <f>ROUND(J351*(1+G352),8)</f>
        <v/>
      </c>
      <c r="K352" s="4">
        <f>ROUND(K351+H352,8)</f>
        <v/>
      </c>
      <c r="L352" s="4">
        <f>ROUND(0.9*F352+0.05*G352+0.05*H352,8)</f>
        <v/>
      </c>
    </row>
    <row r="353">
      <c r="A353" s="2" t="n">
        <v>44272</v>
      </c>
      <c r="B353" s="8" t="n">
        <v>2036.57</v>
      </c>
      <c r="C353" s="8" t="n">
        <v>120.3164</v>
      </c>
      <c r="D353" s="8" t="n">
        <v>0.35</v>
      </c>
      <c r="E353">
        <f>A353-A352</f>
        <v/>
      </c>
      <c r="F353" s="4">
        <f>ROUND(B353/B352-1,8)</f>
        <v/>
      </c>
      <c r="G353" s="4">
        <f>ROUND(C353/C352-1,8)</f>
        <v/>
      </c>
      <c r="H353" s="4">
        <f>ROUND(D353/100/(DATE(YEAR(A353)+1,1,1)-DATE(YEAR(A353),1,1))*E353,8)</f>
        <v/>
      </c>
      <c r="I353" s="4">
        <f>ROUND(I352*(1+F353),8)</f>
        <v/>
      </c>
      <c r="J353" s="4">
        <f>ROUND(J352*(1+G353),8)</f>
        <v/>
      </c>
      <c r="K353" s="4">
        <f>ROUND(K352+H353,8)</f>
        <v/>
      </c>
      <c r="L353" s="4">
        <f>ROUND(0.9*F353+0.05*G353+0.05*H353,8)</f>
        <v/>
      </c>
    </row>
    <row r="354">
      <c r="A354" s="2" t="n">
        <v>44273</v>
      </c>
      <c r="B354" s="8" t="n">
        <v>2034.05</v>
      </c>
      <c r="C354" s="8" t="n">
        <v>120.3153</v>
      </c>
      <c r="D354" s="8" t="n">
        <v>0.35</v>
      </c>
      <c r="E354">
        <f>A354-A353</f>
        <v/>
      </c>
      <c r="F354" s="4">
        <f>ROUND(B354/B353-1,8)</f>
        <v/>
      </c>
      <c r="G354" s="4">
        <f>ROUND(C354/C353-1,8)</f>
        <v/>
      </c>
      <c r="H354" s="4">
        <f>ROUND(D354/100/(DATE(YEAR(A354)+1,1,1)-DATE(YEAR(A354),1,1))*E354,8)</f>
        <v/>
      </c>
      <c r="I354" s="4">
        <f>ROUND(I353*(1+F354),8)</f>
        <v/>
      </c>
      <c r="J354" s="4">
        <f>ROUND(J353*(1+G354),8)</f>
        <v/>
      </c>
      <c r="K354" s="4">
        <f>ROUND(K353+H354,8)</f>
        <v/>
      </c>
      <c r="L354" s="4">
        <f>ROUND(0.9*F354+0.05*G354+0.05*H354,8)</f>
        <v/>
      </c>
    </row>
    <row r="355">
      <c r="A355" s="2" t="n">
        <v>44274</v>
      </c>
      <c r="B355" s="8" t="n">
        <v>2028.8</v>
      </c>
      <c r="C355" s="8" t="n">
        <v>120.3573</v>
      </c>
      <c r="D355" s="8" t="n">
        <v>0.35</v>
      </c>
      <c r="E355">
        <f>A355-A354</f>
        <v/>
      </c>
      <c r="F355" s="4">
        <f>ROUND(B355/B354-1,8)</f>
        <v/>
      </c>
      <c r="G355" s="4">
        <f>ROUND(C355/C354-1,8)</f>
        <v/>
      </c>
      <c r="H355" s="4">
        <f>ROUND(D355/100/(DATE(YEAR(A355)+1,1,1)-DATE(YEAR(A355),1,1))*E355,8)</f>
        <v/>
      </c>
      <c r="I355" s="4">
        <f>ROUND(I354*(1+F355),8)</f>
        <v/>
      </c>
      <c r="J355" s="4">
        <f>ROUND(J354*(1+G355),8)</f>
        <v/>
      </c>
      <c r="K355" s="4">
        <f>ROUND(K354+H355,8)</f>
        <v/>
      </c>
      <c r="L355" s="4">
        <f>ROUND(0.9*F355+0.05*G355+0.05*H355,8)</f>
        <v/>
      </c>
    </row>
    <row r="356">
      <c r="A356" s="2" t="n">
        <v>44277</v>
      </c>
      <c r="B356" s="8" t="n">
        <v>2063.4</v>
      </c>
      <c r="C356" s="8" t="n">
        <v>120.3886</v>
      </c>
      <c r="D356" s="8" t="n">
        <v>0.35</v>
      </c>
      <c r="E356">
        <f>A356-A355</f>
        <v/>
      </c>
      <c r="F356" s="4">
        <f>ROUND(B356/B355-1,8)</f>
        <v/>
      </c>
      <c r="G356" s="4">
        <f>ROUND(C356/C355-1,8)</f>
        <v/>
      </c>
      <c r="H356" s="4">
        <f>ROUND(D356/100/(DATE(YEAR(A356)+1,1,1)-DATE(YEAR(A356),1,1))*E356,8)</f>
        <v/>
      </c>
      <c r="I356" s="4">
        <f>ROUND(I355*(1+F356),8)</f>
        <v/>
      </c>
      <c r="J356" s="4">
        <f>ROUND(J355*(1+G356),8)</f>
        <v/>
      </c>
      <c r="K356" s="4">
        <f>ROUND(K355+H356,8)</f>
        <v/>
      </c>
      <c r="L356" s="4">
        <f>ROUND(0.9*F356+0.05*G356+0.05*H356,8)</f>
        <v/>
      </c>
    </row>
    <row r="357">
      <c r="A357" s="2" t="n">
        <v>44278</v>
      </c>
      <c r="B357" s="8" t="n">
        <v>2036.46</v>
      </c>
      <c r="C357" s="8" t="n">
        <v>120.4025</v>
      </c>
      <c r="D357" s="8" t="n">
        <v>0.35</v>
      </c>
      <c r="E357">
        <f>A357-A356</f>
        <v/>
      </c>
      <c r="F357" s="4">
        <f>ROUND(B357/B356-1,8)</f>
        <v/>
      </c>
      <c r="G357" s="4">
        <f>ROUND(C357/C356-1,8)</f>
        <v/>
      </c>
      <c r="H357" s="4">
        <f>ROUND(D357/100/(DATE(YEAR(A357)+1,1,1)-DATE(YEAR(A357),1,1))*E357,8)</f>
        <v/>
      </c>
      <c r="I357" s="4">
        <f>ROUND(I356*(1+F357),8)</f>
        <v/>
      </c>
      <c r="J357" s="4">
        <f>ROUND(J356*(1+G357),8)</f>
        <v/>
      </c>
      <c r="K357" s="4">
        <f>ROUND(K356+H357,8)</f>
        <v/>
      </c>
      <c r="L357" s="4">
        <f>ROUND(0.9*F357+0.05*G357+0.05*H357,8)</f>
        <v/>
      </c>
    </row>
    <row r="358">
      <c r="A358" s="2" t="n">
        <v>44279</v>
      </c>
      <c r="B358" s="8" t="n">
        <v>2019.41</v>
      </c>
      <c r="C358" s="8" t="n">
        <v>120.4832</v>
      </c>
      <c r="D358" s="8" t="n">
        <v>0.35</v>
      </c>
      <c r="E358">
        <f>A358-A357</f>
        <v/>
      </c>
      <c r="F358" s="4">
        <f>ROUND(B358/B357-1,8)</f>
        <v/>
      </c>
      <c r="G358" s="4">
        <f>ROUND(C358/C357-1,8)</f>
        <v/>
      </c>
      <c r="H358" s="4">
        <f>ROUND(D358/100/(DATE(YEAR(A358)+1,1,1)-DATE(YEAR(A358),1,1))*E358,8)</f>
        <v/>
      </c>
      <c r="I358" s="4">
        <f>ROUND(I357*(1+F358),8)</f>
        <v/>
      </c>
      <c r="J358" s="4">
        <f>ROUND(J357*(1+G358),8)</f>
        <v/>
      </c>
      <c r="K358" s="4">
        <f>ROUND(K357+H358,8)</f>
        <v/>
      </c>
      <c r="L358" s="4">
        <f>ROUND(0.9*F358+0.05*G358+0.05*H358,8)</f>
        <v/>
      </c>
    </row>
    <row r="359">
      <c r="A359" s="2" t="n">
        <v>44280</v>
      </c>
      <c r="B359" s="8" t="n">
        <v>2009.97</v>
      </c>
      <c r="C359" s="8" t="n">
        <v>120.4937</v>
      </c>
      <c r="D359" s="8" t="n">
        <v>0.35</v>
      </c>
      <c r="E359">
        <f>A359-A358</f>
        <v/>
      </c>
      <c r="F359" s="4">
        <f>ROUND(B359/B358-1,8)</f>
        <v/>
      </c>
      <c r="G359" s="4">
        <f>ROUND(C359/C358-1,8)</f>
        <v/>
      </c>
      <c r="H359" s="4">
        <f>ROUND(D359/100/(DATE(YEAR(A359)+1,1,1)-DATE(YEAR(A359),1,1))*E359,8)</f>
        <v/>
      </c>
      <c r="I359" s="4">
        <f>ROUND(I358*(1+F359),8)</f>
        <v/>
      </c>
      <c r="J359" s="4">
        <f>ROUND(J358*(1+G359),8)</f>
        <v/>
      </c>
      <c r="K359" s="4">
        <f>ROUND(K358+H359,8)</f>
        <v/>
      </c>
      <c r="L359" s="4">
        <f>ROUND(0.9*F359+0.05*G359+0.05*H359,8)</f>
        <v/>
      </c>
    </row>
    <row r="360">
      <c r="A360" s="2" t="n">
        <v>44281</v>
      </c>
      <c r="B360" s="8" t="n">
        <v>2036.63</v>
      </c>
      <c r="C360" s="8" t="n">
        <v>120.4772</v>
      </c>
      <c r="D360" s="8" t="n">
        <v>0.35</v>
      </c>
      <c r="E360">
        <f>A360-A359</f>
        <v/>
      </c>
      <c r="F360" s="4">
        <f>ROUND(B360/B359-1,8)</f>
        <v/>
      </c>
      <c r="G360" s="4">
        <f>ROUND(C360/C359-1,8)</f>
        <v/>
      </c>
      <c r="H360" s="4">
        <f>ROUND(D360/100/(DATE(YEAR(A360)+1,1,1)-DATE(YEAR(A360),1,1))*E360,8)</f>
        <v/>
      </c>
      <c r="I360" s="4">
        <f>ROUND(I359*(1+F360),8)</f>
        <v/>
      </c>
      <c r="J360" s="4">
        <f>ROUND(J359*(1+G360),8)</f>
        <v/>
      </c>
      <c r="K360" s="4">
        <f>ROUND(K359+H360,8)</f>
        <v/>
      </c>
      <c r="L360" s="4">
        <f>ROUND(0.9*F360+0.05*G360+0.05*H360,8)</f>
        <v/>
      </c>
    </row>
    <row r="361">
      <c r="A361" s="2" t="n">
        <v>44284</v>
      </c>
      <c r="B361" s="8" t="n">
        <v>2039.05</v>
      </c>
      <c r="C361" s="8" t="n">
        <v>120.4837</v>
      </c>
      <c r="D361" s="8" t="n">
        <v>0.35</v>
      </c>
      <c r="E361">
        <f>A361-A360</f>
        <v/>
      </c>
      <c r="F361" s="4">
        <f>ROUND(B361/B360-1,8)</f>
        <v/>
      </c>
      <c r="G361" s="4">
        <f>ROUND(C361/C360-1,8)</f>
        <v/>
      </c>
      <c r="H361" s="4">
        <f>ROUND(D361/100/(DATE(YEAR(A361)+1,1,1)-DATE(YEAR(A361),1,1))*E361,8)</f>
        <v/>
      </c>
      <c r="I361" s="4">
        <f>ROUND(I360*(1+F361),8)</f>
        <v/>
      </c>
      <c r="J361" s="4">
        <f>ROUND(J360*(1+G361),8)</f>
        <v/>
      </c>
      <c r="K361" s="4">
        <f>ROUND(K360+H361,8)</f>
        <v/>
      </c>
      <c r="L361" s="4">
        <f>ROUND(0.9*F361+0.05*G361+0.05*H361,8)</f>
        <v/>
      </c>
    </row>
    <row r="362">
      <c r="A362" s="2" t="n">
        <v>44285</v>
      </c>
      <c r="B362" s="8" t="n">
        <v>2018.13</v>
      </c>
      <c r="C362" s="8" t="n">
        <v>120.4836</v>
      </c>
      <c r="D362" s="8" t="n">
        <v>0.35</v>
      </c>
      <c r="E362">
        <f>A362-A361</f>
        <v/>
      </c>
      <c r="F362" s="4">
        <f>ROUND(B362/B361-1,8)</f>
        <v/>
      </c>
      <c r="G362" s="4">
        <f>ROUND(C362/C361-1,8)</f>
        <v/>
      </c>
      <c r="H362" s="4">
        <f>ROUND(D362/100/(DATE(YEAR(A362)+1,1,1)-DATE(YEAR(A362),1,1))*E362,8)</f>
        <v/>
      </c>
      <c r="I362" s="4">
        <f>ROUND(I361*(1+F362),8)</f>
        <v/>
      </c>
      <c r="J362" s="4">
        <f>ROUND(J361*(1+G362),8)</f>
        <v/>
      </c>
      <c r="K362" s="4">
        <f>ROUND(K361+H362,8)</f>
        <v/>
      </c>
      <c r="L362" s="4">
        <f>ROUND(0.9*F362+0.05*G362+0.05*H362,8)</f>
        <v/>
      </c>
    </row>
    <row r="363">
      <c r="A363" s="2" t="n">
        <v>44286</v>
      </c>
      <c r="B363" s="8" t="n">
        <v>2023.18</v>
      </c>
      <c r="C363" s="8" t="n">
        <v>120.5219</v>
      </c>
      <c r="D363" s="8" t="n">
        <v>0.35</v>
      </c>
      <c r="E363">
        <f>A363-A362</f>
        <v/>
      </c>
      <c r="F363" s="4">
        <f>ROUND(B363/B362-1,8)</f>
        <v/>
      </c>
      <c r="G363" s="4">
        <f>ROUND(C363/C362-1,8)</f>
        <v/>
      </c>
      <c r="H363" s="4">
        <f>ROUND(D363/100/(DATE(YEAR(A363)+1,1,1)-DATE(YEAR(A363),1,1))*E363,8)</f>
        <v/>
      </c>
      <c r="I363" s="4">
        <f>ROUND(I362*(1+F363),8)</f>
        <v/>
      </c>
      <c r="J363" s="4">
        <f>ROUND(J362*(1+G363),8)</f>
        <v/>
      </c>
      <c r="K363" s="4">
        <f>ROUND(K362+H363,8)</f>
        <v/>
      </c>
      <c r="L363" s="4">
        <f>ROUND(0.9*F363+0.05*G363+0.05*H363,8)</f>
        <v/>
      </c>
    </row>
    <row r="364">
      <c r="A364" s="2" t="n">
        <v>44287</v>
      </c>
      <c r="B364" s="8" t="n">
        <v>2021.36</v>
      </c>
      <c r="C364" s="8" t="n">
        <v>120.5216</v>
      </c>
      <c r="D364" s="8" t="n">
        <v>0.35</v>
      </c>
      <c r="E364">
        <f>A364-A363</f>
        <v/>
      </c>
      <c r="F364" s="4">
        <f>ROUND(B364/B363-1,8)</f>
        <v/>
      </c>
      <c r="G364" s="4">
        <f>ROUND(C364/C363-1,8)</f>
        <v/>
      </c>
      <c r="H364" s="4">
        <f>ROUND(D364/100/(DATE(YEAR(A364)+1,1,1)-DATE(YEAR(A364),1,1))*E364,8)</f>
        <v/>
      </c>
      <c r="I364" s="4">
        <f>ROUND(I363*(1+F364),8)</f>
        <v/>
      </c>
      <c r="J364" s="4">
        <f>ROUND(J363*(1+G364),8)</f>
        <v/>
      </c>
      <c r="K364" s="4">
        <f>ROUND(K363+H364,8)</f>
        <v/>
      </c>
      <c r="L364" s="4">
        <f>ROUND(0.9*F364+0.05*G364+0.05*H364,8)</f>
        <v/>
      </c>
    </row>
    <row r="365">
      <c r="A365" s="2" t="n">
        <v>44288</v>
      </c>
      <c r="B365" s="8" t="n">
        <v>2025.58</v>
      </c>
      <c r="C365" s="8" t="n">
        <v>120.547</v>
      </c>
      <c r="D365" s="8" t="n">
        <v>0.35</v>
      </c>
      <c r="E365">
        <f>A365-A364</f>
        <v/>
      </c>
      <c r="F365" s="4">
        <f>ROUND(B365/B364-1,8)</f>
        <v/>
      </c>
      <c r="G365" s="4">
        <f>ROUND(C365/C364-1,8)</f>
        <v/>
      </c>
      <c r="H365" s="4">
        <f>ROUND(D365/100/(DATE(YEAR(A365)+1,1,1)-DATE(YEAR(A365),1,1))*E365,8)</f>
        <v/>
      </c>
      <c r="I365" s="4">
        <f>ROUND(I364*(1+F365),8)</f>
        <v/>
      </c>
      <c r="J365" s="4">
        <f>ROUND(J364*(1+G365),8)</f>
        <v/>
      </c>
      <c r="K365" s="4">
        <f>ROUND(K364+H365,8)</f>
        <v/>
      </c>
      <c r="L365" s="4">
        <f>ROUND(0.9*F365+0.05*G365+0.05*H365,8)</f>
        <v/>
      </c>
    </row>
    <row r="366">
      <c r="A366" s="2" t="n">
        <v>44292</v>
      </c>
      <c r="B366" s="8" t="n">
        <v>2054.19</v>
      </c>
      <c r="C366" s="8" t="n">
        <v>120.5488</v>
      </c>
      <c r="D366" s="8" t="n">
        <v>0.35</v>
      </c>
      <c r="E366">
        <f>A366-A365</f>
        <v/>
      </c>
      <c r="F366" s="4">
        <f>ROUND(B366/B365-1,8)</f>
        <v/>
      </c>
      <c r="G366" s="4">
        <f>ROUND(C366/C365-1,8)</f>
        <v/>
      </c>
      <c r="H366" s="4">
        <f>ROUND(D366/100/(DATE(YEAR(A366)+1,1,1)-DATE(YEAR(A366),1,1))*E366,8)</f>
        <v/>
      </c>
      <c r="I366" s="4">
        <f>ROUND(I365*(1+F366),8)</f>
        <v/>
      </c>
      <c r="J366" s="4">
        <f>ROUND(J365*(1+G366),8)</f>
        <v/>
      </c>
      <c r="K366" s="4">
        <f>ROUND(K365+H366,8)</f>
        <v/>
      </c>
      <c r="L366" s="4">
        <f>ROUND(0.9*F366+0.05*G366+0.05*H366,8)</f>
        <v/>
      </c>
    </row>
    <row r="367">
      <c r="A367" s="2" t="n">
        <v>44293</v>
      </c>
      <c r="B367" s="8" t="n">
        <v>2066.61</v>
      </c>
      <c r="C367" s="8" t="n">
        <v>120.5299</v>
      </c>
      <c r="D367" s="8" t="n">
        <v>0.35</v>
      </c>
      <c r="E367">
        <f>A367-A366</f>
        <v/>
      </c>
      <c r="F367" s="4">
        <f>ROUND(B367/B366-1,8)</f>
        <v/>
      </c>
      <c r="G367" s="4">
        <f>ROUND(C367/C366-1,8)</f>
        <v/>
      </c>
      <c r="H367" s="4">
        <f>ROUND(D367/100/(DATE(YEAR(A367)+1,1,1)-DATE(YEAR(A367),1,1))*E367,8)</f>
        <v/>
      </c>
      <c r="I367" s="4">
        <f>ROUND(I366*(1+F367),8)</f>
        <v/>
      </c>
      <c r="J367" s="4">
        <f>ROUND(J366*(1+G367),8)</f>
        <v/>
      </c>
      <c r="K367" s="4">
        <f>ROUND(K366+H367,8)</f>
        <v/>
      </c>
      <c r="L367" s="4">
        <f>ROUND(0.9*F367+0.05*G367+0.05*H367,8)</f>
        <v/>
      </c>
    </row>
    <row r="368">
      <c r="A368" s="2" t="n">
        <v>44294</v>
      </c>
      <c r="B368" s="8" t="n">
        <v>2047.9</v>
      </c>
      <c r="C368" s="8" t="n">
        <v>120.5258</v>
      </c>
      <c r="D368" s="8" t="n">
        <v>0.35</v>
      </c>
      <c r="E368">
        <f>A368-A367</f>
        <v/>
      </c>
      <c r="F368" s="4">
        <f>ROUND(B368/B367-1,8)</f>
        <v/>
      </c>
      <c r="G368" s="4">
        <f>ROUND(C368/C367-1,8)</f>
        <v/>
      </c>
      <c r="H368" s="4">
        <f>ROUND(D368/100/(DATE(YEAR(A368)+1,1,1)-DATE(YEAR(A368),1,1))*E368,8)</f>
        <v/>
      </c>
      <c r="I368" s="4">
        <f>ROUND(I367*(1+F368),8)</f>
        <v/>
      </c>
      <c r="J368" s="4">
        <f>ROUND(J367*(1+G368),8)</f>
        <v/>
      </c>
      <c r="K368" s="4">
        <f>ROUND(K367+H368,8)</f>
        <v/>
      </c>
      <c r="L368" s="4">
        <f>ROUND(0.9*F368+0.05*G368+0.05*H368,8)</f>
        <v/>
      </c>
    </row>
    <row r="369">
      <c r="A369" s="2" t="n">
        <v>44295</v>
      </c>
      <c r="B369" s="8" t="n">
        <v>2051.92</v>
      </c>
      <c r="C369" s="8" t="n">
        <v>120.5408</v>
      </c>
      <c r="D369" s="8" t="n">
        <v>0.35</v>
      </c>
      <c r="E369">
        <f>A369-A368</f>
        <v/>
      </c>
      <c r="F369" s="4">
        <f>ROUND(B369/B368-1,8)</f>
        <v/>
      </c>
      <c r="G369" s="4">
        <f>ROUND(C369/C368-1,8)</f>
        <v/>
      </c>
      <c r="H369" s="4">
        <f>ROUND(D369/100/(DATE(YEAR(A369)+1,1,1)-DATE(YEAR(A369),1,1))*E369,8)</f>
        <v/>
      </c>
      <c r="I369" s="4">
        <f>ROUND(I368*(1+F369),8)</f>
        <v/>
      </c>
      <c r="J369" s="4">
        <f>ROUND(J368*(1+G369),8)</f>
        <v/>
      </c>
      <c r="K369" s="4">
        <f>ROUND(K368+H369,8)</f>
        <v/>
      </c>
      <c r="L369" s="4">
        <f>ROUND(0.9*F369+0.05*G369+0.05*H369,8)</f>
        <v/>
      </c>
    </row>
    <row r="370">
      <c r="A370" s="2" t="n">
        <v>44298</v>
      </c>
      <c r="B370" s="8" t="n">
        <v>2025.09</v>
      </c>
      <c r="C370" s="8" t="n">
        <v>120.5628</v>
      </c>
      <c r="D370" s="8" t="n">
        <v>0.35</v>
      </c>
      <c r="E370">
        <f>A370-A369</f>
        <v/>
      </c>
      <c r="F370" s="4">
        <f>ROUND(B370/B369-1,8)</f>
        <v/>
      </c>
      <c r="G370" s="4">
        <f>ROUND(C370/C369-1,8)</f>
        <v/>
      </c>
      <c r="H370" s="4">
        <f>ROUND(D370/100/(DATE(YEAR(A370)+1,1,1)-DATE(YEAR(A370),1,1))*E370,8)</f>
        <v/>
      </c>
      <c r="I370" s="4">
        <f>ROUND(I369*(1+F370),8)</f>
        <v/>
      </c>
      <c r="J370" s="4">
        <f>ROUND(J369*(1+G370),8)</f>
        <v/>
      </c>
      <c r="K370" s="4">
        <f>ROUND(K369+H370,8)</f>
        <v/>
      </c>
      <c r="L370" s="4">
        <f>ROUND(0.9*F370+0.05*G370+0.05*H370,8)</f>
        <v/>
      </c>
    </row>
    <row r="371">
      <c r="A371" s="2" t="n">
        <v>44299</v>
      </c>
      <c r="B371" s="8" t="n">
        <v>2010.61</v>
      </c>
      <c r="C371" s="8" t="n">
        <v>120.6615</v>
      </c>
      <c r="D371" s="8" t="n">
        <v>0.35</v>
      </c>
      <c r="E371">
        <f>A371-A370</f>
        <v/>
      </c>
      <c r="F371" s="4">
        <f>ROUND(B371/B370-1,8)</f>
        <v/>
      </c>
      <c r="G371" s="4">
        <f>ROUND(C371/C370-1,8)</f>
        <v/>
      </c>
      <c r="H371" s="4">
        <f>ROUND(D371/100/(DATE(YEAR(A371)+1,1,1)-DATE(YEAR(A371),1,1))*E371,8)</f>
        <v/>
      </c>
      <c r="I371" s="4">
        <f>ROUND(I370*(1+F371),8)</f>
        <v/>
      </c>
      <c r="J371" s="4">
        <f>ROUND(J370*(1+G371),8)</f>
        <v/>
      </c>
      <c r="K371" s="4">
        <f>ROUND(K370+H371,8)</f>
        <v/>
      </c>
      <c r="L371" s="4">
        <f>ROUND(0.9*F371+0.05*G371+0.05*H371,8)</f>
        <v/>
      </c>
    </row>
    <row r="372">
      <c r="A372" s="2" t="n">
        <v>44300</v>
      </c>
      <c r="B372" s="8" t="n">
        <v>2033.23</v>
      </c>
      <c r="C372" s="8" t="n">
        <v>120.6901</v>
      </c>
      <c r="D372" s="8" t="n">
        <v>0.35</v>
      </c>
      <c r="E372">
        <f>A372-A371</f>
        <v/>
      </c>
      <c r="F372" s="4">
        <f>ROUND(B372/B371-1,8)</f>
        <v/>
      </c>
      <c r="G372" s="4">
        <f>ROUND(C372/C371-1,8)</f>
        <v/>
      </c>
      <c r="H372" s="4">
        <f>ROUND(D372/100/(DATE(YEAR(A372)+1,1,1)-DATE(YEAR(A372),1,1))*E372,8)</f>
        <v/>
      </c>
      <c r="I372" s="4">
        <f>ROUND(I371*(1+F372),8)</f>
        <v/>
      </c>
      <c r="J372" s="4">
        <f>ROUND(J371*(1+G372),8)</f>
        <v/>
      </c>
      <c r="K372" s="4">
        <f>ROUND(K371+H372,8)</f>
        <v/>
      </c>
      <c r="L372" s="4">
        <f>ROUND(0.9*F372+0.05*G372+0.05*H372,8)</f>
        <v/>
      </c>
    </row>
    <row r="373">
      <c r="A373" s="2" t="n">
        <v>44301</v>
      </c>
      <c r="B373" s="8" t="n">
        <v>2030.38</v>
      </c>
      <c r="C373" s="8" t="n">
        <v>120.7269</v>
      </c>
      <c r="D373" s="8" t="n">
        <v>0.35</v>
      </c>
      <c r="E373">
        <f>A373-A372</f>
        <v/>
      </c>
      <c r="F373" s="4">
        <f>ROUND(B373/B372-1,8)</f>
        <v/>
      </c>
      <c r="G373" s="4">
        <f>ROUND(C373/C372-1,8)</f>
        <v/>
      </c>
      <c r="H373" s="4">
        <f>ROUND(D373/100/(DATE(YEAR(A373)+1,1,1)-DATE(YEAR(A373),1,1))*E373,8)</f>
        <v/>
      </c>
      <c r="I373" s="4">
        <f>ROUND(I372*(1+F373),8)</f>
        <v/>
      </c>
      <c r="J373" s="4">
        <f>ROUND(J372*(1+G373),8)</f>
        <v/>
      </c>
      <c r="K373" s="4">
        <f>ROUND(K372+H373,8)</f>
        <v/>
      </c>
      <c r="L373" s="4">
        <f>ROUND(0.9*F373+0.05*G373+0.05*H373,8)</f>
        <v/>
      </c>
    </row>
    <row r="374">
      <c r="A374" s="2" t="n">
        <v>44302</v>
      </c>
      <c r="B374" s="8" t="n">
        <v>2068.89</v>
      </c>
      <c r="C374" s="8" t="n">
        <v>120.7455</v>
      </c>
      <c r="D374" s="8" t="n">
        <v>0.35</v>
      </c>
      <c r="E374">
        <f>A374-A373</f>
        <v/>
      </c>
      <c r="F374" s="4">
        <f>ROUND(B374/B373-1,8)</f>
        <v/>
      </c>
      <c r="G374" s="4">
        <f>ROUND(C374/C373-1,8)</f>
        <v/>
      </c>
      <c r="H374" s="4">
        <f>ROUND(D374/100/(DATE(YEAR(A374)+1,1,1)-DATE(YEAR(A374),1,1))*E374,8)</f>
        <v/>
      </c>
      <c r="I374" s="4">
        <f>ROUND(I373*(1+F374),8)</f>
        <v/>
      </c>
      <c r="J374" s="4">
        <f>ROUND(J373*(1+G374),8)</f>
        <v/>
      </c>
      <c r="K374" s="4">
        <f>ROUND(K373+H374,8)</f>
        <v/>
      </c>
      <c r="L374" s="4">
        <f>ROUND(0.9*F374+0.05*G374+0.05*H374,8)</f>
        <v/>
      </c>
    </row>
    <row r="375">
      <c r="A375" s="2" t="n">
        <v>44305</v>
      </c>
      <c r="B375" s="8" t="n">
        <v>2095.64</v>
      </c>
      <c r="C375" s="8" t="n">
        <v>120.7666</v>
      </c>
      <c r="D375" s="8" t="n">
        <v>0.35</v>
      </c>
      <c r="E375">
        <f>A375-A374</f>
        <v/>
      </c>
      <c r="F375" s="4">
        <f>ROUND(B375/B374-1,8)</f>
        <v/>
      </c>
      <c r="G375" s="4">
        <f>ROUND(C375/C374-1,8)</f>
        <v/>
      </c>
      <c r="H375" s="4">
        <f>ROUND(D375/100/(DATE(YEAR(A375)+1,1,1)-DATE(YEAR(A375),1,1))*E375,8)</f>
        <v/>
      </c>
      <c r="I375" s="4">
        <f>ROUND(I374*(1+F375),8)</f>
        <v/>
      </c>
      <c r="J375" s="4">
        <f>ROUND(J374*(1+G375),8)</f>
        <v/>
      </c>
      <c r="K375" s="4">
        <f>ROUND(K374+H375,8)</f>
        <v/>
      </c>
      <c r="L375" s="4">
        <f>ROUND(0.9*F375+0.05*G375+0.05*H375,8)</f>
        <v/>
      </c>
    </row>
    <row r="376">
      <c r="A376" s="2" t="n">
        <v>44306</v>
      </c>
      <c r="B376" s="8" t="n">
        <v>2087.13</v>
      </c>
      <c r="C376" s="8" t="n">
        <v>120.8098</v>
      </c>
      <c r="D376" s="8" t="n">
        <v>0.35</v>
      </c>
      <c r="E376">
        <f>A376-A375</f>
        <v/>
      </c>
      <c r="F376" s="4">
        <f>ROUND(B376/B375-1,8)</f>
        <v/>
      </c>
      <c r="G376" s="4">
        <f>ROUND(C376/C375-1,8)</f>
        <v/>
      </c>
      <c r="H376" s="4">
        <f>ROUND(D376/100/(DATE(YEAR(A376)+1,1,1)-DATE(YEAR(A376),1,1))*E376,8)</f>
        <v/>
      </c>
      <c r="I376" s="4">
        <f>ROUND(I375*(1+F376),8)</f>
        <v/>
      </c>
      <c r="J376" s="4">
        <f>ROUND(J375*(1+G376),8)</f>
        <v/>
      </c>
      <c r="K376" s="4">
        <f>ROUND(K375+H376,8)</f>
        <v/>
      </c>
      <c r="L376" s="4">
        <f>ROUND(0.9*F376+0.05*G376+0.05*H376,8)</f>
        <v/>
      </c>
    </row>
    <row r="377">
      <c r="A377" s="2" t="n">
        <v>44307</v>
      </c>
      <c r="B377" s="8" t="n">
        <v>2080.07</v>
      </c>
      <c r="C377" s="8" t="n">
        <v>120.8482</v>
      </c>
      <c r="D377" s="8" t="n">
        <v>0.35</v>
      </c>
      <c r="E377">
        <f>A377-A376</f>
        <v/>
      </c>
      <c r="F377" s="4">
        <f>ROUND(B377/B376-1,8)</f>
        <v/>
      </c>
      <c r="G377" s="4">
        <f>ROUND(C377/C376-1,8)</f>
        <v/>
      </c>
      <c r="H377" s="4">
        <f>ROUND(D377/100/(DATE(YEAR(A377)+1,1,1)-DATE(YEAR(A377),1,1))*E377,8)</f>
        <v/>
      </c>
      <c r="I377" s="4">
        <f>ROUND(I376*(1+F377),8)</f>
        <v/>
      </c>
      <c r="J377" s="4">
        <f>ROUND(J376*(1+G377),8)</f>
        <v/>
      </c>
      <c r="K377" s="4">
        <f>ROUND(K376+H377,8)</f>
        <v/>
      </c>
      <c r="L377" s="4">
        <f>ROUND(0.9*F377+0.05*G377+0.05*H377,8)</f>
        <v/>
      </c>
    </row>
    <row r="378">
      <c r="A378" s="2" t="n">
        <v>44308</v>
      </c>
      <c r="B378" s="8" t="n">
        <v>2089.89</v>
      </c>
      <c r="C378" s="8" t="n">
        <v>120.829</v>
      </c>
      <c r="D378" s="8" t="n">
        <v>0.35</v>
      </c>
      <c r="E378">
        <f>A378-A377</f>
        <v/>
      </c>
      <c r="F378" s="4">
        <f>ROUND(B378/B377-1,8)</f>
        <v/>
      </c>
      <c r="G378" s="4">
        <f>ROUND(C378/C377-1,8)</f>
        <v/>
      </c>
      <c r="H378" s="4">
        <f>ROUND(D378/100/(DATE(YEAR(A378)+1,1,1)-DATE(YEAR(A378),1,1))*E378,8)</f>
        <v/>
      </c>
      <c r="I378" s="4">
        <f>ROUND(I377*(1+F378),8)</f>
        <v/>
      </c>
      <c r="J378" s="4">
        <f>ROUND(J377*(1+G378),8)</f>
        <v/>
      </c>
      <c r="K378" s="4">
        <f>ROUND(K377+H378,8)</f>
        <v/>
      </c>
      <c r="L378" s="4">
        <f>ROUND(0.9*F378+0.05*G378+0.05*H378,8)</f>
        <v/>
      </c>
    </row>
    <row r="379">
      <c r="A379" s="2" t="n">
        <v>44309</v>
      </c>
      <c r="B379" s="8" t="n">
        <v>2070.66</v>
      </c>
      <c r="C379" s="8" t="n">
        <v>120.799</v>
      </c>
      <c r="D379" s="8" t="n">
        <v>0.35</v>
      </c>
      <c r="E379">
        <f>A379-A378</f>
        <v/>
      </c>
      <c r="F379" s="4">
        <f>ROUND(B379/B378-1,8)</f>
        <v/>
      </c>
      <c r="G379" s="4">
        <f>ROUND(C379/C378-1,8)</f>
        <v/>
      </c>
      <c r="H379" s="4">
        <f>ROUND(D379/100/(DATE(YEAR(A379)+1,1,1)-DATE(YEAR(A379),1,1))*E379,8)</f>
        <v/>
      </c>
      <c r="I379" s="4">
        <f>ROUND(I378*(1+F379),8)</f>
        <v/>
      </c>
      <c r="J379" s="4">
        <f>ROUND(J378*(1+G379),8)</f>
        <v/>
      </c>
      <c r="K379" s="4">
        <f>ROUND(K378+H379,8)</f>
        <v/>
      </c>
      <c r="L379" s="4">
        <f>ROUND(0.9*F379+0.05*G379+0.05*H379,8)</f>
        <v/>
      </c>
    </row>
    <row r="380">
      <c r="A380" s="2" t="n">
        <v>44312</v>
      </c>
      <c r="B380" s="8" t="n">
        <v>2064.79</v>
      </c>
      <c r="C380" s="8" t="n">
        <v>120.704</v>
      </c>
      <c r="D380" s="8" t="n">
        <v>0.35</v>
      </c>
      <c r="E380">
        <f>A380-A379</f>
        <v/>
      </c>
      <c r="F380" s="4">
        <f>ROUND(B380/B379-1,8)</f>
        <v/>
      </c>
      <c r="G380" s="4">
        <f>ROUND(C380/C379-1,8)</f>
        <v/>
      </c>
      <c r="H380" s="4">
        <f>ROUND(D380/100/(DATE(YEAR(A380)+1,1,1)-DATE(YEAR(A380),1,1))*E380,8)</f>
        <v/>
      </c>
      <c r="I380" s="4">
        <f>ROUND(I379*(1+F380),8)</f>
        <v/>
      </c>
      <c r="J380" s="4">
        <f>ROUND(J379*(1+G380),8)</f>
        <v/>
      </c>
      <c r="K380" s="4">
        <f>ROUND(K379+H380,8)</f>
        <v/>
      </c>
      <c r="L380" s="4">
        <f>ROUND(0.9*F380+0.05*G380+0.05*H380,8)</f>
        <v/>
      </c>
    </row>
    <row r="381">
      <c r="A381" s="2" t="n">
        <v>44313</v>
      </c>
      <c r="B381" s="8" t="n">
        <v>2050.88</v>
      </c>
      <c r="C381" s="8" t="n">
        <v>120.6736</v>
      </c>
      <c r="D381" s="8" t="n">
        <v>0.35</v>
      </c>
      <c r="E381">
        <f>A381-A380</f>
        <v/>
      </c>
      <c r="F381" s="4">
        <f>ROUND(B381/B380-1,8)</f>
        <v/>
      </c>
      <c r="G381" s="4">
        <f>ROUND(C381/C380-1,8)</f>
        <v/>
      </c>
      <c r="H381" s="4">
        <f>ROUND(D381/100/(DATE(YEAR(A381)+1,1,1)-DATE(YEAR(A381),1,1))*E381,8)</f>
        <v/>
      </c>
      <c r="I381" s="4">
        <f>ROUND(I380*(1+F381),8)</f>
        <v/>
      </c>
      <c r="J381" s="4">
        <f>ROUND(J380*(1+G381),8)</f>
        <v/>
      </c>
      <c r="K381" s="4">
        <f>ROUND(K380+H381,8)</f>
        <v/>
      </c>
      <c r="L381" s="4">
        <f>ROUND(0.9*F381+0.05*G381+0.05*H381,8)</f>
        <v/>
      </c>
    </row>
    <row r="382">
      <c r="A382" s="2" t="n">
        <v>44314</v>
      </c>
      <c r="B382" s="8" t="n">
        <v>2052.81</v>
      </c>
      <c r="C382" s="8" t="n">
        <v>120.6639</v>
      </c>
      <c r="D382" s="8" t="n">
        <v>0.35</v>
      </c>
      <c r="E382">
        <f>A382-A381</f>
        <v/>
      </c>
      <c r="F382" s="4">
        <f>ROUND(B382/B381-1,8)</f>
        <v/>
      </c>
      <c r="G382" s="4">
        <f>ROUND(C382/C381-1,8)</f>
        <v/>
      </c>
      <c r="H382" s="4">
        <f>ROUND(D382/100/(DATE(YEAR(A382)+1,1,1)-DATE(YEAR(A382),1,1))*E382,8)</f>
        <v/>
      </c>
      <c r="I382" s="4">
        <f>ROUND(I381*(1+F382),8)</f>
        <v/>
      </c>
      <c r="J382" s="4">
        <f>ROUND(J381*(1+G382),8)</f>
        <v/>
      </c>
      <c r="K382" s="4">
        <f>ROUND(K381+H382,8)</f>
        <v/>
      </c>
      <c r="L382" s="4">
        <f>ROUND(0.9*F382+0.05*G382+0.05*H382,8)</f>
        <v/>
      </c>
    </row>
    <row r="383">
      <c r="A383" s="2" t="n">
        <v>44315</v>
      </c>
      <c r="B383" s="8" t="n">
        <v>2041.2</v>
      </c>
      <c r="C383" s="8" t="n">
        <v>120.6861</v>
      </c>
      <c r="D383" s="8" t="n">
        <v>0.35</v>
      </c>
      <c r="E383">
        <f>A383-A382</f>
        <v/>
      </c>
      <c r="F383" s="4">
        <f>ROUND(B383/B382-1,8)</f>
        <v/>
      </c>
      <c r="G383" s="4">
        <f>ROUND(C383/C382-1,8)</f>
        <v/>
      </c>
      <c r="H383" s="4">
        <f>ROUND(D383/100/(DATE(YEAR(A383)+1,1,1)-DATE(YEAR(A383),1,1))*E383,8)</f>
        <v/>
      </c>
      <c r="I383" s="4">
        <f>ROUND(I382*(1+F383),8)</f>
        <v/>
      </c>
      <c r="J383" s="4">
        <f>ROUND(J382*(1+G383),8)</f>
        <v/>
      </c>
      <c r="K383" s="4">
        <f>ROUND(K382+H383,8)</f>
        <v/>
      </c>
      <c r="L383" s="4">
        <f>ROUND(0.9*F383+0.05*G383+0.05*H383,8)</f>
        <v/>
      </c>
    </row>
    <row r="384">
      <c r="A384" s="2" t="n">
        <v>44316</v>
      </c>
      <c r="B384" s="8" t="n">
        <v>2031.33</v>
      </c>
      <c r="C384" s="8" t="n">
        <v>120.7244</v>
      </c>
      <c r="D384" s="8" t="n">
        <v>0.35</v>
      </c>
      <c r="E384">
        <f>A384-A383</f>
        <v/>
      </c>
      <c r="F384" s="4">
        <f>ROUND(B384/B383-1,8)</f>
        <v/>
      </c>
      <c r="G384" s="4">
        <f>ROUND(C384/C383-1,8)</f>
        <v/>
      </c>
      <c r="H384" s="4">
        <f>ROUND(D384/100/(DATE(YEAR(A384)+1,1,1)-DATE(YEAR(A384),1,1))*E384,8)</f>
        <v/>
      </c>
      <c r="I384" s="4">
        <f>ROUND(I383*(1+F384),8)</f>
        <v/>
      </c>
      <c r="J384" s="4">
        <f>ROUND(J383*(1+G384),8)</f>
        <v/>
      </c>
      <c r="K384" s="4">
        <f>ROUND(K383+H384,8)</f>
        <v/>
      </c>
      <c r="L384" s="4">
        <f>ROUND(0.9*F384+0.05*G384+0.05*H384,8)</f>
        <v/>
      </c>
    </row>
    <row r="385">
      <c r="A385" s="2" t="n">
        <v>44322</v>
      </c>
      <c r="B385" s="8" t="n">
        <v>2045.9</v>
      </c>
      <c r="C385" s="8" t="n">
        <v>120.8065</v>
      </c>
      <c r="D385" s="8" t="n">
        <v>0.35</v>
      </c>
      <c r="E385">
        <f>A385-A384</f>
        <v/>
      </c>
      <c r="F385" s="4">
        <f>ROUND(B385/B384-1,8)</f>
        <v/>
      </c>
      <c r="G385" s="4">
        <f>ROUND(C385/C384-1,8)</f>
        <v/>
      </c>
      <c r="H385" s="4">
        <f>ROUND(D385/100/(DATE(YEAR(A385)+1,1,1)-DATE(YEAR(A385),1,1))*E385,8)</f>
        <v/>
      </c>
      <c r="I385" s="4">
        <f>ROUND(I384*(1+F385),8)</f>
        <v/>
      </c>
      <c r="J385" s="4">
        <f>ROUND(J384*(1+G385),8)</f>
        <v/>
      </c>
      <c r="K385" s="4">
        <f>ROUND(K384+H385,8)</f>
        <v/>
      </c>
      <c r="L385" s="4">
        <f>ROUND(0.9*F385+0.05*G385+0.05*H385,8)</f>
        <v/>
      </c>
    </row>
    <row r="386">
      <c r="A386" s="2" t="n">
        <v>44323</v>
      </c>
      <c r="B386" s="8" t="n">
        <v>2033.57</v>
      </c>
      <c r="C386" s="8" t="n">
        <v>120.8564</v>
      </c>
      <c r="D386" s="8" t="n">
        <v>0.35</v>
      </c>
      <c r="E386">
        <f>A386-A385</f>
        <v/>
      </c>
      <c r="F386" s="4">
        <f>ROUND(B386/B385-1,8)</f>
        <v/>
      </c>
      <c r="G386" s="4">
        <f>ROUND(C386/C385-1,8)</f>
        <v/>
      </c>
      <c r="H386" s="4">
        <f>ROUND(D386/100/(DATE(YEAR(A386)+1,1,1)-DATE(YEAR(A386),1,1))*E386,8)</f>
        <v/>
      </c>
      <c r="I386" s="4">
        <f>ROUND(I385*(1+F386),8)</f>
        <v/>
      </c>
      <c r="J386" s="4">
        <f>ROUND(J385*(1+G386),8)</f>
        <v/>
      </c>
      <c r="K386" s="4">
        <f>ROUND(K385+H386,8)</f>
        <v/>
      </c>
      <c r="L386" s="4">
        <f>ROUND(0.9*F386+0.05*G386+0.05*H386,8)</f>
        <v/>
      </c>
    </row>
    <row r="387">
      <c r="A387" s="2" t="n">
        <v>44326</v>
      </c>
      <c r="B387" s="8" t="n">
        <v>2047.62</v>
      </c>
      <c r="C387" s="8" t="n">
        <v>120.8792</v>
      </c>
      <c r="D387" s="8" t="n">
        <v>0.35</v>
      </c>
      <c r="E387">
        <f>A387-A386</f>
        <v/>
      </c>
      <c r="F387" s="4">
        <f>ROUND(B387/B386-1,8)</f>
        <v/>
      </c>
      <c r="G387" s="4">
        <f>ROUND(C387/C386-1,8)</f>
        <v/>
      </c>
      <c r="H387" s="4">
        <f>ROUND(D387/100/(DATE(YEAR(A387)+1,1,1)-DATE(YEAR(A387),1,1))*E387,8)</f>
        <v/>
      </c>
      <c r="I387" s="4">
        <f>ROUND(I386*(1+F387),8)</f>
        <v/>
      </c>
      <c r="J387" s="4">
        <f>ROUND(J386*(1+G387),8)</f>
        <v/>
      </c>
      <c r="K387" s="4">
        <f>ROUND(K386+H387,8)</f>
        <v/>
      </c>
      <c r="L387" s="4">
        <f>ROUND(0.9*F387+0.05*G387+0.05*H387,8)</f>
        <v/>
      </c>
    </row>
    <row r="388">
      <c r="A388" s="2" t="n">
        <v>44327</v>
      </c>
      <c r="B388" s="8" t="n">
        <v>2052.51</v>
      </c>
      <c r="C388" s="8" t="n">
        <v>120.9261</v>
      </c>
      <c r="D388" s="8" t="n">
        <v>0.35</v>
      </c>
      <c r="E388">
        <f>A388-A387</f>
        <v/>
      </c>
      <c r="F388" s="4">
        <f>ROUND(B388/B387-1,8)</f>
        <v/>
      </c>
      <c r="G388" s="4">
        <f>ROUND(C388/C387-1,8)</f>
        <v/>
      </c>
      <c r="H388" s="4">
        <f>ROUND(D388/100/(DATE(YEAR(A388)+1,1,1)-DATE(YEAR(A388),1,1))*E388,8)</f>
        <v/>
      </c>
      <c r="I388" s="4">
        <f>ROUND(I387*(1+F388),8)</f>
        <v/>
      </c>
      <c r="J388" s="4">
        <f>ROUND(J387*(1+G388),8)</f>
        <v/>
      </c>
      <c r="K388" s="4">
        <f>ROUND(K387+H388,8)</f>
        <v/>
      </c>
      <c r="L388" s="4">
        <f>ROUND(0.9*F388+0.05*G388+0.05*H388,8)</f>
        <v/>
      </c>
    </row>
    <row r="389">
      <c r="A389" s="2" t="n">
        <v>44328</v>
      </c>
      <c r="B389" s="8" t="n">
        <v>2078.13</v>
      </c>
      <c r="C389" s="8" t="n">
        <v>120.9672</v>
      </c>
      <c r="D389" s="8" t="n">
        <v>0.35</v>
      </c>
      <c r="E389">
        <f>A389-A388</f>
        <v/>
      </c>
      <c r="F389" s="4">
        <f>ROUND(B389/B388-1,8)</f>
        <v/>
      </c>
      <c r="G389" s="4">
        <f>ROUND(C389/C388-1,8)</f>
        <v/>
      </c>
      <c r="H389" s="4">
        <f>ROUND(D389/100/(DATE(YEAR(A389)+1,1,1)-DATE(YEAR(A389),1,1))*E389,8)</f>
        <v/>
      </c>
      <c r="I389" s="4">
        <f>ROUND(I388*(1+F389),8)</f>
        <v/>
      </c>
      <c r="J389" s="4">
        <f>ROUND(J388*(1+G389),8)</f>
        <v/>
      </c>
      <c r="K389" s="4">
        <f>ROUND(K388+H389,8)</f>
        <v/>
      </c>
      <c r="L389" s="4">
        <f>ROUND(0.9*F389+0.05*G389+0.05*H389,8)</f>
        <v/>
      </c>
    </row>
    <row r="390">
      <c r="A390" s="2" t="n">
        <v>44329</v>
      </c>
      <c r="B390" s="8" t="n">
        <v>2068.94</v>
      </c>
      <c r="C390" s="8" t="n">
        <v>120.9469</v>
      </c>
      <c r="D390" s="8" t="n">
        <v>0.35</v>
      </c>
      <c r="E390">
        <f>A390-A389</f>
        <v/>
      </c>
      <c r="F390" s="4">
        <f>ROUND(B390/B389-1,8)</f>
        <v/>
      </c>
      <c r="G390" s="4">
        <f>ROUND(C390/C389-1,8)</f>
        <v/>
      </c>
      <c r="H390" s="4">
        <f>ROUND(D390/100/(DATE(YEAR(A390)+1,1,1)-DATE(YEAR(A390),1,1))*E390,8)</f>
        <v/>
      </c>
      <c r="I390" s="4">
        <f>ROUND(I389*(1+F390),8)</f>
        <v/>
      </c>
      <c r="J390" s="4">
        <f>ROUND(J389*(1+G390),8)</f>
        <v/>
      </c>
      <c r="K390" s="4">
        <f>ROUND(K389+H390,8)</f>
        <v/>
      </c>
      <c r="L390" s="4">
        <f>ROUND(0.9*F390+0.05*G390+0.05*H390,8)</f>
        <v/>
      </c>
    </row>
    <row r="391">
      <c r="A391" s="2" t="n">
        <v>44330</v>
      </c>
      <c r="B391" s="8" t="n">
        <v>2092.05</v>
      </c>
      <c r="C391" s="8" t="n">
        <v>120.9584</v>
      </c>
      <c r="D391" s="8" t="n">
        <v>0.35</v>
      </c>
      <c r="E391">
        <f>A391-A390</f>
        <v/>
      </c>
      <c r="F391" s="4">
        <f>ROUND(B391/B390-1,8)</f>
        <v/>
      </c>
      <c r="G391" s="4">
        <f>ROUND(C391/C390-1,8)</f>
        <v/>
      </c>
      <c r="H391" s="4">
        <f>ROUND(D391/100/(DATE(YEAR(A391)+1,1,1)-DATE(YEAR(A391),1,1))*E391,8)</f>
        <v/>
      </c>
      <c r="I391" s="4">
        <f>ROUND(I390*(1+F391),8)</f>
        <v/>
      </c>
      <c r="J391" s="4">
        <f>ROUND(J390*(1+G391),8)</f>
        <v/>
      </c>
      <c r="K391" s="4">
        <f>ROUND(K390+H391,8)</f>
        <v/>
      </c>
      <c r="L391" s="4">
        <f>ROUND(0.9*F391+0.05*G391+0.05*H391,8)</f>
        <v/>
      </c>
    </row>
    <row r="392">
      <c r="A392" s="2" t="n">
        <v>44333</v>
      </c>
      <c r="B392" s="8" t="n">
        <v>2064.71</v>
      </c>
      <c r="C392" s="8" t="n">
        <v>120.9399</v>
      </c>
      <c r="D392" s="8" t="n">
        <v>0.35</v>
      </c>
      <c r="E392">
        <f>A392-A391</f>
        <v/>
      </c>
      <c r="F392" s="4">
        <f>ROUND(B392/B391-1,8)</f>
        <v/>
      </c>
      <c r="G392" s="4">
        <f>ROUND(C392/C391-1,8)</f>
        <v/>
      </c>
      <c r="H392" s="4">
        <f>ROUND(D392/100/(DATE(YEAR(A392)+1,1,1)-DATE(YEAR(A392),1,1))*E392,8)</f>
        <v/>
      </c>
      <c r="I392" s="4">
        <f>ROUND(I391*(1+F392),8)</f>
        <v/>
      </c>
      <c r="J392" s="4">
        <f>ROUND(J391*(1+G392),8)</f>
        <v/>
      </c>
      <c r="K392" s="4">
        <f>ROUND(K391+H392,8)</f>
        <v/>
      </c>
      <c r="L392" s="4">
        <f>ROUND(0.9*F392+0.05*G392+0.05*H392,8)</f>
        <v/>
      </c>
    </row>
    <row r="393">
      <c r="A393" s="2" t="n">
        <v>44334</v>
      </c>
      <c r="B393" s="8" t="n">
        <v>2076.12</v>
      </c>
      <c r="C393" s="8" t="n">
        <v>120.9522</v>
      </c>
      <c r="D393" s="8" t="n">
        <v>0.35</v>
      </c>
      <c r="E393">
        <f>A393-A392</f>
        <v/>
      </c>
      <c r="F393" s="4">
        <f>ROUND(B393/B392-1,8)</f>
        <v/>
      </c>
      <c r="G393" s="4">
        <f>ROUND(C393/C392-1,8)</f>
        <v/>
      </c>
      <c r="H393" s="4">
        <f>ROUND(D393/100/(DATE(YEAR(A393)+1,1,1)-DATE(YEAR(A393),1,1))*E393,8)</f>
        <v/>
      </c>
      <c r="I393" s="4">
        <f>ROUND(I392*(1+F393),8)</f>
        <v/>
      </c>
      <c r="J393" s="4">
        <f>ROUND(J392*(1+G393),8)</f>
        <v/>
      </c>
      <c r="K393" s="4">
        <f>ROUND(K392+H393,8)</f>
        <v/>
      </c>
      <c r="L393" s="4">
        <f>ROUND(0.9*F393+0.05*G393+0.05*H393,8)</f>
        <v/>
      </c>
    </row>
    <row r="394">
      <c r="A394" s="2" t="n">
        <v>44335</v>
      </c>
      <c r="B394" s="8" t="n">
        <v>2077.15</v>
      </c>
      <c r="C394" s="8" t="n">
        <v>121.0043</v>
      </c>
      <c r="D394" s="8" t="n">
        <v>0.35</v>
      </c>
      <c r="E394">
        <f>A394-A393</f>
        <v/>
      </c>
      <c r="F394" s="4">
        <f>ROUND(B394/B393-1,8)</f>
        <v/>
      </c>
      <c r="G394" s="4">
        <f>ROUND(C394/C393-1,8)</f>
        <v/>
      </c>
      <c r="H394" s="4">
        <f>ROUND(D394/100/(DATE(YEAR(A394)+1,1,1)-DATE(YEAR(A394),1,1))*E394,8)</f>
        <v/>
      </c>
      <c r="I394" s="4">
        <f>ROUND(I393*(1+F394),8)</f>
        <v/>
      </c>
      <c r="J394" s="4">
        <f>ROUND(J393*(1+G394),8)</f>
        <v/>
      </c>
      <c r="K394" s="4">
        <f>ROUND(K393+H394,8)</f>
        <v/>
      </c>
      <c r="L394" s="4">
        <f>ROUND(0.9*F394+0.05*G394+0.05*H394,8)</f>
        <v/>
      </c>
    </row>
    <row r="395">
      <c r="A395" s="2" t="n">
        <v>44336</v>
      </c>
      <c r="B395" s="8" t="n">
        <v>2070.53</v>
      </c>
      <c r="C395" s="8" t="n">
        <v>121.0767</v>
      </c>
      <c r="D395" s="8" t="n">
        <v>0.35</v>
      </c>
      <c r="E395">
        <f>A395-A394</f>
        <v/>
      </c>
      <c r="F395" s="4">
        <f>ROUND(B395/B394-1,8)</f>
        <v/>
      </c>
      <c r="G395" s="4">
        <f>ROUND(C395/C394-1,8)</f>
        <v/>
      </c>
      <c r="H395" s="4">
        <f>ROUND(D395/100/(DATE(YEAR(A395)+1,1,1)-DATE(YEAR(A395),1,1))*E395,8)</f>
        <v/>
      </c>
      <c r="I395" s="4">
        <f>ROUND(I394*(1+F395),8)</f>
        <v/>
      </c>
      <c r="J395" s="4">
        <f>ROUND(J394*(1+G395),8)</f>
        <v/>
      </c>
      <c r="K395" s="4">
        <f>ROUND(K394+H395,8)</f>
        <v/>
      </c>
      <c r="L395" s="4">
        <f>ROUND(0.9*F395+0.05*G395+0.05*H395,8)</f>
        <v/>
      </c>
    </row>
    <row r="396">
      <c r="A396" s="2" t="n">
        <v>44337</v>
      </c>
      <c r="B396" s="8" t="n">
        <v>2077.71</v>
      </c>
      <c r="C396" s="8" t="n">
        <v>121.1363</v>
      </c>
      <c r="D396" s="8" t="n">
        <v>0.35</v>
      </c>
      <c r="E396">
        <f>A396-A395</f>
        <v/>
      </c>
      <c r="F396" s="4">
        <f>ROUND(B396/B395-1,8)</f>
        <v/>
      </c>
      <c r="G396" s="4">
        <f>ROUND(C396/C395-1,8)</f>
        <v/>
      </c>
      <c r="H396" s="4">
        <f>ROUND(D396/100/(DATE(YEAR(A396)+1,1,1)-DATE(YEAR(A396),1,1))*E396,8)</f>
        <v/>
      </c>
      <c r="I396" s="4">
        <f>ROUND(I395*(1+F396),8)</f>
        <v/>
      </c>
      <c r="J396" s="4">
        <f>ROUND(J395*(1+G396),8)</f>
        <v/>
      </c>
      <c r="K396" s="4">
        <f>ROUND(K395+H396,8)</f>
        <v/>
      </c>
      <c r="L396" s="4">
        <f>ROUND(0.9*F396+0.05*G396+0.05*H396,8)</f>
        <v/>
      </c>
    </row>
    <row r="397">
      <c r="A397" s="2" t="n">
        <v>44340</v>
      </c>
      <c r="B397" s="8" t="n">
        <v>2089.22</v>
      </c>
      <c r="C397" s="8" t="n">
        <v>121.1283</v>
      </c>
      <c r="D397" s="8" t="n">
        <v>0.35</v>
      </c>
      <c r="E397">
        <f>A397-A396</f>
        <v/>
      </c>
      <c r="F397" s="4">
        <f>ROUND(B397/B396-1,8)</f>
        <v/>
      </c>
      <c r="G397" s="4">
        <f>ROUND(C397/C396-1,8)</f>
        <v/>
      </c>
      <c r="H397" s="4">
        <f>ROUND(D397/100/(DATE(YEAR(A397)+1,1,1)-DATE(YEAR(A397),1,1))*E397,8)</f>
        <v/>
      </c>
      <c r="I397" s="4">
        <f>ROUND(I396*(1+F397),8)</f>
        <v/>
      </c>
      <c r="J397" s="4">
        <f>ROUND(J396*(1+G397),8)</f>
        <v/>
      </c>
      <c r="K397" s="4">
        <f>ROUND(K396+H397,8)</f>
        <v/>
      </c>
      <c r="L397" s="4">
        <f>ROUND(0.9*F397+0.05*G397+0.05*H397,8)</f>
        <v/>
      </c>
    </row>
    <row r="398">
      <c r="A398" s="2" t="n">
        <v>44341</v>
      </c>
      <c r="B398" s="8" t="n">
        <v>2100.91</v>
      </c>
      <c r="C398" s="8" t="n">
        <v>121.1172</v>
      </c>
      <c r="D398" s="8" t="n">
        <v>0.35</v>
      </c>
      <c r="E398">
        <f>A398-A397</f>
        <v/>
      </c>
      <c r="F398" s="4">
        <f>ROUND(B398/B397-1,8)</f>
        <v/>
      </c>
      <c r="G398" s="4">
        <f>ROUND(C398/C397-1,8)</f>
        <v/>
      </c>
      <c r="H398" s="4">
        <f>ROUND(D398/100/(DATE(YEAR(A398)+1,1,1)-DATE(YEAR(A398),1,1))*E398,8)</f>
        <v/>
      </c>
      <c r="I398" s="4">
        <f>ROUND(I397*(1+F398),8)</f>
        <v/>
      </c>
      <c r="J398" s="4">
        <f>ROUND(J397*(1+G398),8)</f>
        <v/>
      </c>
      <c r="K398" s="4">
        <f>ROUND(K397+H398,8)</f>
        <v/>
      </c>
      <c r="L398" s="4">
        <f>ROUND(0.9*F398+0.05*G398+0.05*H398,8)</f>
        <v/>
      </c>
    </row>
    <row r="399">
      <c r="A399" s="2" t="n">
        <v>44342</v>
      </c>
      <c r="B399" s="8" t="n">
        <v>2117.13</v>
      </c>
      <c r="C399" s="8" t="n">
        <v>121.1554</v>
      </c>
      <c r="D399" s="8" t="n">
        <v>0.35</v>
      </c>
      <c r="E399">
        <f>A399-A398</f>
        <v/>
      </c>
      <c r="F399" s="4">
        <f>ROUND(B399/B398-1,8)</f>
        <v/>
      </c>
      <c r="G399" s="4">
        <f>ROUND(C399/C398-1,8)</f>
        <v/>
      </c>
      <c r="H399" s="4">
        <f>ROUND(D399/100/(DATE(YEAR(A399)+1,1,1)-DATE(YEAR(A399),1,1))*E399,8)</f>
        <v/>
      </c>
      <c r="I399" s="4">
        <f>ROUND(I398*(1+F399),8)</f>
        <v/>
      </c>
      <c r="J399" s="4">
        <f>ROUND(J398*(1+G399),8)</f>
        <v/>
      </c>
      <c r="K399" s="4">
        <f>ROUND(K398+H399,8)</f>
        <v/>
      </c>
      <c r="L399" s="4">
        <f>ROUND(0.9*F399+0.05*G399+0.05*H399,8)</f>
        <v/>
      </c>
    </row>
    <row r="400">
      <c r="A400" s="2" t="n">
        <v>44343</v>
      </c>
      <c r="B400" s="8" t="n">
        <v>2135.62</v>
      </c>
      <c r="C400" s="8" t="n">
        <v>121.128</v>
      </c>
      <c r="D400" s="8" t="n">
        <v>0.35</v>
      </c>
      <c r="E400">
        <f>A400-A399</f>
        <v/>
      </c>
      <c r="F400" s="4">
        <f>ROUND(B400/B399-1,8)</f>
        <v/>
      </c>
      <c r="G400" s="4">
        <f>ROUND(C400/C399-1,8)</f>
        <v/>
      </c>
      <c r="H400" s="4">
        <f>ROUND(D400/100/(DATE(YEAR(A400)+1,1,1)-DATE(YEAR(A400),1,1))*E400,8)</f>
        <v/>
      </c>
      <c r="I400" s="4">
        <f>ROUND(I399*(1+F400),8)</f>
        <v/>
      </c>
      <c r="J400" s="4">
        <f>ROUND(J399*(1+G400),8)</f>
        <v/>
      </c>
      <c r="K400" s="4">
        <f>ROUND(K399+H400,8)</f>
        <v/>
      </c>
      <c r="L400" s="4">
        <f>ROUND(0.9*F400+0.05*G400+0.05*H400,8)</f>
        <v/>
      </c>
    </row>
    <row r="401">
      <c r="A401" s="2" t="n">
        <v>44344</v>
      </c>
      <c r="B401" s="8" t="n">
        <v>2132.27</v>
      </c>
      <c r="C401" s="8" t="n">
        <v>121.0957</v>
      </c>
      <c r="D401" s="8" t="n">
        <v>0.35</v>
      </c>
      <c r="E401">
        <f>A401-A400</f>
        <v/>
      </c>
      <c r="F401" s="4">
        <f>ROUND(B401/B400-1,8)</f>
        <v/>
      </c>
      <c r="G401" s="4">
        <f>ROUND(C401/C400-1,8)</f>
        <v/>
      </c>
      <c r="H401" s="4">
        <f>ROUND(D401/100/(DATE(YEAR(A401)+1,1,1)-DATE(YEAR(A401),1,1))*E401,8)</f>
        <v/>
      </c>
      <c r="I401" s="4">
        <f>ROUND(I400*(1+F401),8)</f>
        <v/>
      </c>
      <c r="J401" s="4">
        <f>ROUND(J400*(1+G401),8)</f>
        <v/>
      </c>
      <c r="K401" s="4">
        <f>ROUND(K400+H401,8)</f>
        <v/>
      </c>
      <c r="L401" s="4">
        <f>ROUND(0.9*F401+0.05*G401+0.05*H401,8)</f>
        <v/>
      </c>
    </row>
    <row r="402">
      <c r="A402" s="2" t="n">
        <v>44347</v>
      </c>
      <c r="B402" s="8" t="n">
        <v>2163.08</v>
      </c>
      <c r="C402" s="8" t="n">
        <v>121.1159</v>
      </c>
      <c r="D402" s="8" t="n">
        <v>0.35</v>
      </c>
      <c r="E402">
        <f>A402-A401</f>
        <v/>
      </c>
      <c r="F402" s="4">
        <f>ROUND(B402/B401-1,8)</f>
        <v/>
      </c>
      <c r="G402" s="4">
        <f>ROUND(C402/C401-1,8)</f>
        <v/>
      </c>
      <c r="H402" s="4">
        <f>ROUND(D402/100/(DATE(YEAR(A402)+1,1,1)-DATE(YEAR(A402),1,1))*E402,8)</f>
        <v/>
      </c>
      <c r="I402" s="4">
        <f>ROUND(I401*(1+F402),8)</f>
        <v/>
      </c>
      <c r="J402" s="4">
        <f>ROUND(J401*(1+G402),8)</f>
        <v/>
      </c>
      <c r="K402" s="4">
        <f>ROUND(K401+H402,8)</f>
        <v/>
      </c>
      <c r="L402" s="4">
        <f>ROUND(0.9*F402+0.05*G402+0.05*H402,8)</f>
        <v/>
      </c>
    </row>
    <row r="403">
      <c r="A403" s="2" t="n">
        <v>44348</v>
      </c>
      <c r="B403" s="8" t="n">
        <v>2181.46</v>
      </c>
      <c r="C403" s="8" t="n">
        <v>121.1394</v>
      </c>
      <c r="D403" s="8" t="n">
        <v>0.35</v>
      </c>
      <c r="E403">
        <f>A403-A402</f>
        <v/>
      </c>
      <c r="F403" s="4">
        <f>ROUND(B403/B402-1,8)</f>
        <v/>
      </c>
      <c r="G403" s="4">
        <f>ROUND(C403/C402-1,8)</f>
        <v/>
      </c>
      <c r="H403" s="4">
        <f>ROUND(D403/100/(DATE(YEAR(A403)+1,1,1)-DATE(YEAR(A403),1,1))*E403,8)</f>
        <v/>
      </c>
      <c r="I403" s="4">
        <f>ROUND(I402*(1+F403),8)</f>
        <v/>
      </c>
      <c r="J403" s="4">
        <f>ROUND(J402*(1+G403),8)</f>
        <v/>
      </c>
      <c r="K403" s="4">
        <f>ROUND(K402+H403,8)</f>
        <v/>
      </c>
      <c r="L403" s="4">
        <f>ROUND(0.9*F403+0.05*G403+0.05*H403,8)</f>
        <v/>
      </c>
    </row>
    <row r="404">
      <c r="A404" s="2" t="n">
        <v>44349</v>
      </c>
      <c r="B404" s="8" t="n">
        <v>2159.52</v>
      </c>
      <c r="C404" s="8" t="n">
        <v>121.1141</v>
      </c>
      <c r="D404" s="8" t="n">
        <v>0.35</v>
      </c>
      <c r="E404">
        <f>A404-A403</f>
        <v/>
      </c>
      <c r="F404" s="4">
        <f>ROUND(B404/B403-1,8)</f>
        <v/>
      </c>
      <c r="G404" s="4">
        <f>ROUND(C404/C403-1,8)</f>
        <v/>
      </c>
      <c r="H404" s="4">
        <f>ROUND(D404/100/(DATE(YEAR(A404)+1,1,1)-DATE(YEAR(A404),1,1))*E404,8)</f>
        <v/>
      </c>
      <c r="I404" s="4">
        <f>ROUND(I403*(1+F404),8)</f>
        <v/>
      </c>
      <c r="J404" s="4">
        <f>ROUND(J403*(1+G404),8)</f>
        <v/>
      </c>
      <c r="K404" s="4">
        <f>ROUND(K403+H404,8)</f>
        <v/>
      </c>
      <c r="L404" s="4">
        <f>ROUND(0.9*F404+0.05*G404+0.05*H404,8)</f>
        <v/>
      </c>
    </row>
    <row r="405">
      <c r="A405" s="2" t="n">
        <v>44350</v>
      </c>
      <c r="B405" s="8" t="n">
        <v>2155.9</v>
      </c>
      <c r="C405" s="8" t="n">
        <v>121.14</v>
      </c>
      <c r="D405" s="8" t="n">
        <v>0.35</v>
      </c>
      <c r="E405">
        <f>A405-A404</f>
        <v/>
      </c>
      <c r="F405" s="4">
        <f>ROUND(B405/B404-1,8)</f>
        <v/>
      </c>
      <c r="G405" s="4">
        <f>ROUND(C405/C404-1,8)</f>
        <v/>
      </c>
      <c r="H405" s="4">
        <f>ROUND(D405/100/(DATE(YEAR(A405)+1,1,1)-DATE(YEAR(A405),1,1))*E405,8)</f>
        <v/>
      </c>
      <c r="I405" s="4">
        <f>ROUND(I404*(1+F405),8)</f>
        <v/>
      </c>
      <c r="J405" s="4">
        <f>ROUND(J404*(1+G405),8)</f>
        <v/>
      </c>
      <c r="K405" s="4">
        <f>ROUND(K404+H405,8)</f>
        <v/>
      </c>
      <c r="L405" s="4">
        <f>ROUND(0.9*F405+0.05*G405+0.05*H405,8)</f>
        <v/>
      </c>
    </row>
    <row r="406">
      <c r="A406" s="2" t="n">
        <v>44351</v>
      </c>
      <c r="B406" s="8" t="n">
        <v>2161.91</v>
      </c>
      <c r="C406" s="8" t="n">
        <v>121.0599</v>
      </c>
      <c r="D406" s="8" t="n">
        <v>0.35</v>
      </c>
      <c r="E406">
        <f>A406-A405</f>
        <v/>
      </c>
      <c r="F406" s="4">
        <f>ROUND(B406/B405-1,8)</f>
        <v/>
      </c>
      <c r="G406" s="4">
        <f>ROUND(C406/C405-1,8)</f>
        <v/>
      </c>
      <c r="H406" s="4">
        <f>ROUND(D406/100/(DATE(YEAR(A406)+1,1,1)-DATE(YEAR(A406),1,1))*E406,8)</f>
        <v/>
      </c>
      <c r="I406" s="4">
        <f>ROUND(I405*(1+F406),8)</f>
        <v/>
      </c>
      <c r="J406" s="4">
        <f>ROUND(J405*(1+G406),8)</f>
        <v/>
      </c>
      <c r="K406" s="4">
        <f>ROUND(K405+H406,8)</f>
        <v/>
      </c>
      <c r="L406" s="4">
        <f>ROUND(0.9*F406+0.05*G406+0.05*H406,8)</f>
        <v/>
      </c>
    </row>
    <row r="407">
      <c r="A407" s="2" t="n">
        <v>44354</v>
      </c>
      <c r="B407" s="8" t="n">
        <v>2181.06</v>
      </c>
      <c r="C407" s="8" t="n">
        <v>120.9557</v>
      </c>
      <c r="D407" s="8" t="n">
        <v>0.35</v>
      </c>
      <c r="E407">
        <f>A407-A406</f>
        <v/>
      </c>
      <c r="F407" s="4">
        <f>ROUND(B407/B406-1,8)</f>
        <v/>
      </c>
      <c r="G407" s="4">
        <f>ROUND(C407/C406-1,8)</f>
        <v/>
      </c>
      <c r="H407" s="4">
        <f>ROUND(D407/100/(DATE(YEAR(A407)+1,1,1)-DATE(YEAR(A407),1,1))*E407,8)</f>
        <v/>
      </c>
      <c r="I407" s="4">
        <f>ROUND(I406*(1+F407),8)</f>
        <v/>
      </c>
      <c r="J407" s="4">
        <f>ROUND(J406*(1+G407),8)</f>
        <v/>
      </c>
      <c r="K407" s="4">
        <f>ROUND(K406+H407,8)</f>
        <v/>
      </c>
      <c r="L407" s="4">
        <f>ROUND(0.9*F407+0.05*G407+0.05*H407,8)</f>
        <v/>
      </c>
    </row>
    <row r="408">
      <c r="A408" s="2" t="n">
        <v>44355</v>
      </c>
      <c r="B408" s="8" t="n">
        <v>2177.36</v>
      </c>
      <c r="C408" s="8" t="n">
        <v>120.9632</v>
      </c>
      <c r="D408" s="8" t="n">
        <v>0.35</v>
      </c>
      <c r="E408">
        <f>A408-A407</f>
        <v/>
      </c>
      <c r="F408" s="4">
        <f>ROUND(B408/B407-1,8)</f>
        <v/>
      </c>
      <c r="G408" s="4">
        <f>ROUND(C408/C407-1,8)</f>
        <v/>
      </c>
      <c r="H408" s="4">
        <f>ROUND(D408/100/(DATE(YEAR(A408)+1,1,1)-DATE(YEAR(A408),1,1))*E408,8)</f>
        <v/>
      </c>
      <c r="I408" s="4">
        <f>ROUND(I407*(1+F408),8)</f>
        <v/>
      </c>
      <c r="J408" s="4">
        <f>ROUND(J407*(1+G408),8)</f>
        <v/>
      </c>
      <c r="K408" s="4">
        <f>ROUND(K407+H408,8)</f>
        <v/>
      </c>
      <c r="L408" s="4">
        <f>ROUND(0.9*F408+0.05*G408+0.05*H408,8)</f>
        <v/>
      </c>
    </row>
    <row r="409">
      <c r="A409" s="2" t="n">
        <v>44356</v>
      </c>
      <c r="B409" s="8" t="n">
        <v>2182.81</v>
      </c>
      <c r="C409" s="8" t="n">
        <v>120.9561</v>
      </c>
      <c r="D409" s="8" t="n">
        <v>0.35</v>
      </c>
      <c r="E409">
        <f>A409-A408</f>
        <v/>
      </c>
      <c r="F409" s="4">
        <f>ROUND(B409/B408-1,8)</f>
        <v/>
      </c>
      <c r="G409" s="4">
        <f>ROUND(C409/C408-1,8)</f>
        <v/>
      </c>
      <c r="H409" s="4">
        <f>ROUND(D409/100/(DATE(YEAR(A409)+1,1,1)-DATE(YEAR(A409),1,1))*E409,8)</f>
        <v/>
      </c>
      <c r="I409" s="4">
        <f>ROUND(I408*(1+F409),8)</f>
        <v/>
      </c>
      <c r="J409" s="4">
        <f>ROUND(J408*(1+G409),8)</f>
        <v/>
      </c>
      <c r="K409" s="4">
        <f>ROUND(K408+H409,8)</f>
        <v/>
      </c>
      <c r="L409" s="4">
        <f>ROUND(0.9*F409+0.05*G409+0.05*H409,8)</f>
        <v/>
      </c>
    </row>
    <row r="410">
      <c r="A410" s="2" t="n">
        <v>44357</v>
      </c>
      <c r="B410" s="8" t="n">
        <v>2190.97</v>
      </c>
      <c r="C410" s="8" t="n">
        <v>120.9819</v>
      </c>
      <c r="D410" s="8" t="n">
        <v>0.35</v>
      </c>
      <c r="E410">
        <f>A410-A409</f>
        <v/>
      </c>
      <c r="F410" s="4">
        <f>ROUND(B410/B409-1,8)</f>
        <v/>
      </c>
      <c r="G410" s="4">
        <f>ROUND(C410/C409-1,8)</f>
        <v/>
      </c>
      <c r="H410" s="4">
        <f>ROUND(D410/100/(DATE(YEAR(A410)+1,1,1)-DATE(YEAR(A410),1,1))*E410,8)</f>
        <v/>
      </c>
      <c r="I410" s="4">
        <f>ROUND(I409*(1+F410),8)</f>
        <v/>
      </c>
      <c r="J410" s="4">
        <f>ROUND(J409*(1+G410),8)</f>
        <v/>
      </c>
      <c r="K410" s="4">
        <f>ROUND(K409+H410,8)</f>
        <v/>
      </c>
      <c r="L410" s="4">
        <f>ROUND(0.9*F410+0.05*G410+0.05*H410,8)</f>
        <v/>
      </c>
    </row>
    <row r="411">
      <c r="A411" s="2" t="n">
        <v>44358</v>
      </c>
      <c r="B411" s="8" t="n">
        <v>2173.41</v>
      </c>
      <c r="C411" s="8" t="n">
        <v>120.9374</v>
      </c>
      <c r="D411" s="8" t="n">
        <v>0.35</v>
      </c>
      <c r="E411">
        <f>A411-A410</f>
        <v/>
      </c>
      <c r="F411" s="4">
        <f>ROUND(B411/B410-1,8)</f>
        <v/>
      </c>
      <c r="G411" s="4">
        <f>ROUND(C411/C410-1,8)</f>
        <v/>
      </c>
      <c r="H411" s="4">
        <f>ROUND(D411/100/(DATE(YEAR(A411)+1,1,1)-DATE(YEAR(A411),1,1))*E411,8)</f>
        <v/>
      </c>
      <c r="I411" s="4">
        <f>ROUND(I410*(1+F411),8)</f>
        <v/>
      </c>
      <c r="J411" s="4">
        <f>ROUND(J410*(1+G411),8)</f>
        <v/>
      </c>
      <c r="K411" s="4">
        <f>ROUND(K410+H411,8)</f>
        <v/>
      </c>
      <c r="L411" s="4">
        <f>ROUND(0.9*F411+0.05*G411+0.05*H411,8)</f>
        <v/>
      </c>
    </row>
    <row r="412">
      <c r="A412" s="2" t="n">
        <v>44362</v>
      </c>
      <c r="B412" s="8" t="n">
        <v>2158.91</v>
      </c>
      <c r="C412" s="8" t="n">
        <v>120.9293</v>
      </c>
      <c r="D412" s="8" t="n">
        <v>0.35</v>
      </c>
      <c r="E412">
        <f>A412-A411</f>
        <v/>
      </c>
      <c r="F412" s="4">
        <f>ROUND(B412/B411-1,8)</f>
        <v/>
      </c>
      <c r="G412" s="4">
        <f>ROUND(C412/C411-1,8)</f>
        <v/>
      </c>
      <c r="H412" s="4">
        <f>ROUND(D412/100/(DATE(YEAR(A412)+1,1,1)-DATE(YEAR(A412),1,1))*E412,8)</f>
        <v/>
      </c>
      <c r="I412" s="4">
        <f>ROUND(I411*(1+F412),8)</f>
        <v/>
      </c>
      <c r="J412" s="4">
        <f>ROUND(J411*(1+G412),8)</f>
        <v/>
      </c>
      <c r="K412" s="4">
        <f>ROUND(K411+H412,8)</f>
        <v/>
      </c>
      <c r="L412" s="4">
        <f>ROUND(0.9*F412+0.05*G412+0.05*H412,8)</f>
        <v/>
      </c>
    </row>
    <row r="413">
      <c r="A413" s="2" t="n">
        <v>44363</v>
      </c>
      <c r="B413" s="8" t="n">
        <v>2132.49</v>
      </c>
      <c r="C413" s="8" t="n">
        <v>120.9025</v>
      </c>
      <c r="D413" s="8" t="n">
        <v>0.35</v>
      </c>
      <c r="E413">
        <f>A413-A412</f>
        <v/>
      </c>
      <c r="F413" s="4">
        <f>ROUND(B413/B412-1,8)</f>
        <v/>
      </c>
      <c r="G413" s="4">
        <f>ROUND(C413/C412-1,8)</f>
        <v/>
      </c>
      <c r="H413" s="4">
        <f>ROUND(D413/100/(DATE(YEAR(A413)+1,1,1)-DATE(YEAR(A413),1,1))*E413,8)</f>
        <v/>
      </c>
      <c r="I413" s="4">
        <f>ROUND(I412*(1+F413),8)</f>
        <v/>
      </c>
      <c r="J413" s="4">
        <f>ROUND(J412*(1+G413),8)</f>
        <v/>
      </c>
      <c r="K413" s="4">
        <f>ROUND(K412+H413,8)</f>
        <v/>
      </c>
      <c r="L413" s="4">
        <f>ROUND(0.9*F413+0.05*G413+0.05*H413,8)</f>
        <v/>
      </c>
    </row>
    <row r="414">
      <c r="A414" s="2" t="n">
        <v>44364</v>
      </c>
      <c r="B414" s="8" t="n">
        <v>2150.03</v>
      </c>
      <c r="C414" s="8" t="n">
        <v>120.8351</v>
      </c>
      <c r="D414" s="8" t="n">
        <v>0.35</v>
      </c>
      <c r="E414">
        <f>A414-A413</f>
        <v/>
      </c>
      <c r="F414" s="4">
        <f>ROUND(B414/B413-1,8)</f>
        <v/>
      </c>
      <c r="G414" s="4">
        <f>ROUND(C414/C413-1,8)</f>
        <v/>
      </c>
      <c r="H414" s="4">
        <f>ROUND(D414/100/(DATE(YEAR(A414)+1,1,1)-DATE(YEAR(A414),1,1))*E414,8)</f>
        <v/>
      </c>
      <c r="I414" s="4">
        <f>ROUND(I413*(1+F414),8)</f>
        <v/>
      </c>
      <c r="J414" s="4">
        <f>ROUND(J413*(1+G414),8)</f>
        <v/>
      </c>
      <c r="K414" s="4">
        <f>ROUND(K413+H414,8)</f>
        <v/>
      </c>
      <c r="L414" s="4">
        <f>ROUND(0.9*F414+0.05*G414+0.05*H414,8)</f>
        <v/>
      </c>
    </row>
    <row r="415">
      <c r="A415" s="2" t="n">
        <v>44365</v>
      </c>
      <c r="B415" s="8" t="n">
        <v>2172.69</v>
      </c>
      <c r="C415" s="8" t="n">
        <v>120.8263</v>
      </c>
      <c r="D415" s="8" t="n">
        <v>0.35</v>
      </c>
      <c r="E415">
        <f>A415-A414</f>
        <v/>
      </c>
      <c r="F415" s="4">
        <f>ROUND(B415/B414-1,8)</f>
        <v/>
      </c>
      <c r="G415" s="4">
        <f>ROUND(C415/C414-1,8)</f>
        <v/>
      </c>
      <c r="H415" s="4">
        <f>ROUND(D415/100/(DATE(YEAR(A415)+1,1,1)-DATE(YEAR(A415),1,1))*E415,8)</f>
        <v/>
      </c>
      <c r="I415" s="4">
        <f>ROUND(I414*(1+F415),8)</f>
        <v/>
      </c>
      <c r="J415" s="4">
        <f>ROUND(J414*(1+G415),8)</f>
        <v/>
      </c>
      <c r="K415" s="4">
        <f>ROUND(K414+H415,8)</f>
        <v/>
      </c>
      <c r="L415" s="4">
        <f>ROUND(0.9*F415+0.05*G415+0.05*H415,8)</f>
        <v/>
      </c>
    </row>
    <row r="416">
      <c r="A416" s="2" t="n">
        <v>44368</v>
      </c>
      <c r="B416" s="8" t="n">
        <v>2204.48</v>
      </c>
      <c r="C416" s="8" t="n">
        <v>120.8765</v>
      </c>
      <c r="D416" s="8" t="n">
        <v>0.35</v>
      </c>
      <c r="E416">
        <f>A416-A415</f>
        <v/>
      </c>
      <c r="F416" s="4">
        <f>ROUND(B416/B415-1,8)</f>
        <v/>
      </c>
      <c r="G416" s="4">
        <f>ROUND(C416/C415-1,8)</f>
        <v/>
      </c>
      <c r="H416" s="4">
        <f>ROUND(D416/100/(DATE(YEAR(A416)+1,1,1)-DATE(YEAR(A416),1,1))*E416,8)</f>
        <v/>
      </c>
      <c r="I416" s="4">
        <f>ROUND(I415*(1+F416),8)</f>
        <v/>
      </c>
      <c r="J416" s="4">
        <f>ROUND(J415*(1+G416),8)</f>
        <v/>
      </c>
      <c r="K416" s="4">
        <f>ROUND(K415+H416,8)</f>
        <v/>
      </c>
      <c r="L416" s="4">
        <f>ROUND(0.9*F416+0.05*G416+0.05*H416,8)</f>
        <v/>
      </c>
    </row>
    <row r="417">
      <c r="A417" s="2" t="n">
        <v>44369</v>
      </c>
      <c r="B417" s="8" t="n">
        <v>2219.5</v>
      </c>
      <c r="C417" s="8" t="n">
        <v>120.8761</v>
      </c>
      <c r="D417" s="8" t="n">
        <v>0.35</v>
      </c>
      <c r="E417">
        <f>A417-A416</f>
        <v/>
      </c>
      <c r="F417" s="4">
        <f>ROUND(B417/B416-1,8)</f>
        <v/>
      </c>
      <c r="G417" s="4">
        <f>ROUND(C417/C416-1,8)</f>
        <v/>
      </c>
      <c r="H417" s="4">
        <f>ROUND(D417/100/(DATE(YEAR(A417)+1,1,1)-DATE(YEAR(A417),1,1))*E417,8)</f>
        <v/>
      </c>
      <c r="I417" s="4">
        <f>ROUND(I416*(1+F417),8)</f>
        <v/>
      </c>
      <c r="J417" s="4">
        <f>ROUND(J416*(1+G417),8)</f>
        <v/>
      </c>
      <c r="K417" s="4">
        <f>ROUND(K416+H417,8)</f>
        <v/>
      </c>
      <c r="L417" s="4">
        <f>ROUND(0.9*F417+0.05*G417+0.05*H417,8)</f>
        <v/>
      </c>
    </row>
    <row r="418">
      <c r="A418" s="2" t="n">
        <v>44370</v>
      </c>
      <c r="B418" s="8" t="n">
        <v>2226.91</v>
      </c>
      <c r="C418" s="8" t="n">
        <v>120.913</v>
      </c>
      <c r="D418" s="8" t="n">
        <v>0.35</v>
      </c>
      <c r="E418">
        <f>A418-A417</f>
        <v/>
      </c>
      <c r="F418" s="4">
        <f>ROUND(B418/B417-1,8)</f>
        <v/>
      </c>
      <c r="G418" s="4">
        <f>ROUND(C418/C417-1,8)</f>
        <v/>
      </c>
      <c r="H418" s="4">
        <f>ROUND(D418/100/(DATE(YEAR(A418)+1,1,1)-DATE(YEAR(A418),1,1))*E418,8)</f>
        <v/>
      </c>
      <c r="I418" s="4">
        <f>ROUND(I417*(1+F418),8)</f>
        <v/>
      </c>
      <c r="J418" s="4">
        <f>ROUND(J417*(1+G418),8)</f>
        <v/>
      </c>
      <c r="K418" s="4">
        <f>ROUND(K417+H418,8)</f>
        <v/>
      </c>
      <c r="L418" s="4">
        <f>ROUND(0.9*F418+0.05*G418+0.05*H418,8)</f>
        <v/>
      </c>
    </row>
    <row r="419">
      <c r="A419" s="2" t="n">
        <v>44371</v>
      </c>
      <c r="B419" s="8" t="n">
        <v>2211.23</v>
      </c>
      <c r="C419" s="8" t="n">
        <v>120.9409</v>
      </c>
      <c r="D419" s="8" t="n">
        <v>0.35</v>
      </c>
      <c r="E419">
        <f>A419-A418</f>
        <v/>
      </c>
      <c r="F419" s="4">
        <f>ROUND(B419/B418-1,8)</f>
        <v/>
      </c>
      <c r="G419" s="4">
        <f>ROUND(C419/C418-1,8)</f>
        <v/>
      </c>
      <c r="H419" s="4">
        <f>ROUND(D419/100/(DATE(YEAR(A419)+1,1,1)-DATE(YEAR(A419),1,1))*E419,8)</f>
        <v/>
      </c>
      <c r="I419" s="4">
        <f>ROUND(I418*(1+F419),8)</f>
        <v/>
      </c>
      <c r="J419" s="4">
        <f>ROUND(J418*(1+G419),8)</f>
        <v/>
      </c>
      <c r="K419" s="4">
        <f>ROUND(K418+H419,8)</f>
        <v/>
      </c>
      <c r="L419" s="4">
        <f>ROUND(0.9*F419+0.05*G419+0.05*H419,8)</f>
        <v/>
      </c>
    </row>
    <row r="420">
      <c r="A420" s="2" t="n">
        <v>44372</v>
      </c>
      <c r="B420" s="8" t="n">
        <v>2211.92</v>
      </c>
      <c r="C420" s="8" t="n">
        <v>120.9657</v>
      </c>
      <c r="D420" s="8" t="n">
        <v>0.35</v>
      </c>
      <c r="E420">
        <f>A420-A419</f>
        <v/>
      </c>
      <c r="F420" s="4">
        <f>ROUND(B420/B419-1,8)</f>
        <v/>
      </c>
      <c r="G420" s="4">
        <f>ROUND(C420/C419-1,8)</f>
        <v/>
      </c>
      <c r="H420" s="4">
        <f>ROUND(D420/100/(DATE(YEAR(A420)+1,1,1)-DATE(YEAR(A420),1,1))*E420,8)</f>
        <v/>
      </c>
      <c r="I420" s="4">
        <f>ROUND(I419*(1+F420),8)</f>
        <v/>
      </c>
      <c r="J420" s="4">
        <f>ROUND(J419*(1+G420),8)</f>
        <v/>
      </c>
      <c r="K420" s="4">
        <f>ROUND(K419+H420,8)</f>
        <v/>
      </c>
      <c r="L420" s="4">
        <f>ROUND(0.9*F420+0.05*G420+0.05*H420,8)</f>
        <v/>
      </c>
    </row>
    <row r="421">
      <c r="A421" s="2" t="n">
        <v>44375</v>
      </c>
      <c r="B421" s="8" t="n">
        <v>2231.49</v>
      </c>
      <c r="C421" s="8" t="n">
        <v>120.9998</v>
      </c>
      <c r="D421" s="8" t="n">
        <v>0.35</v>
      </c>
      <c r="E421">
        <f>A421-A420</f>
        <v/>
      </c>
      <c r="F421" s="4">
        <f>ROUND(B421/B420-1,8)</f>
        <v/>
      </c>
      <c r="G421" s="4">
        <f>ROUND(C421/C420-1,8)</f>
        <v/>
      </c>
      <c r="H421" s="4">
        <f>ROUND(D421/100/(DATE(YEAR(A421)+1,1,1)-DATE(YEAR(A421),1,1))*E421,8)</f>
        <v/>
      </c>
      <c r="I421" s="4">
        <f>ROUND(I420*(1+F421),8)</f>
        <v/>
      </c>
      <c r="J421" s="4">
        <f>ROUND(J420*(1+G421),8)</f>
        <v/>
      </c>
      <c r="K421" s="4">
        <f>ROUND(K420+H421,8)</f>
        <v/>
      </c>
      <c r="L421" s="4">
        <f>ROUND(0.9*F421+0.05*G421+0.05*H421,8)</f>
        <v/>
      </c>
    </row>
    <row r="422">
      <c r="A422" s="2" t="n">
        <v>44376</v>
      </c>
      <c r="B422" s="8" t="n">
        <v>2214.04</v>
      </c>
      <c r="C422" s="8" t="n">
        <v>121.028</v>
      </c>
      <c r="D422" s="8" t="n">
        <v>0.35</v>
      </c>
      <c r="E422">
        <f>A422-A421</f>
        <v/>
      </c>
      <c r="F422" s="4">
        <f>ROUND(B422/B421-1,8)</f>
        <v/>
      </c>
      <c r="G422" s="4">
        <f>ROUND(C422/C421-1,8)</f>
        <v/>
      </c>
      <c r="H422" s="4">
        <f>ROUND(D422/100/(DATE(YEAR(A422)+1,1,1)-DATE(YEAR(A422),1,1))*E422,8)</f>
        <v/>
      </c>
      <c r="I422" s="4">
        <f>ROUND(I421*(1+F422),8)</f>
        <v/>
      </c>
      <c r="J422" s="4">
        <f>ROUND(J421*(1+G422),8)</f>
        <v/>
      </c>
      <c r="K422" s="4">
        <f>ROUND(K421+H422,8)</f>
        <v/>
      </c>
      <c r="L422" s="4">
        <f>ROUND(0.9*F422+0.05*G422+0.05*H422,8)</f>
        <v/>
      </c>
    </row>
    <row r="423">
      <c r="A423" s="2" t="n">
        <v>44377</v>
      </c>
      <c r="B423" s="8" t="n">
        <v>2236.24</v>
      </c>
      <c r="C423" s="8" t="n">
        <v>121.0638</v>
      </c>
      <c r="D423" s="8" t="n">
        <v>0.35</v>
      </c>
      <c r="E423">
        <f>A423-A422</f>
        <v/>
      </c>
      <c r="F423" s="4">
        <f>ROUND(B423/B422-1,8)</f>
        <v/>
      </c>
      <c r="G423" s="4">
        <f>ROUND(C423/C422-1,8)</f>
        <v/>
      </c>
      <c r="H423" s="4">
        <f>ROUND(D423/100/(DATE(YEAR(A423)+1,1,1)-DATE(YEAR(A423),1,1))*E423,8)</f>
        <v/>
      </c>
      <c r="I423" s="4">
        <f>ROUND(I422*(1+F423),8)</f>
        <v/>
      </c>
      <c r="J423" s="4">
        <f>ROUND(J422*(1+G423),8)</f>
        <v/>
      </c>
      <c r="K423" s="4">
        <f>ROUND(K422+H423,8)</f>
        <v/>
      </c>
      <c r="L423" s="4">
        <f>ROUND(0.9*F423+0.05*G423+0.05*H423,8)</f>
        <v/>
      </c>
    </row>
    <row r="424">
      <c r="A424" s="2" t="n">
        <v>44378</v>
      </c>
      <c r="B424" s="8" t="n">
        <v>2197.14</v>
      </c>
      <c r="C424" s="8" t="n">
        <v>121.0751</v>
      </c>
      <c r="D424" s="8" t="n">
        <v>0.35</v>
      </c>
      <c r="E424">
        <f>A424-A423</f>
        <v/>
      </c>
      <c r="F424" s="4">
        <f>ROUND(B424/B423-1,8)</f>
        <v/>
      </c>
      <c r="G424" s="4">
        <f>ROUND(C424/C423-1,8)</f>
        <v/>
      </c>
      <c r="H424" s="4">
        <f>ROUND(D424/100/(DATE(YEAR(A424)+1,1,1)-DATE(YEAR(A424),1,1))*E424,8)</f>
        <v/>
      </c>
      <c r="I424" s="4">
        <f>ROUND(I423*(1+F424),8)</f>
        <v/>
      </c>
      <c r="J424" s="4">
        <f>ROUND(J423*(1+G424),8)</f>
        <v/>
      </c>
      <c r="K424" s="4">
        <f>ROUND(K423+H424,8)</f>
        <v/>
      </c>
      <c r="L424" s="4">
        <f>ROUND(0.9*F424+0.05*G424+0.05*H424,8)</f>
        <v/>
      </c>
    </row>
    <row r="425">
      <c r="A425" s="2" t="n">
        <v>44379</v>
      </c>
      <c r="B425" s="8" t="n">
        <v>2202.06</v>
      </c>
      <c r="C425" s="8" t="n">
        <v>121.0851</v>
      </c>
      <c r="D425" s="8" t="n">
        <v>0.35</v>
      </c>
      <c r="E425">
        <f>A425-A424</f>
        <v/>
      </c>
      <c r="F425" s="4">
        <f>ROUND(B425/B424-1,8)</f>
        <v/>
      </c>
      <c r="G425" s="4">
        <f>ROUND(C425/C424-1,8)</f>
        <v/>
      </c>
      <c r="H425" s="4">
        <f>ROUND(D425/100/(DATE(YEAR(A425)+1,1,1)-DATE(YEAR(A425),1,1))*E425,8)</f>
        <v/>
      </c>
      <c r="I425" s="4">
        <f>ROUND(I424*(1+F425),8)</f>
        <v/>
      </c>
      <c r="J425" s="4">
        <f>ROUND(J424*(1+G425),8)</f>
        <v/>
      </c>
      <c r="K425" s="4">
        <f>ROUND(K424+H425,8)</f>
        <v/>
      </c>
      <c r="L425" s="4">
        <f>ROUND(0.9*F425+0.05*G425+0.05*H425,8)</f>
        <v/>
      </c>
    </row>
    <row r="426">
      <c r="A426" s="2" t="n">
        <v>44382</v>
      </c>
      <c r="B426" s="8" t="n">
        <v>2239.59</v>
      </c>
      <c r="C426" s="8" t="n">
        <v>121.145</v>
      </c>
      <c r="D426" s="8" t="n">
        <v>0.35</v>
      </c>
      <c r="E426">
        <f>A426-A425</f>
        <v/>
      </c>
      <c r="F426" s="4">
        <f>ROUND(B426/B425-1,8)</f>
        <v/>
      </c>
      <c r="G426" s="4">
        <f>ROUND(C426/C425-1,8)</f>
        <v/>
      </c>
      <c r="H426" s="4">
        <f>ROUND(D426/100/(DATE(YEAR(A426)+1,1,1)-DATE(YEAR(A426),1,1))*E426,8)</f>
        <v/>
      </c>
      <c r="I426" s="4">
        <f>ROUND(I425*(1+F426),8)</f>
        <v/>
      </c>
      <c r="J426" s="4">
        <f>ROUND(J425*(1+G426),8)</f>
        <v/>
      </c>
      <c r="K426" s="4">
        <f>ROUND(K425+H426,8)</f>
        <v/>
      </c>
      <c r="L426" s="4">
        <f>ROUND(0.9*F426+0.05*G426+0.05*H426,8)</f>
        <v/>
      </c>
    </row>
    <row r="427">
      <c r="A427" s="2" t="n">
        <v>44383</v>
      </c>
      <c r="B427" s="8" t="n">
        <v>2240.76</v>
      </c>
      <c r="C427" s="8" t="n">
        <v>121.1434</v>
      </c>
      <c r="D427" s="8" t="n">
        <v>0.35</v>
      </c>
      <c r="E427">
        <f>A427-A426</f>
        <v/>
      </c>
      <c r="F427" s="4">
        <f>ROUND(B427/B426-1,8)</f>
        <v/>
      </c>
      <c r="G427" s="4">
        <f>ROUND(C427/C426-1,8)</f>
        <v/>
      </c>
      <c r="H427" s="4">
        <f>ROUND(D427/100/(DATE(YEAR(A427)+1,1,1)-DATE(YEAR(A427),1,1))*E427,8)</f>
        <v/>
      </c>
      <c r="I427" s="4">
        <f>ROUND(I426*(1+F427),8)</f>
        <v/>
      </c>
      <c r="J427" s="4">
        <f>ROUND(J426*(1+G427),8)</f>
        <v/>
      </c>
      <c r="K427" s="4">
        <f>ROUND(K426+H427,8)</f>
        <v/>
      </c>
      <c r="L427" s="4">
        <f>ROUND(0.9*F427+0.05*G427+0.05*H427,8)</f>
        <v/>
      </c>
    </row>
    <row r="428">
      <c r="A428" s="2" t="n">
        <v>44384</v>
      </c>
      <c r="B428" s="8" t="n">
        <v>2260.44</v>
      </c>
      <c r="C428" s="8" t="n">
        <v>121.2298</v>
      </c>
      <c r="D428" s="8" t="n">
        <v>0.35</v>
      </c>
      <c r="E428">
        <f>A428-A427</f>
        <v/>
      </c>
      <c r="F428" s="4">
        <f>ROUND(B428/B427-1,8)</f>
        <v/>
      </c>
      <c r="G428" s="4">
        <f>ROUND(C428/C427-1,8)</f>
        <v/>
      </c>
      <c r="H428" s="4">
        <f>ROUND(D428/100/(DATE(YEAR(A428)+1,1,1)-DATE(YEAR(A428),1,1))*E428,8)</f>
        <v/>
      </c>
      <c r="I428" s="4">
        <f>ROUND(I427*(1+F428),8)</f>
        <v/>
      </c>
      <c r="J428" s="4">
        <f>ROUND(J427*(1+G428),8)</f>
        <v/>
      </c>
      <c r="K428" s="4">
        <f>ROUND(K427+H428,8)</f>
        <v/>
      </c>
      <c r="L428" s="4">
        <f>ROUND(0.9*F428+0.05*G428+0.05*H428,8)</f>
        <v/>
      </c>
    </row>
    <row r="429">
      <c r="A429" s="2" t="n">
        <v>44385</v>
      </c>
      <c r="B429" s="8" t="n">
        <v>2253.6</v>
      </c>
      <c r="C429" s="8" t="n">
        <v>121.5165</v>
      </c>
      <c r="D429" s="8" t="n">
        <v>0.35</v>
      </c>
      <c r="E429">
        <f>A429-A428</f>
        <v/>
      </c>
      <c r="F429" s="4">
        <f>ROUND(B429/B428-1,8)</f>
        <v/>
      </c>
      <c r="G429" s="4">
        <f>ROUND(C429/C428-1,8)</f>
        <v/>
      </c>
      <c r="H429" s="4">
        <f>ROUND(D429/100/(DATE(YEAR(A429)+1,1,1)-DATE(YEAR(A429),1,1))*E429,8)</f>
        <v/>
      </c>
      <c r="I429" s="4">
        <f>ROUND(I428*(1+F429),8)</f>
        <v/>
      </c>
      <c r="J429" s="4">
        <f>ROUND(J428*(1+G429),8)</f>
        <v/>
      </c>
      <c r="K429" s="4">
        <f>ROUND(K428+H429,8)</f>
        <v/>
      </c>
      <c r="L429" s="4">
        <f>ROUND(0.9*F429+0.05*G429+0.05*H429,8)</f>
        <v/>
      </c>
    </row>
    <row r="430">
      <c r="A430" s="2" t="n">
        <v>44386</v>
      </c>
      <c r="B430" s="8" t="n">
        <v>2272.34</v>
      </c>
      <c r="C430" s="8" t="n">
        <v>121.497</v>
      </c>
      <c r="D430" s="8" t="n">
        <v>0.35</v>
      </c>
      <c r="E430">
        <f>A430-A429</f>
        <v/>
      </c>
      <c r="F430" s="4">
        <f>ROUND(B430/B429-1,8)</f>
        <v/>
      </c>
      <c r="G430" s="4">
        <f>ROUND(C430/C429-1,8)</f>
        <v/>
      </c>
      <c r="H430" s="4">
        <f>ROUND(D430/100/(DATE(YEAR(A430)+1,1,1)-DATE(YEAR(A430),1,1))*E430,8)</f>
        <v/>
      </c>
      <c r="I430" s="4">
        <f>ROUND(I429*(1+F430),8)</f>
        <v/>
      </c>
      <c r="J430" s="4">
        <f>ROUND(J429*(1+G430),8)</f>
        <v/>
      </c>
      <c r="K430" s="4">
        <f>ROUND(K429+H430,8)</f>
        <v/>
      </c>
      <c r="L430" s="4">
        <f>ROUND(0.9*F430+0.05*G430+0.05*H430,8)</f>
        <v/>
      </c>
    </row>
    <row r="431">
      <c r="A431" s="2" t="n">
        <v>44389</v>
      </c>
      <c r="B431" s="8" t="n">
        <v>2312.7</v>
      </c>
      <c r="C431" s="8" t="n">
        <v>121.6549</v>
      </c>
      <c r="D431" s="8" t="n">
        <v>0.35</v>
      </c>
      <c r="E431">
        <f>A431-A430</f>
        <v/>
      </c>
      <c r="F431" s="4">
        <f>ROUND(B431/B430-1,8)</f>
        <v/>
      </c>
      <c r="G431" s="4">
        <f>ROUND(C431/C430-1,8)</f>
        <v/>
      </c>
      <c r="H431" s="4">
        <f>ROUND(D431/100/(DATE(YEAR(A431)+1,1,1)-DATE(YEAR(A431),1,1))*E431,8)</f>
        <v/>
      </c>
      <c r="I431" s="4">
        <f>ROUND(I430*(1+F431),8)</f>
        <v/>
      </c>
      <c r="J431" s="4">
        <f>ROUND(J430*(1+G431),8)</f>
        <v/>
      </c>
      <c r="K431" s="4">
        <f>ROUND(K430+H431,8)</f>
        <v/>
      </c>
      <c r="L431" s="4">
        <f>ROUND(0.9*F431+0.05*G431+0.05*H431,8)</f>
        <v/>
      </c>
    </row>
    <row r="432">
      <c r="A432" s="2" t="n">
        <v>44390</v>
      </c>
      <c r="B432" s="8" t="n">
        <v>2329.7</v>
      </c>
      <c r="C432" s="8" t="n">
        <v>121.7333</v>
      </c>
      <c r="D432" s="8" t="n">
        <v>0.35</v>
      </c>
      <c r="E432">
        <f>A432-A431</f>
        <v/>
      </c>
      <c r="F432" s="4">
        <f>ROUND(B432/B431-1,8)</f>
        <v/>
      </c>
      <c r="G432" s="4">
        <f>ROUND(C432/C431-1,8)</f>
        <v/>
      </c>
      <c r="H432" s="4">
        <f>ROUND(D432/100/(DATE(YEAR(A432)+1,1,1)-DATE(YEAR(A432),1,1))*E432,8)</f>
        <v/>
      </c>
      <c r="I432" s="4">
        <f>ROUND(I431*(1+F432),8)</f>
        <v/>
      </c>
      <c r="J432" s="4">
        <f>ROUND(J431*(1+G432),8)</f>
        <v/>
      </c>
      <c r="K432" s="4">
        <f>ROUND(K431+H432,8)</f>
        <v/>
      </c>
      <c r="L432" s="4">
        <f>ROUND(0.9*F432+0.05*G432+0.05*H432,8)</f>
        <v/>
      </c>
    </row>
    <row r="433">
      <c r="A433" s="2" t="n">
        <v>44391</v>
      </c>
      <c r="B433" s="8" t="n">
        <v>2311.54</v>
      </c>
      <c r="C433" s="8" t="n">
        <v>121.7817</v>
      </c>
      <c r="D433" s="8" t="n">
        <v>0.35</v>
      </c>
      <c r="E433">
        <f>A433-A432</f>
        <v/>
      </c>
      <c r="F433" s="4">
        <f>ROUND(B433/B432-1,8)</f>
        <v/>
      </c>
      <c r="G433" s="4">
        <f>ROUND(C433/C432-1,8)</f>
        <v/>
      </c>
      <c r="H433" s="4">
        <f>ROUND(D433/100/(DATE(YEAR(A433)+1,1,1)-DATE(YEAR(A433),1,1))*E433,8)</f>
        <v/>
      </c>
      <c r="I433" s="4">
        <f>ROUND(I432*(1+F433),8)</f>
        <v/>
      </c>
      <c r="J433" s="4">
        <f>ROUND(J432*(1+G433),8)</f>
        <v/>
      </c>
      <c r="K433" s="4">
        <f>ROUND(K432+H433,8)</f>
        <v/>
      </c>
      <c r="L433" s="4">
        <f>ROUND(0.9*F433+0.05*G433+0.05*H433,8)</f>
        <v/>
      </c>
    </row>
    <row r="434">
      <c r="A434" s="2" t="n">
        <v>44392</v>
      </c>
      <c r="B434" s="8" t="n">
        <v>2291.91</v>
      </c>
      <c r="C434" s="8" t="n">
        <v>121.7317</v>
      </c>
      <c r="D434" s="8" t="n">
        <v>0.35</v>
      </c>
      <c r="E434">
        <f>A434-A433</f>
        <v/>
      </c>
      <c r="F434" s="4">
        <f>ROUND(B434/B433-1,8)</f>
        <v/>
      </c>
      <c r="G434" s="4">
        <f>ROUND(C434/C433-1,8)</f>
        <v/>
      </c>
      <c r="H434" s="4">
        <f>ROUND(D434/100/(DATE(YEAR(A434)+1,1,1)-DATE(YEAR(A434),1,1))*E434,8)</f>
        <v/>
      </c>
      <c r="I434" s="4">
        <f>ROUND(I433*(1+F434),8)</f>
        <v/>
      </c>
      <c r="J434" s="4">
        <f>ROUND(J433*(1+G434),8)</f>
        <v/>
      </c>
      <c r="K434" s="4">
        <f>ROUND(K433+H434,8)</f>
        <v/>
      </c>
      <c r="L434" s="4">
        <f>ROUND(0.9*F434+0.05*G434+0.05*H434,8)</f>
        <v/>
      </c>
    </row>
    <row r="435">
      <c r="A435" s="2" t="n">
        <v>44393</v>
      </c>
      <c r="B435" s="8" t="n">
        <v>2293.69</v>
      </c>
      <c r="C435" s="8" t="n">
        <v>121.7564</v>
      </c>
      <c r="D435" s="8" t="n">
        <v>0.35</v>
      </c>
      <c r="E435">
        <f>A435-A434</f>
        <v/>
      </c>
      <c r="F435" s="4">
        <f>ROUND(B435/B434-1,8)</f>
        <v/>
      </c>
      <c r="G435" s="4">
        <f>ROUND(C435/C434-1,8)</f>
        <v/>
      </c>
      <c r="H435" s="4">
        <f>ROUND(D435/100/(DATE(YEAR(A435)+1,1,1)-DATE(YEAR(A435),1,1))*E435,8)</f>
        <v/>
      </c>
      <c r="I435" s="4">
        <f>ROUND(I434*(1+F435),8)</f>
        <v/>
      </c>
      <c r="J435" s="4">
        <f>ROUND(J434*(1+G435),8)</f>
        <v/>
      </c>
      <c r="K435" s="4">
        <f>ROUND(K434+H435,8)</f>
        <v/>
      </c>
      <c r="L435" s="4">
        <f>ROUND(0.9*F435+0.05*G435+0.05*H435,8)</f>
        <v/>
      </c>
    </row>
    <row r="436">
      <c r="A436" s="2" t="n">
        <v>44396</v>
      </c>
      <c r="B436" s="8" t="n">
        <v>2292.7</v>
      </c>
      <c r="C436" s="8" t="n">
        <v>121.7653</v>
      </c>
      <c r="D436" s="8" t="n">
        <v>0.35</v>
      </c>
      <c r="E436">
        <f>A436-A435</f>
        <v/>
      </c>
      <c r="F436" s="4">
        <f>ROUND(B436/B435-1,8)</f>
        <v/>
      </c>
      <c r="G436" s="4">
        <f>ROUND(C436/C435-1,8)</f>
        <v/>
      </c>
      <c r="H436" s="4">
        <f>ROUND(D436/100/(DATE(YEAR(A436)+1,1,1)-DATE(YEAR(A436),1,1))*E436,8)</f>
        <v/>
      </c>
      <c r="I436" s="4">
        <f>ROUND(I435*(1+F436),8)</f>
        <v/>
      </c>
      <c r="J436" s="4">
        <f>ROUND(J435*(1+G436),8)</f>
        <v/>
      </c>
      <c r="K436" s="4">
        <f>ROUND(K435+H436,8)</f>
        <v/>
      </c>
      <c r="L436" s="4">
        <f>ROUND(0.9*F436+0.05*G436+0.05*H436,8)</f>
        <v/>
      </c>
    </row>
    <row r="437">
      <c r="A437" s="2" t="n">
        <v>44397</v>
      </c>
      <c r="B437" s="8" t="n">
        <v>2304.16</v>
      </c>
      <c r="C437" s="8" t="n">
        <v>121.8421</v>
      </c>
      <c r="D437" s="8" t="n">
        <v>0.35</v>
      </c>
      <c r="E437">
        <f>A437-A436</f>
        <v/>
      </c>
      <c r="F437" s="4">
        <f>ROUND(B437/B436-1,8)</f>
        <v/>
      </c>
      <c r="G437" s="4">
        <f>ROUND(C437/C436-1,8)</f>
        <v/>
      </c>
      <c r="H437" s="4">
        <f>ROUND(D437/100/(DATE(YEAR(A437)+1,1,1)-DATE(YEAR(A437),1,1))*E437,8)</f>
        <v/>
      </c>
      <c r="I437" s="4">
        <f>ROUND(I436*(1+F437),8)</f>
        <v/>
      </c>
      <c r="J437" s="4">
        <f>ROUND(J436*(1+G437),8)</f>
        <v/>
      </c>
      <c r="K437" s="4">
        <f>ROUND(K436+H437,8)</f>
        <v/>
      </c>
      <c r="L437" s="4">
        <f>ROUND(0.9*F437+0.05*G437+0.05*H437,8)</f>
        <v/>
      </c>
    </row>
    <row r="438">
      <c r="A438" s="2" t="n">
        <v>44398</v>
      </c>
      <c r="B438" s="8" t="n">
        <v>2341.22</v>
      </c>
      <c r="C438" s="8" t="n">
        <v>121.9157</v>
      </c>
      <c r="D438" s="8" t="n">
        <v>0.35</v>
      </c>
      <c r="E438">
        <f>A438-A437</f>
        <v/>
      </c>
      <c r="F438" s="4">
        <f>ROUND(B438/B437-1,8)</f>
        <v/>
      </c>
      <c r="G438" s="4">
        <f>ROUND(C438/C437-1,8)</f>
        <v/>
      </c>
      <c r="H438" s="4">
        <f>ROUND(D438/100/(DATE(YEAR(A438)+1,1,1)-DATE(YEAR(A438),1,1))*E438,8)</f>
        <v/>
      </c>
      <c r="I438" s="4">
        <f>ROUND(I437*(1+F438),8)</f>
        <v/>
      </c>
      <c r="J438" s="4">
        <f>ROUND(J437*(1+G438),8)</f>
        <v/>
      </c>
      <c r="K438" s="4">
        <f>ROUND(K437+H438,8)</f>
        <v/>
      </c>
      <c r="L438" s="4">
        <f>ROUND(0.9*F438+0.05*G438+0.05*H438,8)</f>
        <v/>
      </c>
    </row>
    <row r="439">
      <c r="A439" s="2" t="n">
        <v>44399</v>
      </c>
      <c r="B439" s="8" t="n">
        <v>2366.8</v>
      </c>
      <c r="C439" s="8" t="n">
        <v>121.9379</v>
      </c>
      <c r="D439" s="8" t="n">
        <v>0.35</v>
      </c>
      <c r="E439">
        <f>A439-A438</f>
        <v/>
      </c>
      <c r="F439" s="4">
        <f>ROUND(B439/B438-1,8)</f>
        <v/>
      </c>
      <c r="G439" s="4">
        <f>ROUND(C439/C438-1,8)</f>
        <v/>
      </c>
      <c r="H439" s="4">
        <f>ROUND(D439/100/(DATE(YEAR(A439)+1,1,1)-DATE(YEAR(A439),1,1))*E439,8)</f>
        <v/>
      </c>
      <c r="I439" s="4">
        <f>ROUND(I438*(1+F439),8)</f>
        <v/>
      </c>
      <c r="J439" s="4">
        <f>ROUND(J438*(1+G439),8)</f>
        <v/>
      </c>
      <c r="K439" s="4">
        <f>ROUND(K438+H439,8)</f>
        <v/>
      </c>
      <c r="L439" s="4">
        <f>ROUND(0.9*F439+0.05*G439+0.05*H439,8)</f>
        <v/>
      </c>
    </row>
    <row r="440">
      <c r="A440" s="2" t="n">
        <v>44400</v>
      </c>
      <c r="B440" s="8" t="n">
        <v>2339.13</v>
      </c>
      <c r="C440" s="8" t="n">
        <v>122.0095</v>
      </c>
      <c r="D440" s="8" t="n">
        <v>0.35</v>
      </c>
      <c r="E440">
        <f>A440-A439</f>
        <v/>
      </c>
      <c r="F440" s="4">
        <f>ROUND(B440/B439-1,8)</f>
        <v/>
      </c>
      <c r="G440" s="4">
        <f>ROUND(C440/C439-1,8)</f>
        <v/>
      </c>
      <c r="H440" s="4">
        <f>ROUND(D440/100/(DATE(YEAR(A440)+1,1,1)-DATE(YEAR(A440),1,1))*E440,8)</f>
        <v/>
      </c>
      <c r="I440" s="4">
        <f>ROUND(I439*(1+F440),8)</f>
        <v/>
      </c>
      <c r="J440" s="4">
        <f>ROUND(J439*(1+G440),8)</f>
        <v/>
      </c>
      <c r="K440" s="4">
        <f>ROUND(K439+H440,8)</f>
        <v/>
      </c>
      <c r="L440" s="4">
        <f>ROUND(0.9*F440+0.05*G440+0.05*H440,8)</f>
        <v/>
      </c>
    </row>
    <row r="441">
      <c r="A441" s="2" t="n">
        <v>44403</v>
      </c>
      <c r="B441" s="8" t="n">
        <v>2314.76</v>
      </c>
      <c r="C441" s="8" t="n">
        <v>122.1334</v>
      </c>
      <c r="D441" s="8" t="n">
        <v>0.35</v>
      </c>
      <c r="E441">
        <f>A441-A440</f>
        <v/>
      </c>
      <c r="F441" s="4">
        <f>ROUND(B441/B440-1,8)</f>
        <v/>
      </c>
      <c r="G441" s="4">
        <f>ROUND(C441/C440-1,8)</f>
        <v/>
      </c>
      <c r="H441" s="4">
        <f>ROUND(D441/100/(DATE(YEAR(A441)+1,1,1)-DATE(YEAR(A441),1,1))*E441,8)</f>
        <v/>
      </c>
      <c r="I441" s="4">
        <f>ROUND(I440*(1+F441),8)</f>
        <v/>
      </c>
      <c r="J441" s="4">
        <f>ROUND(J440*(1+G441),8)</f>
        <v/>
      </c>
      <c r="K441" s="4">
        <f>ROUND(K440+H441,8)</f>
        <v/>
      </c>
      <c r="L441" s="4">
        <f>ROUND(0.9*F441+0.05*G441+0.05*H441,8)</f>
        <v/>
      </c>
    </row>
    <row r="442">
      <c r="A442" s="2" t="n">
        <v>44404</v>
      </c>
      <c r="B442" s="8" t="n">
        <v>2262.24</v>
      </c>
      <c r="C442" s="8" t="n">
        <v>122.0922</v>
      </c>
      <c r="D442" s="8" t="n">
        <v>0.35</v>
      </c>
      <c r="E442">
        <f>A442-A441</f>
        <v/>
      </c>
      <c r="F442" s="4">
        <f>ROUND(B442/B441-1,8)</f>
        <v/>
      </c>
      <c r="G442" s="4">
        <f>ROUND(C442/C441-1,8)</f>
        <v/>
      </c>
      <c r="H442" s="4">
        <f>ROUND(D442/100/(DATE(YEAR(A442)+1,1,1)-DATE(YEAR(A442),1,1))*E442,8)</f>
        <v/>
      </c>
      <c r="I442" s="4">
        <f>ROUND(I441*(1+F442),8)</f>
        <v/>
      </c>
      <c r="J442" s="4">
        <f>ROUND(J441*(1+G442),8)</f>
        <v/>
      </c>
      <c r="K442" s="4">
        <f>ROUND(K441+H442,8)</f>
        <v/>
      </c>
      <c r="L442" s="4">
        <f>ROUND(0.9*F442+0.05*G442+0.05*H442,8)</f>
        <v/>
      </c>
    </row>
    <row r="443">
      <c r="A443" s="2" t="n">
        <v>44405</v>
      </c>
      <c r="B443" s="8" t="n">
        <v>2195.97</v>
      </c>
      <c r="C443" s="8" t="n">
        <v>122.0387</v>
      </c>
      <c r="D443" s="8" t="n">
        <v>0.35</v>
      </c>
      <c r="E443">
        <f>A443-A442</f>
        <v/>
      </c>
      <c r="F443" s="4">
        <f>ROUND(B443/B442-1,8)</f>
        <v/>
      </c>
      <c r="G443" s="4">
        <f>ROUND(C443/C442-1,8)</f>
        <v/>
      </c>
      <c r="H443" s="4">
        <f>ROUND(D443/100/(DATE(YEAR(A443)+1,1,1)-DATE(YEAR(A443),1,1))*E443,8)</f>
        <v/>
      </c>
      <c r="I443" s="4">
        <f>ROUND(I442*(1+F443),8)</f>
        <v/>
      </c>
      <c r="J443" s="4">
        <f>ROUND(J442*(1+G443),8)</f>
        <v/>
      </c>
      <c r="K443" s="4">
        <f>ROUND(K442+H443,8)</f>
        <v/>
      </c>
      <c r="L443" s="4">
        <f>ROUND(0.9*F443+0.05*G443+0.05*H443,8)</f>
        <v/>
      </c>
    </row>
    <row r="444">
      <c r="A444" s="2" t="n">
        <v>44406</v>
      </c>
      <c r="B444" s="8" t="n">
        <v>2276.2</v>
      </c>
      <c r="C444" s="8" t="n">
        <v>122.1138</v>
      </c>
      <c r="D444" s="8" t="n">
        <v>0.35</v>
      </c>
      <c r="E444">
        <f>A444-A443</f>
        <v/>
      </c>
      <c r="F444" s="4">
        <f>ROUND(B444/B443-1,8)</f>
        <v/>
      </c>
      <c r="G444" s="4">
        <f>ROUND(C444/C443-1,8)</f>
        <v/>
      </c>
      <c r="H444" s="4">
        <f>ROUND(D444/100/(DATE(YEAR(A444)+1,1,1)-DATE(YEAR(A444),1,1))*E444,8)</f>
        <v/>
      </c>
      <c r="I444" s="4">
        <f>ROUND(I443*(1+F444),8)</f>
        <v/>
      </c>
      <c r="J444" s="4">
        <f>ROUND(J443*(1+G444),8)</f>
        <v/>
      </c>
      <c r="K444" s="4">
        <f>ROUND(K443+H444,8)</f>
        <v/>
      </c>
      <c r="L444" s="4">
        <f>ROUND(0.9*F444+0.05*G444+0.05*H444,8)</f>
        <v/>
      </c>
    </row>
    <row r="445">
      <c r="A445" s="2" t="n">
        <v>44407</v>
      </c>
      <c r="B445" s="8" t="n">
        <v>2310.83</v>
      </c>
      <c r="C445" s="8" t="n">
        <v>122.275</v>
      </c>
      <c r="D445" s="8" t="n">
        <v>0.35</v>
      </c>
      <c r="E445">
        <f>A445-A444</f>
        <v/>
      </c>
      <c r="F445" s="4">
        <f>ROUND(B445/B444-1,8)</f>
        <v/>
      </c>
      <c r="G445" s="4">
        <f>ROUND(C445/C444-1,8)</f>
        <v/>
      </c>
      <c r="H445" s="4">
        <f>ROUND(D445/100/(DATE(YEAR(A445)+1,1,1)-DATE(YEAR(A445),1,1))*E445,8)</f>
        <v/>
      </c>
      <c r="I445" s="4">
        <f>ROUND(I444*(1+F445),8)</f>
        <v/>
      </c>
      <c r="J445" s="4">
        <f>ROUND(J444*(1+G445),8)</f>
        <v/>
      </c>
      <c r="K445" s="4">
        <f>ROUND(K444+H445,8)</f>
        <v/>
      </c>
      <c r="L445" s="4">
        <f>ROUND(0.9*F445+0.05*G445+0.05*H445,8)</f>
        <v/>
      </c>
    </row>
    <row r="446">
      <c r="A446" s="2" t="n">
        <v>44410</v>
      </c>
      <c r="B446" s="8" t="n">
        <v>2357.83</v>
      </c>
      <c r="C446" s="8" t="n">
        <v>122.4326</v>
      </c>
      <c r="D446" s="8" t="n">
        <v>0.35</v>
      </c>
      <c r="E446">
        <f>A446-A445</f>
        <v/>
      </c>
      <c r="F446" s="4">
        <f>ROUND(B446/B445-1,8)</f>
        <v/>
      </c>
      <c r="G446" s="4">
        <f>ROUND(C446/C445-1,8)</f>
        <v/>
      </c>
      <c r="H446" s="4">
        <f>ROUND(D446/100/(DATE(YEAR(A446)+1,1,1)-DATE(YEAR(A446),1,1))*E446,8)</f>
        <v/>
      </c>
      <c r="I446" s="4">
        <f>ROUND(I445*(1+F446),8)</f>
        <v/>
      </c>
      <c r="J446" s="4">
        <f>ROUND(J445*(1+G446),8)</f>
        <v/>
      </c>
      <c r="K446" s="4">
        <f>ROUND(K445+H446,8)</f>
        <v/>
      </c>
      <c r="L446" s="4">
        <f>ROUND(0.9*F446+0.05*G446+0.05*H446,8)</f>
        <v/>
      </c>
    </row>
    <row r="447">
      <c r="A447" s="2" t="n">
        <v>44411</v>
      </c>
      <c r="B447" s="8" t="n">
        <v>2332.93</v>
      </c>
      <c r="C447" s="8" t="n">
        <v>122.4003</v>
      </c>
      <c r="D447" s="8" t="n">
        <v>0.35</v>
      </c>
      <c r="E447">
        <f>A447-A446</f>
        <v/>
      </c>
      <c r="F447" s="4">
        <f>ROUND(B447/B446-1,8)</f>
        <v/>
      </c>
      <c r="G447" s="4">
        <f>ROUND(C447/C446-1,8)</f>
        <v/>
      </c>
      <c r="H447" s="4">
        <f>ROUND(D447/100/(DATE(YEAR(A447)+1,1,1)-DATE(YEAR(A447),1,1))*E447,8)</f>
        <v/>
      </c>
      <c r="I447" s="4">
        <f>ROUND(I446*(1+F447),8)</f>
        <v/>
      </c>
      <c r="J447" s="4">
        <f>ROUND(J446*(1+G447),8)</f>
        <v/>
      </c>
      <c r="K447" s="4">
        <f>ROUND(K446+H447,8)</f>
        <v/>
      </c>
      <c r="L447" s="4">
        <f>ROUND(0.9*F447+0.05*G447+0.05*H447,8)</f>
        <v/>
      </c>
    </row>
    <row r="448">
      <c r="A448" s="2" t="n">
        <v>44412</v>
      </c>
      <c r="B448" s="8" t="n">
        <v>2370.24</v>
      </c>
      <c r="C448" s="8" t="n">
        <v>122.3698</v>
      </c>
      <c r="D448" s="8" t="n">
        <v>0.35</v>
      </c>
      <c r="E448">
        <f>A448-A447</f>
        <v/>
      </c>
      <c r="F448" s="4">
        <f>ROUND(B448/B447-1,8)</f>
        <v/>
      </c>
      <c r="G448" s="4">
        <f>ROUND(C448/C447-1,8)</f>
        <v/>
      </c>
      <c r="H448" s="4">
        <f>ROUND(D448/100/(DATE(YEAR(A448)+1,1,1)-DATE(YEAR(A448),1,1))*E448,8)</f>
        <v/>
      </c>
      <c r="I448" s="4">
        <f>ROUND(I447*(1+F448),8)</f>
        <v/>
      </c>
      <c r="J448" s="4">
        <f>ROUND(J447*(1+G448),8)</f>
        <v/>
      </c>
      <c r="K448" s="4">
        <f>ROUND(K447+H448,8)</f>
        <v/>
      </c>
      <c r="L448" s="4">
        <f>ROUND(0.9*F448+0.05*G448+0.05*H448,8)</f>
        <v/>
      </c>
    </row>
    <row r="449">
      <c r="A449" s="2" t="n">
        <v>44413</v>
      </c>
      <c r="B449" s="8" t="n">
        <v>2348.5</v>
      </c>
      <c r="C449" s="8" t="n">
        <v>122.4575</v>
      </c>
      <c r="D449" s="8" t="n">
        <v>0.35</v>
      </c>
      <c r="E449">
        <f>A449-A448</f>
        <v/>
      </c>
      <c r="F449" s="4">
        <f>ROUND(B449/B448-1,8)</f>
        <v/>
      </c>
      <c r="G449" s="4">
        <f>ROUND(C449/C448-1,8)</f>
        <v/>
      </c>
      <c r="H449" s="4">
        <f>ROUND(D449/100/(DATE(YEAR(A449)+1,1,1)-DATE(YEAR(A449),1,1))*E449,8)</f>
        <v/>
      </c>
      <c r="I449" s="4">
        <f>ROUND(I448*(1+F449),8)</f>
        <v/>
      </c>
      <c r="J449" s="4">
        <f>ROUND(J448*(1+G449),8)</f>
        <v/>
      </c>
      <c r="K449" s="4">
        <f>ROUND(K448+H449,8)</f>
        <v/>
      </c>
      <c r="L449" s="4">
        <f>ROUND(0.9*F449+0.05*G449+0.05*H449,8)</f>
        <v/>
      </c>
    </row>
    <row r="450">
      <c r="A450" s="2" t="n">
        <v>44414</v>
      </c>
      <c r="B450" s="8" t="n">
        <v>2359.69</v>
      </c>
      <c r="C450" s="8" t="n">
        <v>122.4483</v>
      </c>
      <c r="D450" s="8" t="n">
        <v>0.35</v>
      </c>
      <c r="E450">
        <f>A450-A449</f>
        <v/>
      </c>
      <c r="F450" s="4">
        <f>ROUND(B450/B449-1,8)</f>
        <v/>
      </c>
      <c r="G450" s="4">
        <f>ROUND(C450/C449-1,8)</f>
        <v/>
      </c>
      <c r="H450" s="4">
        <f>ROUND(D450/100/(DATE(YEAR(A450)+1,1,1)-DATE(YEAR(A450),1,1))*E450,8)</f>
        <v/>
      </c>
      <c r="I450" s="4">
        <f>ROUND(I449*(1+F450),8)</f>
        <v/>
      </c>
      <c r="J450" s="4">
        <f>ROUND(J449*(1+G450),8)</f>
        <v/>
      </c>
      <c r="K450" s="4">
        <f>ROUND(K449+H450,8)</f>
        <v/>
      </c>
      <c r="L450" s="4">
        <f>ROUND(0.9*F450+0.05*G450+0.05*H450,8)</f>
        <v/>
      </c>
    </row>
    <row r="451">
      <c r="A451" s="2" t="n">
        <v>44417</v>
      </c>
      <c r="B451" s="8" t="n">
        <v>2377.96</v>
      </c>
      <c r="C451" s="8" t="n">
        <v>122.2904</v>
      </c>
      <c r="D451" s="8" t="n">
        <v>0.35</v>
      </c>
      <c r="E451">
        <f>A451-A450</f>
        <v/>
      </c>
      <c r="F451" s="4">
        <f>ROUND(B451/B450-1,8)</f>
        <v/>
      </c>
      <c r="G451" s="4">
        <f>ROUND(C451/C450-1,8)</f>
        <v/>
      </c>
      <c r="H451" s="4">
        <f>ROUND(D451/100/(DATE(YEAR(A451)+1,1,1)-DATE(YEAR(A451),1,1))*E451,8)</f>
        <v/>
      </c>
      <c r="I451" s="4">
        <f>ROUND(I450*(1+F451),8)</f>
        <v/>
      </c>
      <c r="J451" s="4">
        <f>ROUND(J450*(1+G451),8)</f>
        <v/>
      </c>
      <c r="K451" s="4">
        <f>ROUND(K450+H451,8)</f>
        <v/>
      </c>
      <c r="L451" s="4">
        <f>ROUND(0.9*F451+0.05*G451+0.05*H451,8)</f>
        <v/>
      </c>
    </row>
    <row r="452">
      <c r="A452" s="2" t="n">
        <v>44418</v>
      </c>
      <c r="B452" s="8" t="n">
        <v>2398.39</v>
      </c>
      <c r="C452" s="8" t="n">
        <v>122.2449</v>
      </c>
      <c r="D452" s="8" t="n">
        <v>0.35</v>
      </c>
      <c r="E452">
        <f>A452-A451</f>
        <v/>
      </c>
      <c r="F452" s="4">
        <f>ROUND(B452/B451-1,8)</f>
        <v/>
      </c>
      <c r="G452" s="4">
        <f>ROUND(C452/C451-1,8)</f>
        <v/>
      </c>
      <c r="H452" s="4">
        <f>ROUND(D452/100/(DATE(YEAR(A452)+1,1,1)-DATE(YEAR(A452),1,1))*E452,8)</f>
        <v/>
      </c>
      <c r="I452" s="4">
        <f>ROUND(I451*(1+F452),8)</f>
        <v/>
      </c>
      <c r="J452" s="4">
        <f>ROUND(J451*(1+G452),8)</f>
        <v/>
      </c>
      <c r="K452" s="4">
        <f>ROUND(K451+H452,8)</f>
        <v/>
      </c>
      <c r="L452" s="4">
        <f>ROUND(0.9*F452+0.05*G452+0.05*H452,8)</f>
        <v/>
      </c>
    </row>
    <row r="453">
      <c r="A453" s="2" t="n">
        <v>44419</v>
      </c>
      <c r="B453" s="8" t="n">
        <v>2424.05</v>
      </c>
      <c r="C453" s="8" t="n">
        <v>122.2212</v>
      </c>
      <c r="D453" s="8" t="n">
        <v>0.35</v>
      </c>
      <c r="E453">
        <f>A453-A452</f>
        <v/>
      </c>
      <c r="F453" s="4">
        <f>ROUND(B453/B452-1,8)</f>
        <v/>
      </c>
      <c r="G453" s="4">
        <f>ROUND(C453/C452-1,8)</f>
        <v/>
      </c>
      <c r="H453" s="4">
        <f>ROUND(D453/100/(DATE(YEAR(A453)+1,1,1)-DATE(YEAR(A453),1,1))*E453,8)</f>
        <v/>
      </c>
      <c r="I453" s="4">
        <f>ROUND(I452*(1+F453),8)</f>
        <v/>
      </c>
      <c r="J453" s="4">
        <f>ROUND(J452*(1+G453),8)</f>
        <v/>
      </c>
      <c r="K453" s="4">
        <f>ROUND(K452+H453,8)</f>
        <v/>
      </c>
      <c r="L453" s="4">
        <f>ROUND(0.9*F453+0.05*G453+0.05*H453,8)</f>
        <v/>
      </c>
    </row>
    <row r="454">
      <c r="A454" s="2" t="n">
        <v>44420</v>
      </c>
      <c r="B454" s="8" t="n">
        <v>2434.1</v>
      </c>
      <c r="C454" s="8" t="n">
        <v>122.2796</v>
      </c>
      <c r="D454" s="8" t="n">
        <v>0.35</v>
      </c>
      <c r="E454">
        <f>A454-A453</f>
        <v/>
      </c>
      <c r="F454" s="4">
        <f>ROUND(B454/B453-1,8)</f>
        <v/>
      </c>
      <c r="G454" s="4">
        <f>ROUND(C454/C453-1,8)</f>
        <v/>
      </c>
      <c r="H454" s="4">
        <f>ROUND(D454/100/(DATE(YEAR(A454)+1,1,1)-DATE(YEAR(A454),1,1))*E454,8)</f>
        <v/>
      </c>
      <c r="I454" s="4">
        <f>ROUND(I453*(1+F454),8)</f>
        <v/>
      </c>
      <c r="J454" s="4">
        <f>ROUND(J453*(1+G454),8)</f>
        <v/>
      </c>
      <c r="K454" s="4">
        <f>ROUND(K453+H454,8)</f>
        <v/>
      </c>
      <c r="L454" s="4">
        <f>ROUND(0.9*F454+0.05*G454+0.05*H454,8)</f>
        <v/>
      </c>
    </row>
    <row r="455">
      <c r="A455" s="2" t="n">
        <v>44421</v>
      </c>
      <c r="B455" s="8" t="n">
        <v>2437.34</v>
      </c>
      <c r="C455" s="8" t="n">
        <v>122.2339</v>
      </c>
      <c r="D455" s="8" t="n">
        <v>0.35</v>
      </c>
      <c r="E455">
        <f>A455-A454</f>
        <v/>
      </c>
      <c r="F455" s="4">
        <f>ROUND(B455/B454-1,8)</f>
        <v/>
      </c>
      <c r="G455" s="4">
        <f>ROUND(C455/C454-1,8)</f>
        <v/>
      </c>
      <c r="H455" s="4">
        <f>ROUND(D455/100/(DATE(YEAR(A455)+1,1,1)-DATE(YEAR(A455),1,1))*E455,8)</f>
        <v/>
      </c>
      <c r="I455" s="4">
        <f>ROUND(I454*(1+F455),8)</f>
        <v/>
      </c>
      <c r="J455" s="4">
        <f>ROUND(J454*(1+G455),8)</f>
        <v/>
      </c>
      <c r="K455" s="4">
        <f>ROUND(K454+H455,8)</f>
        <v/>
      </c>
      <c r="L455" s="4">
        <f>ROUND(0.9*F455+0.05*G455+0.05*H455,8)</f>
        <v/>
      </c>
    </row>
    <row r="456">
      <c r="A456" s="2" t="n">
        <v>44424</v>
      </c>
      <c r="B456" s="8" t="n">
        <v>2425.7</v>
      </c>
      <c r="C456" s="8" t="n">
        <v>122.207</v>
      </c>
      <c r="D456" s="8" t="n">
        <v>0.35</v>
      </c>
      <c r="E456">
        <f>A456-A455</f>
        <v/>
      </c>
      <c r="F456" s="4">
        <f>ROUND(B456/B455-1,8)</f>
        <v/>
      </c>
      <c r="G456" s="4">
        <f>ROUND(C456/C455-1,8)</f>
        <v/>
      </c>
      <c r="H456" s="4">
        <f>ROUND(D456/100/(DATE(YEAR(A456)+1,1,1)-DATE(YEAR(A456),1,1))*E456,8)</f>
        <v/>
      </c>
      <c r="I456" s="4">
        <f>ROUND(I455*(1+F456),8)</f>
        <v/>
      </c>
      <c r="J456" s="4">
        <f>ROUND(J455*(1+G456),8)</f>
        <v/>
      </c>
      <c r="K456" s="4">
        <f>ROUND(K455+H456,8)</f>
        <v/>
      </c>
      <c r="L456" s="4">
        <f>ROUND(0.9*F456+0.05*G456+0.05*H456,8)</f>
        <v/>
      </c>
    </row>
    <row r="457">
      <c r="A457" s="2" t="n">
        <v>44425</v>
      </c>
      <c r="B457" s="8" t="n">
        <v>2354.73</v>
      </c>
      <c r="C457" s="8" t="n">
        <v>122.2179</v>
      </c>
      <c r="D457" s="8" t="n">
        <v>0.35</v>
      </c>
      <c r="E457">
        <f>A457-A456</f>
        <v/>
      </c>
      <c r="F457" s="4">
        <f>ROUND(B457/B456-1,8)</f>
        <v/>
      </c>
      <c r="G457" s="4">
        <f>ROUND(C457/C456-1,8)</f>
        <v/>
      </c>
      <c r="H457" s="4">
        <f>ROUND(D457/100/(DATE(YEAR(A457)+1,1,1)-DATE(YEAR(A457),1,1))*E457,8)</f>
        <v/>
      </c>
      <c r="I457" s="4">
        <f>ROUND(I456*(1+F457),8)</f>
        <v/>
      </c>
      <c r="J457" s="4">
        <f>ROUND(J456*(1+G457),8)</f>
        <v/>
      </c>
      <c r="K457" s="4">
        <f>ROUND(K456+H457,8)</f>
        <v/>
      </c>
      <c r="L457" s="4">
        <f>ROUND(0.9*F457+0.05*G457+0.05*H457,8)</f>
        <v/>
      </c>
    </row>
    <row r="458">
      <c r="A458" s="2" t="n">
        <v>44426</v>
      </c>
      <c r="B458" s="8" t="n">
        <v>2379.68</v>
      </c>
      <c r="C458" s="8" t="n">
        <v>122.3104</v>
      </c>
      <c r="D458" s="8" t="n">
        <v>0.35</v>
      </c>
      <c r="E458">
        <f>A458-A457</f>
        <v/>
      </c>
      <c r="F458" s="4">
        <f>ROUND(B458/B457-1,8)</f>
        <v/>
      </c>
      <c r="G458" s="4">
        <f>ROUND(C458/C457-1,8)</f>
        <v/>
      </c>
      <c r="H458" s="4">
        <f>ROUND(D458/100/(DATE(YEAR(A458)+1,1,1)-DATE(YEAR(A458),1,1))*E458,8)</f>
        <v/>
      </c>
      <c r="I458" s="4">
        <f>ROUND(I457*(1+F458),8)</f>
        <v/>
      </c>
      <c r="J458" s="4">
        <f>ROUND(J457*(1+G458),8)</f>
        <v/>
      </c>
      <c r="K458" s="4">
        <f>ROUND(K457+H458,8)</f>
        <v/>
      </c>
      <c r="L458" s="4">
        <f>ROUND(0.9*F458+0.05*G458+0.05*H458,8)</f>
        <v/>
      </c>
    </row>
    <row r="459">
      <c r="A459" s="2" t="n">
        <v>44427</v>
      </c>
      <c r="B459" s="8" t="n">
        <v>2373.58</v>
      </c>
      <c r="C459" s="8" t="n">
        <v>122.3684</v>
      </c>
      <c r="D459" s="8" t="n">
        <v>0.35</v>
      </c>
      <c r="E459">
        <f>A459-A458</f>
        <v/>
      </c>
      <c r="F459" s="4">
        <f>ROUND(B459/B458-1,8)</f>
        <v/>
      </c>
      <c r="G459" s="4">
        <f>ROUND(C459/C458-1,8)</f>
        <v/>
      </c>
      <c r="H459" s="4">
        <f>ROUND(D459/100/(DATE(YEAR(A459)+1,1,1)-DATE(YEAR(A459),1,1))*E459,8)</f>
        <v/>
      </c>
      <c r="I459" s="4">
        <f>ROUND(I458*(1+F459),8)</f>
        <v/>
      </c>
      <c r="J459" s="4">
        <f>ROUND(J458*(1+G459),8)</f>
        <v/>
      </c>
      <c r="K459" s="4">
        <f>ROUND(K458+H459,8)</f>
        <v/>
      </c>
      <c r="L459" s="4">
        <f>ROUND(0.9*F459+0.05*G459+0.05*H459,8)</f>
        <v/>
      </c>
    </row>
    <row r="460">
      <c r="A460" s="2" t="n">
        <v>44428</v>
      </c>
      <c r="B460" s="8" t="n">
        <v>2370.57</v>
      </c>
      <c r="C460" s="8" t="n">
        <v>122.3654</v>
      </c>
      <c r="D460" s="8" t="n">
        <v>0.35</v>
      </c>
      <c r="E460">
        <f>A460-A459</f>
        <v/>
      </c>
      <c r="F460" s="4">
        <f>ROUND(B460/B459-1,8)</f>
        <v/>
      </c>
      <c r="G460" s="4">
        <f>ROUND(C460/C459-1,8)</f>
        <v/>
      </c>
      <c r="H460" s="4">
        <f>ROUND(D460/100/(DATE(YEAR(A460)+1,1,1)-DATE(YEAR(A460),1,1))*E460,8)</f>
        <v/>
      </c>
      <c r="I460" s="4">
        <f>ROUND(I459*(1+F460),8)</f>
        <v/>
      </c>
      <c r="J460" s="4">
        <f>ROUND(J459*(1+G460),8)</f>
        <v/>
      </c>
      <c r="K460" s="4">
        <f>ROUND(K459+H460,8)</f>
        <v/>
      </c>
      <c r="L460" s="4">
        <f>ROUND(0.9*F460+0.05*G460+0.05*H460,8)</f>
        <v/>
      </c>
    </row>
    <row r="461">
      <c r="A461" s="2" t="n">
        <v>44431</v>
      </c>
      <c r="B461" s="8" t="n">
        <v>2442.41</v>
      </c>
      <c r="C461" s="8" t="n">
        <v>122.2996</v>
      </c>
      <c r="D461" s="8" t="n">
        <v>0.35</v>
      </c>
      <c r="E461">
        <f>A461-A460</f>
        <v/>
      </c>
      <c r="F461" s="4">
        <f>ROUND(B461/B460-1,8)</f>
        <v/>
      </c>
      <c r="G461" s="4">
        <f>ROUND(C461/C460-1,8)</f>
        <v/>
      </c>
      <c r="H461" s="4">
        <f>ROUND(D461/100/(DATE(YEAR(A461)+1,1,1)-DATE(YEAR(A461),1,1))*E461,8)</f>
        <v/>
      </c>
      <c r="I461" s="4">
        <f>ROUND(I460*(1+F461),8)</f>
        <v/>
      </c>
      <c r="J461" s="4">
        <f>ROUND(J460*(1+G461),8)</f>
        <v/>
      </c>
      <c r="K461" s="4">
        <f>ROUND(K460+H461,8)</f>
        <v/>
      </c>
      <c r="L461" s="4">
        <f>ROUND(0.9*F461+0.05*G461+0.05*H461,8)</f>
        <v/>
      </c>
    </row>
    <row r="462">
      <c r="A462" s="2" t="n">
        <v>44432</v>
      </c>
      <c r="B462" s="8" t="n">
        <v>2452.1</v>
      </c>
      <c r="C462" s="8" t="n">
        <v>122.302</v>
      </c>
      <c r="D462" s="8" t="n">
        <v>0.35</v>
      </c>
      <c r="E462">
        <f>A462-A461</f>
        <v/>
      </c>
      <c r="F462" s="4">
        <f>ROUND(B462/B461-1,8)</f>
        <v/>
      </c>
      <c r="G462" s="4">
        <f>ROUND(C462/C461-1,8)</f>
        <v/>
      </c>
      <c r="H462" s="4">
        <f>ROUND(D462/100/(DATE(YEAR(A462)+1,1,1)-DATE(YEAR(A462),1,1))*E462,8)</f>
        <v/>
      </c>
      <c r="I462" s="4">
        <f>ROUND(I461*(1+F462),8)</f>
        <v/>
      </c>
      <c r="J462" s="4">
        <f>ROUND(J461*(1+G462),8)</f>
        <v/>
      </c>
      <c r="K462" s="4">
        <f>ROUND(K461+H462,8)</f>
        <v/>
      </c>
      <c r="L462" s="4">
        <f>ROUND(0.9*F462+0.05*G462+0.05*H462,8)</f>
        <v/>
      </c>
    </row>
    <row r="463">
      <c r="A463" s="2" t="n">
        <v>44433</v>
      </c>
      <c r="B463" s="8" t="n">
        <v>2474.31</v>
      </c>
      <c r="C463" s="8" t="n">
        <v>122.3165</v>
      </c>
      <c r="D463" s="8" t="n">
        <v>0.35</v>
      </c>
      <c r="E463">
        <f>A463-A462</f>
        <v/>
      </c>
      <c r="F463" s="4">
        <f>ROUND(B463/B462-1,8)</f>
        <v/>
      </c>
      <c r="G463" s="4">
        <f>ROUND(C463/C462-1,8)</f>
        <v/>
      </c>
      <c r="H463" s="4">
        <f>ROUND(D463/100/(DATE(YEAR(A463)+1,1,1)-DATE(YEAR(A463),1,1))*E463,8)</f>
        <v/>
      </c>
      <c r="I463" s="4">
        <f>ROUND(I462*(1+F463),8)</f>
        <v/>
      </c>
      <c r="J463" s="4">
        <f>ROUND(J462*(1+G463),8)</f>
        <v/>
      </c>
      <c r="K463" s="4">
        <f>ROUND(K462+H463,8)</f>
        <v/>
      </c>
      <c r="L463" s="4">
        <f>ROUND(0.9*F463+0.05*G463+0.05*H463,8)</f>
        <v/>
      </c>
    </row>
    <row r="464">
      <c r="A464" s="2" t="n">
        <v>44434</v>
      </c>
      <c r="B464" s="8" t="n">
        <v>2460.53</v>
      </c>
      <c r="C464" s="8" t="n">
        <v>122.2241</v>
      </c>
      <c r="D464" s="8" t="n">
        <v>0.35</v>
      </c>
      <c r="E464">
        <f>A464-A463</f>
        <v/>
      </c>
      <c r="F464" s="4">
        <f>ROUND(B464/B463-1,8)</f>
        <v/>
      </c>
      <c r="G464" s="4">
        <f>ROUND(C464/C463-1,8)</f>
        <v/>
      </c>
      <c r="H464" s="4">
        <f>ROUND(D464/100/(DATE(YEAR(A464)+1,1,1)-DATE(YEAR(A464),1,1))*E464,8)</f>
        <v/>
      </c>
      <c r="I464" s="4">
        <f>ROUND(I463*(1+F464),8)</f>
        <v/>
      </c>
      <c r="J464" s="4">
        <f>ROUND(J463*(1+G464),8)</f>
        <v/>
      </c>
      <c r="K464" s="4">
        <f>ROUND(K463+H464,8)</f>
        <v/>
      </c>
      <c r="L464" s="4">
        <f>ROUND(0.9*F464+0.05*G464+0.05*H464,8)</f>
        <v/>
      </c>
    </row>
    <row r="465">
      <c r="A465" s="2" t="n">
        <v>44435</v>
      </c>
      <c r="B465" s="8" t="n">
        <v>2457.44</v>
      </c>
      <c r="C465" s="8" t="n">
        <v>122.233</v>
      </c>
      <c r="D465" s="8" t="n">
        <v>0.35</v>
      </c>
      <c r="E465">
        <f>A465-A464</f>
        <v/>
      </c>
      <c r="F465" s="4">
        <f>ROUND(B465/B464-1,8)</f>
        <v/>
      </c>
      <c r="G465" s="4">
        <f>ROUND(C465/C464-1,8)</f>
        <v/>
      </c>
      <c r="H465" s="4">
        <f>ROUND(D465/100/(DATE(YEAR(A465)+1,1,1)-DATE(YEAR(A465),1,1))*E465,8)</f>
        <v/>
      </c>
      <c r="I465" s="4">
        <f>ROUND(I464*(1+F465),8)</f>
        <v/>
      </c>
      <c r="J465" s="4">
        <f>ROUND(J464*(1+G465),8)</f>
        <v/>
      </c>
      <c r="K465" s="4">
        <f>ROUND(K464+H465,8)</f>
        <v/>
      </c>
      <c r="L465" s="4">
        <f>ROUND(0.9*F465+0.05*G465+0.05*H465,8)</f>
        <v/>
      </c>
    </row>
    <row r="466">
      <c r="A466" s="2" t="n">
        <v>44438</v>
      </c>
      <c r="B466" s="8" t="n">
        <v>2466.31</v>
      </c>
      <c r="C466" s="8" t="n">
        <v>122.2667</v>
      </c>
      <c r="D466" s="8" t="n">
        <v>0.35</v>
      </c>
      <c r="E466">
        <f>A466-A465</f>
        <v/>
      </c>
      <c r="F466" s="4">
        <f>ROUND(B466/B465-1,8)</f>
        <v/>
      </c>
      <c r="G466" s="4">
        <f>ROUND(C466/C465-1,8)</f>
        <v/>
      </c>
      <c r="H466" s="4">
        <f>ROUND(D466/100/(DATE(YEAR(A466)+1,1,1)-DATE(YEAR(A466),1,1))*E466,8)</f>
        <v/>
      </c>
      <c r="I466" s="4">
        <f>ROUND(I465*(1+F466),8)</f>
        <v/>
      </c>
      <c r="J466" s="4">
        <f>ROUND(J465*(1+G466),8)</f>
        <v/>
      </c>
      <c r="K466" s="4">
        <f>ROUND(K465+H466,8)</f>
        <v/>
      </c>
      <c r="L466" s="4">
        <f>ROUND(0.9*F466+0.05*G466+0.05*H466,8)</f>
        <v/>
      </c>
    </row>
    <row r="467">
      <c r="A467" s="2" t="n">
        <v>44439</v>
      </c>
      <c r="B467" s="8" t="n">
        <v>2458.86</v>
      </c>
      <c r="C467" s="8" t="n">
        <v>122.2956</v>
      </c>
      <c r="D467" s="8" t="n">
        <v>0.35</v>
      </c>
      <c r="E467">
        <f>A467-A466</f>
        <v/>
      </c>
      <c r="F467" s="4">
        <f>ROUND(B467/B466-1,8)</f>
        <v/>
      </c>
      <c r="G467" s="4">
        <f>ROUND(C467/C466-1,8)</f>
        <v/>
      </c>
      <c r="H467" s="4">
        <f>ROUND(D467/100/(DATE(YEAR(A467)+1,1,1)-DATE(YEAR(A467),1,1))*E467,8)</f>
        <v/>
      </c>
      <c r="I467" s="4">
        <f>ROUND(I466*(1+F467),8)</f>
        <v/>
      </c>
      <c r="J467" s="4">
        <f>ROUND(J466*(1+G467),8)</f>
        <v/>
      </c>
      <c r="K467" s="4">
        <f>ROUND(K466+H467,8)</f>
        <v/>
      </c>
      <c r="L467" s="4">
        <f>ROUND(0.9*F467+0.05*G467+0.05*H467,8)</f>
        <v/>
      </c>
    </row>
    <row r="468">
      <c r="A468" s="2" t="n">
        <v>44440</v>
      </c>
      <c r="B468" s="8" t="n">
        <v>2416.95</v>
      </c>
      <c r="C468" s="8" t="n">
        <v>122.3484</v>
      </c>
      <c r="D468" s="8" t="n">
        <v>0.35</v>
      </c>
      <c r="E468">
        <f>A468-A467</f>
        <v/>
      </c>
      <c r="F468" s="4">
        <f>ROUND(B468/B467-1,8)</f>
        <v/>
      </c>
      <c r="G468" s="4">
        <f>ROUND(C468/C467-1,8)</f>
        <v/>
      </c>
      <c r="H468" s="4">
        <f>ROUND(D468/100/(DATE(YEAR(A468)+1,1,1)-DATE(YEAR(A468),1,1))*E468,8)</f>
        <v/>
      </c>
      <c r="I468" s="4">
        <f>ROUND(I467*(1+F468),8)</f>
        <v/>
      </c>
      <c r="J468" s="4">
        <f>ROUND(J467*(1+G468),8)</f>
        <v/>
      </c>
      <c r="K468" s="4">
        <f>ROUND(K467+H468,8)</f>
        <v/>
      </c>
      <c r="L468" s="4">
        <f>ROUND(0.9*F468+0.05*G468+0.05*H468,8)</f>
        <v/>
      </c>
    </row>
    <row r="469">
      <c r="A469" s="2" t="n">
        <v>44441</v>
      </c>
      <c r="B469" s="8" t="n">
        <v>2460.4</v>
      </c>
      <c r="C469" s="8" t="n">
        <v>122.348</v>
      </c>
      <c r="D469" s="8" t="n">
        <v>0.35</v>
      </c>
      <c r="E469">
        <f>A469-A468</f>
        <v/>
      </c>
      <c r="F469" s="4">
        <f>ROUND(B469/B468-1,8)</f>
        <v/>
      </c>
      <c r="G469" s="4">
        <f>ROUND(C469/C468-1,8)</f>
        <v/>
      </c>
      <c r="H469" s="4">
        <f>ROUND(D469/100/(DATE(YEAR(A469)+1,1,1)-DATE(YEAR(A469),1,1))*E469,8)</f>
        <v/>
      </c>
      <c r="I469" s="4">
        <f>ROUND(I468*(1+F469),8)</f>
        <v/>
      </c>
      <c r="J469" s="4">
        <f>ROUND(J468*(1+G469),8)</f>
        <v/>
      </c>
      <c r="K469" s="4">
        <f>ROUND(K468+H469,8)</f>
        <v/>
      </c>
      <c r="L469" s="4">
        <f>ROUND(0.9*F469+0.05*G469+0.05*H469,8)</f>
        <v/>
      </c>
    </row>
    <row r="470">
      <c r="A470" s="2" t="n">
        <v>44442</v>
      </c>
      <c r="B470" s="8" t="n">
        <v>2459.91</v>
      </c>
      <c r="C470" s="8" t="n">
        <v>122.338</v>
      </c>
      <c r="D470" s="8" t="n">
        <v>0.35</v>
      </c>
      <c r="E470">
        <f>A470-A469</f>
        <v/>
      </c>
      <c r="F470" s="4">
        <f>ROUND(B470/B469-1,8)</f>
        <v/>
      </c>
      <c r="G470" s="4">
        <f>ROUND(C470/C469-1,8)</f>
        <v/>
      </c>
      <c r="H470" s="4">
        <f>ROUND(D470/100/(DATE(YEAR(A470)+1,1,1)-DATE(YEAR(A470),1,1))*E470,8)</f>
        <v/>
      </c>
      <c r="I470" s="4">
        <f>ROUND(I469*(1+F470),8)</f>
        <v/>
      </c>
      <c r="J470" s="4">
        <f>ROUND(J469*(1+G470),8)</f>
        <v/>
      </c>
      <c r="K470" s="4">
        <f>ROUND(K469+H470,8)</f>
        <v/>
      </c>
      <c r="L470" s="4">
        <f>ROUND(0.9*F470+0.05*G470+0.05*H470,8)</f>
        <v/>
      </c>
    </row>
    <row r="471">
      <c r="A471" s="2" t="n">
        <v>44445</v>
      </c>
      <c r="B471" s="8" t="n">
        <v>2478.91</v>
      </c>
      <c r="C471" s="8" t="n">
        <v>122.338</v>
      </c>
      <c r="D471" s="8" t="n">
        <v>0.35</v>
      </c>
      <c r="E471">
        <f>A471-A470</f>
        <v/>
      </c>
      <c r="F471" s="4">
        <f>ROUND(B471/B470-1,8)</f>
        <v/>
      </c>
      <c r="G471" s="4">
        <f>ROUND(C471/C470-1,8)</f>
        <v/>
      </c>
      <c r="H471" s="4">
        <f>ROUND(D471/100/(DATE(YEAR(A471)+1,1,1)-DATE(YEAR(A471),1,1))*E471,8)</f>
        <v/>
      </c>
      <c r="I471" s="4">
        <f>ROUND(I470*(1+F471),8)</f>
        <v/>
      </c>
      <c r="J471" s="4">
        <f>ROUND(J470*(1+G471),8)</f>
        <v/>
      </c>
      <c r="K471" s="4">
        <f>ROUND(K470+H471,8)</f>
        <v/>
      </c>
      <c r="L471" s="4">
        <f>ROUND(0.9*F471+0.05*G471+0.05*H471,8)</f>
        <v/>
      </c>
    </row>
    <row r="472">
      <c r="A472" s="2" t="n">
        <v>44446</v>
      </c>
      <c r="B472" s="8" t="n">
        <v>2514.44</v>
      </c>
      <c r="C472" s="8" t="n">
        <v>122.3046</v>
      </c>
      <c r="D472" s="8" t="n">
        <v>0.35</v>
      </c>
      <c r="E472">
        <f>A472-A471</f>
        <v/>
      </c>
      <c r="F472" s="4">
        <f>ROUND(B472/B471-1,8)</f>
        <v/>
      </c>
      <c r="G472" s="4">
        <f>ROUND(C472/C471-1,8)</f>
        <v/>
      </c>
      <c r="H472" s="4">
        <f>ROUND(D472/100/(DATE(YEAR(A472)+1,1,1)-DATE(YEAR(A472),1,1))*E472,8)</f>
        <v/>
      </c>
      <c r="I472" s="4">
        <f>ROUND(I471*(1+F472),8)</f>
        <v/>
      </c>
      <c r="J472" s="4">
        <f>ROUND(J471*(1+G472),8)</f>
        <v/>
      </c>
      <c r="K472" s="4">
        <f>ROUND(K471+H472,8)</f>
        <v/>
      </c>
      <c r="L472" s="4">
        <f>ROUND(0.9*F472+0.05*G472+0.05*H472,8)</f>
        <v/>
      </c>
    </row>
    <row r="473">
      <c r="A473" s="2" t="n">
        <v>44447</v>
      </c>
      <c r="B473" s="8" t="n">
        <v>2539.68</v>
      </c>
      <c r="C473" s="8" t="n">
        <v>122.2677</v>
      </c>
      <c r="D473" s="8" t="n">
        <v>0.35</v>
      </c>
      <c r="E473">
        <f>A473-A472</f>
        <v/>
      </c>
      <c r="F473" s="4">
        <f>ROUND(B473/B472-1,8)</f>
        <v/>
      </c>
      <c r="G473" s="4">
        <f>ROUND(C473/C472-1,8)</f>
        <v/>
      </c>
      <c r="H473" s="4">
        <f>ROUND(D473/100/(DATE(YEAR(A473)+1,1,1)-DATE(YEAR(A473),1,1))*E473,8)</f>
        <v/>
      </c>
      <c r="I473" s="4">
        <f>ROUND(I472*(1+F473),8)</f>
        <v/>
      </c>
      <c r="J473" s="4">
        <f>ROUND(J472*(1+G473),8)</f>
        <v/>
      </c>
      <c r="K473" s="4">
        <f>ROUND(K472+H473,8)</f>
        <v/>
      </c>
      <c r="L473" s="4">
        <f>ROUND(0.9*F473+0.05*G473+0.05*H473,8)</f>
        <v/>
      </c>
    </row>
    <row r="474">
      <c r="A474" s="2" t="n">
        <v>44448</v>
      </c>
      <c r="B474" s="8" t="n">
        <v>2532.6</v>
      </c>
      <c r="C474" s="8" t="n">
        <v>122.2423</v>
      </c>
      <c r="D474" s="8" t="n">
        <v>0.35</v>
      </c>
      <c r="E474">
        <f>A474-A473</f>
        <v/>
      </c>
      <c r="F474" s="4">
        <f>ROUND(B474/B473-1,8)</f>
        <v/>
      </c>
      <c r="G474" s="4">
        <f>ROUND(C474/C473-1,8)</f>
        <v/>
      </c>
      <c r="H474" s="4">
        <f>ROUND(D474/100/(DATE(YEAR(A474)+1,1,1)-DATE(YEAR(A474),1,1))*E474,8)</f>
        <v/>
      </c>
      <c r="I474" s="4">
        <f>ROUND(I473*(1+F474),8)</f>
        <v/>
      </c>
      <c r="J474" s="4">
        <f>ROUND(J473*(1+G474),8)</f>
        <v/>
      </c>
      <c r="K474" s="4">
        <f>ROUND(K473+H474,8)</f>
        <v/>
      </c>
      <c r="L474" s="4">
        <f>ROUND(0.9*F474+0.05*G474+0.05*H474,8)</f>
        <v/>
      </c>
    </row>
    <row r="475">
      <c r="A475" s="2" t="n">
        <v>44449</v>
      </c>
      <c r="B475" s="8" t="n">
        <v>2517.89</v>
      </c>
      <c r="C475" s="8" t="n">
        <v>122.2158</v>
      </c>
      <c r="D475" s="8" t="n">
        <v>0.35</v>
      </c>
      <c r="E475">
        <f>A475-A474</f>
        <v/>
      </c>
      <c r="F475" s="4">
        <f>ROUND(B475/B474-1,8)</f>
        <v/>
      </c>
      <c r="G475" s="4">
        <f>ROUND(C475/C474-1,8)</f>
        <v/>
      </c>
      <c r="H475" s="4">
        <f>ROUND(D475/100/(DATE(YEAR(A475)+1,1,1)-DATE(YEAR(A475),1,1))*E475,8)</f>
        <v/>
      </c>
      <c r="I475" s="4">
        <f>ROUND(I474*(1+F475),8)</f>
        <v/>
      </c>
      <c r="J475" s="4">
        <f>ROUND(J474*(1+G475),8)</f>
        <v/>
      </c>
      <c r="K475" s="4">
        <f>ROUND(K474+H475,8)</f>
        <v/>
      </c>
      <c r="L475" s="4">
        <f>ROUND(0.9*F475+0.05*G475+0.05*H475,8)</f>
        <v/>
      </c>
    </row>
    <row r="476">
      <c r="A476" s="2" t="n">
        <v>44452</v>
      </c>
      <c r="B476" s="8" t="n">
        <v>2537.61</v>
      </c>
      <c r="C476" s="8" t="n">
        <v>122.1957</v>
      </c>
      <c r="D476" s="8" t="n">
        <v>0.35</v>
      </c>
      <c r="E476">
        <f>A476-A475</f>
        <v/>
      </c>
      <c r="F476" s="4">
        <f>ROUND(B476/B475-1,8)</f>
        <v/>
      </c>
      <c r="G476" s="4">
        <f>ROUND(C476/C475-1,8)</f>
        <v/>
      </c>
      <c r="H476" s="4">
        <f>ROUND(D476/100/(DATE(YEAR(A476)+1,1,1)-DATE(YEAR(A476),1,1))*E476,8)</f>
        <v/>
      </c>
      <c r="I476" s="4">
        <f>ROUND(I475*(1+F476),8)</f>
        <v/>
      </c>
      <c r="J476" s="4">
        <f>ROUND(J475*(1+G476),8)</f>
        <v/>
      </c>
      <c r="K476" s="4">
        <f>ROUND(K475+H476,8)</f>
        <v/>
      </c>
      <c r="L476" s="4">
        <f>ROUND(0.9*F476+0.05*G476+0.05*H476,8)</f>
        <v/>
      </c>
    </row>
    <row r="477">
      <c r="A477" s="2" t="n">
        <v>44453</v>
      </c>
      <c r="B477" s="8" t="n">
        <v>2522.57</v>
      </c>
      <c r="C477" s="8" t="n">
        <v>122.137</v>
      </c>
      <c r="D477" s="8" t="n">
        <v>0.35</v>
      </c>
      <c r="E477">
        <f>A477-A476</f>
        <v/>
      </c>
      <c r="F477" s="4">
        <f>ROUND(B477/B476-1,8)</f>
        <v/>
      </c>
      <c r="G477" s="4">
        <f>ROUND(C477/C476-1,8)</f>
        <v/>
      </c>
      <c r="H477" s="4">
        <f>ROUND(D477/100/(DATE(YEAR(A477)+1,1,1)-DATE(YEAR(A477),1,1))*E477,8)</f>
        <v/>
      </c>
      <c r="I477" s="4">
        <f>ROUND(I476*(1+F477),8)</f>
        <v/>
      </c>
      <c r="J477" s="4">
        <f>ROUND(J476*(1+G477),8)</f>
        <v/>
      </c>
      <c r="K477" s="4">
        <f>ROUND(K476+H477,8)</f>
        <v/>
      </c>
      <c r="L477" s="4">
        <f>ROUND(0.9*F477+0.05*G477+0.05*H477,8)</f>
        <v/>
      </c>
    </row>
    <row r="478">
      <c r="A478" s="2" t="n">
        <v>44454</v>
      </c>
      <c r="B478" s="8" t="n">
        <v>2559.21</v>
      </c>
      <c r="C478" s="8" t="n">
        <v>122.1294</v>
      </c>
      <c r="D478" s="8" t="n">
        <v>0.35</v>
      </c>
      <c r="E478">
        <f>A478-A477</f>
        <v/>
      </c>
      <c r="F478" s="4">
        <f>ROUND(B478/B477-1,8)</f>
        <v/>
      </c>
      <c r="G478" s="4">
        <f>ROUND(C478/C477-1,8)</f>
        <v/>
      </c>
      <c r="H478" s="4">
        <f>ROUND(D478/100/(DATE(YEAR(A478)+1,1,1)-DATE(YEAR(A478),1,1))*E478,8)</f>
        <v/>
      </c>
      <c r="I478" s="4">
        <f>ROUND(I477*(1+F478),8)</f>
        <v/>
      </c>
      <c r="J478" s="4">
        <f>ROUND(J477*(1+G478),8)</f>
        <v/>
      </c>
      <c r="K478" s="4">
        <f>ROUND(K477+H478,8)</f>
        <v/>
      </c>
      <c r="L478" s="4">
        <f>ROUND(0.9*F478+0.05*G478+0.05*H478,8)</f>
        <v/>
      </c>
    </row>
    <row r="479">
      <c r="A479" s="2" t="n">
        <v>44455</v>
      </c>
      <c r="B479" s="8" t="n">
        <v>2515.95</v>
      </c>
      <c r="C479" s="8" t="n">
        <v>122.0978</v>
      </c>
      <c r="D479" s="8" t="n">
        <v>0.35</v>
      </c>
      <c r="E479">
        <f>A479-A478</f>
        <v/>
      </c>
      <c r="F479" s="4">
        <f>ROUND(B479/B478-1,8)</f>
        <v/>
      </c>
      <c r="G479" s="4">
        <f>ROUND(C479/C478-1,8)</f>
        <v/>
      </c>
      <c r="H479" s="4">
        <f>ROUND(D479/100/(DATE(YEAR(A479)+1,1,1)-DATE(YEAR(A479),1,1))*E479,8)</f>
        <v/>
      </c>
      <c r="I479" s="4">
        <f>ROUND(I478*(1+F479),8)</f>
        <v/>
      </c>
      <c r="J479" s="4">
        <f>ROUND(J478*(1+G479),8)</f>
        <v/>
      </c>
      <c r="K479" s="4">
        <f>ROUND(K478+H479,8)</f>
        <v/>
      </c>
      <c r="L479" s="4">
        <f>ROUND(0.9*F479+0.05*G479+0.05*H479,8)</f>
        <v/>
      </c>
    </row>
    <row r="480">
      <c r="A480" s="2" t="n">
        <v>44456</v>
      </c>
      <c r="B480" s="8" t="n">
        <v>2510.26</v>
      </c>
      <c r="C480" s="8" t="n">
        <v>122.1263</v>
      </c>
      <c r="D480" s="8" t="n">
        <v>0.35</v>
      </c>
      <c r="E480">
        <f>A480-A479</f>
        <v/>
      </c>
      <c r="F480" s="4">
        <f>ROUND(B480/B479-1,8)</f>
        <v/>
      </c>
      <c r="G480" s="4">
        <f>ROUND(C480/C479-1,8)</f>
        <v/>
      </c>
      <c r="H480" s="4">
        <f>ROUND(D480/100/(DATE(YEAR(A480)+1,1,1)-DATE(YEAR(A480),1,1))*E480,8)</f>
        <v/>
      </c>
      <c r="I480" s="4">
        <f>ROUND(I479*(1+F480),8)</f>
        <v/>
      </c>
      <c r="J480" s="4">
        <f>ROUND(J479*(1+G480),8)</f>
        <v/>
      </c>
      <c r="K480" s="4">
        <f>ROUND(K479+H480,8)</f>
        <v/>
      </c>
      <c r="L480" s="4">
        <f>ROUND(0.9*F480+0.05*G480+0.05*H480,8)</f>
        <v/>
      </c>
    </row>
    <row r="481">
      <c r="A481" s="2" t="n">
        <v>44461</v>
      </c>
      <c r="B481" s="8" t="n">
        <v>2531.08</v>
      </c>
      <c r="C481" s="8" t="n">
        <v>122.1284</v>
      </c>
      <c r="D481" s="8" t="n">
        <v>0.35</v>
      </c>
      <c r="E481">
        <f>A481-A480</f>
        <v/>
      </c>
      <c r="F481" s="4">
        <f>ROUND(B481/B480-1,8)</f>
        <v/>
      </c>
      <c r="G481" s="4">
        <f>ROUND(C481/C480-1,8)</f>
        <v/>
      </c>
      <c r="H481" s="4">
        <f>ROUND(D481/100/(DATE(YEAR(A481)+1,1,1)-DATE(YEAR(A481),1,1))*E481,8)</f>
        <v/>
      </c>
      <c r="I481" s="4">
        <f>ROUND(I480*(1+F481),8)</f>
        <v/>
      </c>
      <c r="J481" s="4">
        <f>ROUND(J480*(1+G481),8)</f>
        <v/>
      </c>
      <c r="K481" s="4">
        <f>ROUND(K480+H481,8)</f>
        <v/>
      </c>
      <c r="L481" s="4">
        <f>ROUND(0.9*F481+0.05*G481+0.05*H481,8)</f>
        <v/>
      </c>
    </row>
    <row r="482">
      <c r="A482" s="2" t="n">
        <v>44462</v>
      </c>
      <c r="B482" s="8" t="n">
        <v>2531.75</v>
      </c>
      <c r="C482" s="8" t="n">
        <v>122.1285</v>
      </c>
      <c r="D482" s="8" t="n">
        <v>0.35</v>
      </c>
      <c r="E482">
        <f>A482-A481</f>
        <v/>
      </c>
      <c r="F482" s="4">
        <f>ROUND(B482/B481-1,8)</f>
        <v/>
      </c>
      <c r="G482" s="4">
        <f>ROUND(C482/C481-1,8)</f>
        <v/>
      </c>
      <c r="H482" s="4">
        <f>ROUND(D482/100/(DATE(YEAR(A482)+1,1,1)-DATE(YEAR(A482),1,1))*E482,8)</f>
        <v/>
      </c>
      <c r="I482" s="4">
        <f>ROUND(I481*(1+F482),8)</f>
        <v/>
      </c>
      <c r="J482" s="4">
        <f>ROUND(J481*(1+G482),8)</f>
        <v/>
      </c>
      <c r="K482" s="4">
        <f>ROUND(K481+H482,8)</f>
        <v/>
      </c>
      <c r="L482" s="4">
        <f>ROUND(0.9*F482+0.05*G482+0.05*H482,8)</f>
        <v/>
      </c>
    </row>
    <row r="483">
      <c r="A483" s="2" t="n">
        <v>44463</v>
      </c>
      <c r="B483" s="8" t="n">
        <v>2471.09</v>
      </c>
      <c r="C483" s="8" t="n">
        <v>122.103</v>
      </c>
      <c r="D483" s="8" t="n">
        <v>0.35</v>
      </c>
      <c r="E483">
        <f>A483-A482</f>
        <v/>
      </c>
      <c r="F483" s="4">
        <f>ROUND(B483/B482-1,8)</f>
        <v/>
      </c>
      <c r="G483" s="4">
        <f>ROUND(C483/C482-1,8)</f>
        <v/>
      </c>
      <c r="H483" s="4">
        <f>ROUND(D483/100/(DATE(YEAR(A483)+1,1,1)-DATE(YEAR(A483),1,1))*E483,8)</f>
        <v/>
      </c>
      <c r="I483" s="4">
        <f>ROUND(I482*(1+F483),8)</f>
        <v/>
      </c>
      <c r="J483" s="4">
        <f>ROUND(J482*(1+G483),8)</f>
        <v/>
      </c>
      <c r="K483" s="4">
        <f>ROUND(K482+H483,8)</f>
        <v/>
      </c>
      <c r="L483" s="4">
        <f>ROUND(0.9*F483+0.05*G483+0.05*H483,8)</f>
        <v/>
      </c>
    </row>
    <row r="484">
      <c r="A484" s="2" t="n">
        <v>44466</v>
      </c>
      <c r="B484" s="8" t="n">
        <v>2373.72</v>
      </c>
      <c r="C484" s="8" t="n">
        <v>122.071</v>
      </c>
      <c r="D484" s="8" t="n">
        <v>0.35</v>
      </c>
      <c r="E484">
        <f>A484-A483</f>
        <v/>
      </c>
      <c r="F484" s="4">
        <f>ROUND(B484/B483-1,8)</f>
        <v/>
      </c>
      <c r="G484" s="4">
        <f>ROUND(C484/C483-1,8)</f>
        <v/>
      </c>
      <c r="H484" s="4">
        <f>ROUND(D484/100/(DATE(YEAR(A484)+1,1,1)-DATE(YEAR(A484),1,1))*E484,8)</f>
        <v/>
      </c>
      <c r="I484" s="4">
        <f>ROUND(I483*(1+F484),8)</f>
        <v/>
      </c>
      <c r="J484" s="4">
        <f>ROUND(J483*(1+G484),8)</f>
        <v/>
      </c>
      <c r="K484" s="4">
        <f>ROUND(K483+H484,8)</f>
        <v/>
      </c>
      <c r="L484" s="4">
        <f>ROUND(0.9*F484+0.05*G484+0.05*H484,8)</f>
        <v/>
      </c>
    </row>
    <row r="485">
      <c r="A485" s="2" t="n">
        <v>44467</v>
      </c>
      <c r="B485" s="8" t="n">
        <v>2386.6</v>
      </c>
      <c r="C485" s="8" t="n">
        <v>122.0218</v>
      </c>
      <c r="D485" s="8" t="n">
        <v>0.35</v>
      </c>
      <c r="E485">
        <f>A485-A484</f>
        <v/>
      </c>
      <c r="F485" s="4">
        <f>ROUND(B485/B484-1,8)</f>
        <v/>
      </c>
      <c r="G485" s="4">
        <f>ROUND(C485/C484-1,8)</f>
        <v/>
      </c>
      <c r="H485" s="4">
        <f>ROUND(D485/100/(DATE(YEAR(A485)+1,1,1)-DATE(YEAR(A485),1,1))*E485,8)</f>
        <v/>
      </c>
      <c r="I485" s="4">
        <f>ROUND(I484*(1+F485),8)</f>
        <v/>
      </c>
      <c r="J485" s="4">
        <f>ROUND(J484*(1+G485),8)</f>
        <v/>
      </c>
      <c r="K485" s="4">
        <f>ROUND(K484+H485,8)</f>
        <v/>
      </c>
      <c r="L485" s="4">
        <f>ROUND(0.9*F485+0.05*G485+0.05*H485,8)</f>
        <v/>
      </c>
    </row>
    <row r="486">
      <c r="A486" s="2" t="n">
        <v>44468</v>
      </c>
      <c r="B486" s="8" t="n">
        <v>2302.9</v>
      </c>
      <c r="C486" s="8" t="n">
        <v>122.0446</v>
      </c>
      <c r="D486" s="8" t="n">
        <v>0.35</v>
      </c>
      <c r="E486">
        <f>A486-A485</f>
        <v/>
      </c>
      <c r="F486" s="4">
        <f>ROUND(B486/B485-1,8)</f>
        <v/>
      </c>
      <c r="G486" s="4">
        <f>ROUND(C486/C485-1,8)</f>
        <v/>
      </c>
      <c r="H486" s="4">
        <f>ROUND(D486/100/(DATE(YEAR(A486)+1,1,1)-DATE(YEAR(A486),1,1))*E486,8)</f>
        <v/>
      </c>
      <c r="I486" s="4">
        <f>ROUND(I485*(1+F486),8)</f>
        <v/>
      </c>
      <c r="J486" s="4">
        <f>ROUND(J485*(1+G486),8)</f>
        <v/>
      </c>
      <c r="K486" s="4">
        <f>ROUND(K485+H486,8)</f>
        <v/>
      </c>
      <c r="L486" s="4">
        <f>ROUND(0.9*F486+0.05*G486+0.05*H486,8)</f>
        <v/>
      </c>
    </row>
    <row r="487">
      <c r="A487" s="2" t="n">
        <v>44469</v>
      </c>
      <c r="B487" s="8" t="n">
        <v>2370.07</v>
      </c>
      <c r="C487" s="8" t="n">
        <v>122.0696</v>
      </c>
      <c r="D487" s="8" t="n">
        <v>0.35</v>
      </c>
      <c r="E487">
        <f>A487-A486</f>
        <v/>
      </c>
      <c r="F487" s="4">
        <f>ROUND(B487/B486-1,8)</f>
        <v/>
      </c>
      <c r="G487" s="4">
        <f>ROUND(C487/C486-1,8)</f>
        <v/>
      </c>
      <c r="H487" s="4">
        <f>ROUND(D487/100/(DATE(YEAR(A487)+1,1,1)-DATE(YEAR(A487),1,1))*E487,8)</f>
        <v/>
      </c>
      <c r="I487" s="4">
        <f>ROUND(I486*(1+F487),8)</f>
        <v/>
      </c>
      <c r="J487" s="4">
        <f>ROUND(J486*(1+G487),8)</f>
        <v/>
      </c>
      <c r="K487" s="4">
        <f>ROUND(K486+H487,8)</f>
        <v/>
      </c>
      <c r="L487" s="4">
        <f>ROUND(0.9*F487+0.05*G487+0.05*H487,8)</f>
        <v/>
      </c>
    </row>
    <row r="488">
      <c r="A488" s="2" t="n">
        <v>44477</v>
      </c>
      <c r="B488" s="8" t="n">
        <v>2394.06</v>
      </c>
      <c r="C488" s="8" t="n">
        <v>122.0692</v>
      </c>
      <c r="D488" s="8" t="n">
        <v>0.35</v>
      </c>
      <c r="E488">
        <f>A488-A487</f>
        <v/>
      </c>
      <c r="F488" s="4">
        <f>ROUND(B488/B487-1,8)</f>
        <v/>
      </c>
      <c r="G488" s="4">
        <f>ROUND(C488/C487-1,8)</f>
        <v/>
      </c>
      <c r="H488" s="4">
        <f>ROUND(D488/100/(DATE(YEAR(A488)+1,1,1)-DATE(YEAR(A488),1,1))*E488,8)</f>
        <v/>
      </c>
      <c r="I488" s="4">
        <f>ROUND(I487*(1+F488),8)</f>
        <v/>
      </c>
      <c r="J488" s="4">
        <f>ROUND(J487*(1+G488),8)</f>
        <v/>
      </c>
      <c r="K488" s="4">
        <f>ROUND(K487+H488,8)</f>
        <v/>
      </c>
      <c r="L488" s="4">
        <f>ROUND(0.9*F488+0.05*G488+0.05*H488,8)</f>
        <v/>
      </c>
    </row>
    <row r="489">
      <c r="A489" s="2" t="n">
        <v>44480</v>
      </c>
      <c r="B489" s="8" t="n">
        <v>2378.49</v>
      </c>
      <c r="C489" s="8" t="n">
        <v>121.9347</v>
      </c>
      <c r="D489" s="8" t="n">
        <v>0.35</v>
      </c>
      <c r="E489">
        <f>A489-A488</f>
        <v/>
      </c>
      <c r="F489" s="4">
        <f>ROUND(B489/B488-1,8)</f>
        <v/>
      </c>
      <c r="G489" s="4">
        <f>ROUND(C489/C488-1,8)</f>
        <v/>
      </c>
      <c r="H489" s="4">
        <f>ROUND(D489/100/(DATE(YEAR(A489)+1,1,1)-DATE(YEAR(A489),1,1))*E489,8)</f>
        <v/>
      </c>
      <c r="I489" s="4">
        <f>ROUND(I488*(1+F489),8)</f>
        <v/>
      </c>
      <c r="J489" s="4">
        <f>ROUND(J488*(1+G489),8)</f>
        <v/>
      </c>
      <c r="K489" s="4">
        <f>ROUND(K488+H489,8)</f>
        <v/>
      </c>
      <c r="L489" s="4">
        <f>ROUND(0.9*F489+0.05*G489+0.05*H489,8)</f>
        <v/>
      </c>
    </row>
    <row r="490">
      <c r="A490" s="2" t="n">
        <v>44481</v>
      </c>
      <c r="B490" s="8" t="n">
        <v>2329.62</v>
      </c>
      <c r="C490" s="8" t="n">
        <v>121.8885</v>
      </c>
      <c r="D490" s="8" t="n">
        <v>0.35</v>
      </c>
      <c r="E490">
        <f>A490-A489</f>
        <v/>
      </c>
      <c r="F490" s="4">
        <f>ROUND(B490/B489-1,8)</f>
        <v/>
      </c>
      <c r="G490" s="4">
        <f>ROUND(C490/C489-1,8)</f>
        <v/>
      </c>
      <c r="H490" s="4">
        <f>ROUND(D490/100/(DATE(YEAR(A490)+1,1,1)-DATE(YEAR(A490),1,1))*E490,8)</f>
        <v/>
      </c>
      <c r="I490" s="4">
        <f>ROUND(I489*(1+F490),8)</f>
        <v/>
      </c>
      <c r="J490" s="4">
        <f>ROUND(J489*(1+G490),8)</f>
        <v/>
      </c>
      <c r="K490" s="4">
        <f>ROUND(K489+H490,8)</f>
        <v/>
      </c>
      <c r="L490" s="4">
        <f>ROUND(0.9*F490+0.05*G490+0.05*H490,8)</f>
        <v/>
      </c>
    </row>
    <row r="491">
      <c r="A491" s="2" t="n">
        <v>44482</v>
      </c>
      <c r="B491" s="8" t="n">
        <v>2331.12</v>
      </c>
      <c r="C491" s="8" t="n">
        <v>121.8652</v>
      </c>
      <c r="D491" s="8" t="n">
        <v>0.35</v>
      </c>
      <c r="E491">
        <f>A491-A490</f>
        <v/>
      </c>
      <c r="F491" s="4">
        <f>ROUND(B491/B490-1,8)</f>
        <v/>
      </c>
      <c r="G491" s="4">
        <f>ROUND(C491/C490-1,8)</f>
        <v/>
      </c>
      <c r="H491" s="4">
        <f>ROUND(D491/100/(DATE(YEAR(A491)+1,1,1)-DATE(YEAR(A491),1,1))*E491,8)</f>
        <v/>
      </c>
      <c r="I491" s="4">
        <f>ROUND(I490*(1+F491),8)</f>
        <v/>
      </c>
      <c r="J491" s="4">
        <f>ROUND(J490*(1+G491),8)</f>
        <v/>
      </c>
      <c r="K491" s="4">
        <f>ROUND(K490+H491,8)</f>
        <v/>
      </c>
      <c r="L491" s="4">
        <f>ROUND(0.9*F491+0.05*G491+0.05*H491,8)</f>
        <v/>
      </c>
    </row>
    <row r="492">
      <c r="A492" s="2" t="n">
        <v>44483</v>
      </c>
      <c r="B492" s="8" t="n">
        <v>2355.67</v>
      </c>
      <c r="C492" s="8" t="n">
        <v>121.8669</v>
      </c>
      <c r="D492" s="8" t="n">
        <v>0.35</v>
      </c>
      <c r="E492">
        <f>A492-A491</f>
        <v/>
      </c>
      <c r="F492" s="4">
        <f>ROUND(B492/B491-1,8)</f>
        <v/>
      </c>
      <c r="G492" s="4">
        <f>ROUND(C492/C491-1,8)</f>
        <v/>
      </c>
      <c r="H492" s="4">
        <f>ROUND(D492/100/(DATE(YEAR(A492)+1,1,1)-DATE(YEAR(A492),1,1))*E492,8)</f>
        <v/>
      </c>
      <c r="I492" s="4">
        <f>ROUND(I491*(1+F492),8)</f>
        <v/>
      </c>
      <c r="J492" s="4">
        <f>ROUND(J491*(1+G492),8)</f>
        <v/>
      </c>
      <c r="K492" s="4">
        <f>ROUND(K491+H492,8)</f>
        <v/>
      </c>
      <c r="L492" s="4">
        <f>ROUND(0.9*F492+0.05*G492+0.05*H492,8)</f>
        <v/>
      </c>
    </row>
    <row r="493">
      <c r="A493" s="2" t="n">
        <v>44484</v>
      </c>
      <c r="B493" s="8" t="n">
        <v>2333.16</v>
      </c>
      <c r="C493" s="8" t="n">
        <v>121.8194</v>
      </c>
      <c r="D493" s="8" t="n">
        <v>0.35</v>
      </c>
      <c r="E493">
        <f>A493-A492</f>
        <v/>
      </c>
      <c r="F493" s="4">
        <f>ROUND(B493/B492-1,8)</f>
        <v/>
      </c>
      <c r="G493" s="4">
        <f>ROUND(C493/C492-1,8)</f>
        <v/>
      </c>
      <c r="H493" s="4">
        <f>ROUND(D493/100/(DATE(YEAR(A493)+1,1,1)-DATE(YEAR(A493),1,1))*E493,8)</f>
        <v/>
      </c>
      <c r="I493" s="4">
        <f>ROUND(I492*(1+F493),8)</f>
        <v/>
      </c>
      <c r="J493" s="4">
        <f>ROUND(J492*(1+G493),8)</f>
        <v/>
      </c>
      <c r="K493" s="4">
        <f>ROUND(K492+H493,8)</f>
        <v/>
      </c>
      <c r="L493" s="4">
        <f>ROUND(0.9*F493+0.05*G493+0.05*H493,8)</f>
        <v/>
      </c>
    </row>
    <row r="494">
      <c r="A494" s="2" t="n">
        <v>44487</v>
      </c>
      <c r="B494" s="8" t="n">
        <v>2365.73</v>
      </c>
      <c r="C494" s="8" t="n">
        <v>121.5688</v>
      </c>
      <c r="D494" s="8" t="n">
        <v>0.35</v>
      </c>
      <c r="E494">
        <f>A494-A493</f>
        <v/>
      </c>
      <c r="F494" s="4">
        <f>ROUND(B494/B493-1,8)</f>
        <v/>
      </c>
      <c r="G494" s="4">
        <f>ROUND(C494/C493-1,8)</f>
        <v/>
      </c>
      <c r="H494" s="4">
        <f>ROUND(D494/100/(DATE(YEAR(A494)+1,1,1)-DATE(YEAR(A494),1,1))*E494,8)</f>
        <v/>
      </c>
      <c r="I494" s="4">
        <f>ROUND(I493*(1+F494),8)</f>
        <v/>
      </c>
      <c r="J494" s="4">
        <f>ROUND(J493*(1+G494),8)</f>
        <v/>
      </c>
      <c r="K494" s="4">
        <f>ROUND(K493+H494,8)</f>
        <v/>
      </c>
      <c r="L494" s="4">
        <f>ROUND(0.9*F494+0.05*G494+0.05*H494,8)</f>
        <v/>
      </c>
    </row>
    <row r="495">
      <c r="A495" s="2" t="n">
        <v>44488</v>
      </c>
      <c r="B495" s="8" t="n">
        <v>2379.91</v>
      </c>
      <c r="C495" s="8" t="n">
        <v>121.5889</v>
      </c>
      <c r="D495" s="8" t="n">
        <v>0.35</v>
      </c>
      <c r="E495">
        <f>A495-A494</f>
        <v/>
      </c>
      <c r="F495" s="4">
        <f>ROUND(B495/B494-1,8)</f>
        <v/>
      </c>
      <c r="G495" s="4">
        <f>ROUND(C495/C494-1,8)</f>
        <v/>
      </c>
      <c r="H495" s="4">
        <f>ROUND(D495/100/(DATE(YEAR(A495)+1,1,1)-DATE(YEAR(A495),1,1))*E495,8)</f>
        <v/>
      </c>
      <c r="I495" s="4">
        <f>ROUND(I494*(1+F495),8)</f>
        <v/>
      </c>
      <c r="J495" s="4">
        <f>ROUND(J494*(1+G495),8)</f>
        <v/>
      </c>
      <c r="K495" s="4">
        <f>ROUND(K494+H495,8)</f>
        <v/>
      </c>
      <c r="L495" s="4">
        <f>ROUND(0.9*F495+0.05*G495+0.05*H495,8)</f>
        <v/>
      </c>
    </row>
    <row r="496">
      <c r="A496" s="2" t="n">
        <v>44489</v>
      </c>
      <c r="B496" s="8" t="n">
        <v>2384.21</v>
      </c>
      <c r="C496" s="8" t="n">
        <v>121.6281</v>
      </c>
      <c r="D496" s="8" t="n">
        <v>0.35</v>
      </c>
      <c r="E496">
        <f>A496-A495</f>
        <v/>
      </c>
      <c r="F496" s="4">
        <f>ROUND(B496/B495-1,8)</f>
        <v/>
      </c>
      <c r="G496" s="4">
        <f>ROUND(C496/C495-1,8)</f>
        <v/>
      </c>
      <c r="H496" s="4">
        <f>ROUND(D496/100/(DATE(YEAR(A496)+1,1,1)-DATE(YEAR(A496),1,1))*E496,8)</f>
        <v/>
      </c>
      <c r="I496" s="4">
        <f>ROUND(I495*(1+F496),8)</f>
        <v/>
      </c>
      <c r="J496" s="4">
        <f>ROUND(J495*(1+G496),8)</f>
        <v/>
      </c>
      <c r="K496" s="4">
        <f>ROUND(K495+H496,8)</f>
        <v/>
      </c>
      <c r="L496" s="4">
        <f>ROUND(0.9*F496+0.05*G496+0.05*H496,8)</f>
        <v/>
      </c>
    </row>
    <row r="497">
      <c r="A497" s="2" t="n">
        <v>44490</v>
      </c>
      <c r="B497" s="8" t="n">
        <v>2374.16</v>
      </c>
      <c r="C497" s="8" t="n">
        <v>121.6857</v>
      </c>
      <c r="D497" s="8" t="n">
        <v>0.35</v>
      </c>
      <c r="E497">
        <f>A497-A496</f>
        <v/>
      </c>
      <c r="F497" s="4">
        <f>ROUND(B497/B496-1,8)</f>
        <v/>
      </c>
      <c r="G497" s="4">
        <f>ROUND(C497/C496-1,8)</f>
        <v/>
      </c>
      <c r="H497" s="4">
        <f>ROUND(D497/100/(DATE(YEAR(A497)+1,1,1)-DATE(YEAR(A497),1,1))*E497,8)</f>
        <v/>
      </c>
      <c r="I497" s="4">
        <f>ROUND(I496*(1+F497),8)</f>
        <v/>
      </c>
      <c r="J497" s="4">
        <f>ROUND(J496*(1+G497),8)</f>
        <v/>
      </c>
      <c r="K497" s="4">
        <f>ROUND(K496+H497,8)</f>
        <v/>
      </c>
      <c r="L497" s="4">
        <f>ROUND(0.9*F497+0.05*G497+0.05*H497,8)</f>
        <v/>
      </c>
    </row>
    <row r="498">
      <c r="A498" s="2" t="n">
        <v>44491</v>
      </c>
      <c r="B498" s="8" t="n">
        <v>2342.53</v>
      </c>
      <c r="C498" s="8" t="n">
        <v>121.671</v>
      </c>
      <c r="D498" s="8" t="n">
        <v>0.35</v>
      </c>
      <c r="E498">
        <f>A498-A497</f>
        <v/>
      </c>
      <c r="F498" s="4">
        <f>ROUND(B498/B497-1,8)</f>
        <v/>
      </c>
      <c r="G498" s="4">
        <f>ROUND(C498/C497-1,8)</f>
        <v/>
      </c>
      <c r="H498" s="4">
        <f>ROUND(D498/100/(DATE(YEAR(A498)+1,1,1)-DATE(YEAR(A498),1,1))*E498,8)</f>
        <v/>
      </c>
      <c r="I498" s="4">
        <f>ROUND(I497*(1+F498),8)</f>
        <v/>
      </c>
      <c r="J498" s="4">
        <f>ROUND(J497*(1+G498),8)</f>
        <v/>
      </c>
      <c r="K498" s="4">
        <f>ROUND(K497+H498,8)</f>
        <v/>
      </c>
      <c r="L498" s="4">
        <f>ROUND(0.9*F498+0.05*G498+0.05*H498,8)</f>
        <v/>
      </c>
    </row>
    <row r="499">
      <c r="A499" s="2" t="n">
        <v>44494</v>
      </c>
      <c r="B499" s="8" t="n">
        <v>2375.37</v>
      </c>
      <c r="C499" s="8" t="n">
        <v>121.6607</v>
      </c>
      <c r="D499" s="8" t="n">
        <v>0.35</v>
      </c>
      <c r="E499">
        <f>A499-A498</f>
        <v/>
      </c>
      <c r="F499" s="4">
        <f>ROUND(B499/B498-1,8)</f>
        <v/>
      </c>
      <c r="G499" s="4">
        <f>ROUND(C499/C498-1,8)</f>
        <v/>
      </c>
      <c r="H499" s="4">
        <f>ROUND(D499/100/(DATE(YEAR(A499)+1,1,1)-DATE(YEAR(A499),1,1))*E499,8)</f>
        <v/>
      </c>
      <c r="I499" s="4">
        <f>ROUND(I498*(1+F499),8)</f>
        <v/>
      </c>
      <c r="J499" s="4">
        <f>ROUND(J498*(1+G499),8)</f>
        <v/>
      </c>
      <c r="K499" s="4">
        <f>ROUND(K498+H499,8)</f>
        <v/>
      </c>
      <c r="L499" s="4">
        <f>ROUND(0.9*F499+0.05*G499+0.05*H499,8)</f>
        <v/>
      </c>
    </row>
    <row r="500">
      <c r="A500" s="2" t="n">
        <v>44495</v>
      </c>
      <c r="B500" s="8" t="n">
        <v>2371.42</v>
      </c>
      <c r="C500" s="8" t="n">
        <v>121.6865</v>
      </c>
      <c r="D500" s="8" t="n">
        <v>0.35</v>
      </c>
      <c r="E500">
        <f>A500-A499</f>
        <v/>
      </c>
      <c r="F500" s="4">
        <f>ROUND(B500/B499-1,8)</f>
        <v/>
      </c>
      <c r="G500" s="4">
        <f>ROUND(C500/C499-1,8)</f>
        <v/>
      </c>
      <c r="H500" s="4">
        <f>ROUND(D500/100/(DATE(YEAR(A500)+1,1,1)-DATE(YEAR(A500),1,1))*E500,8)</f>
        <v/>
      </c>
      <c r="I500" s="4">
        <f>ROUND(I499*(1+F500),8)</f>
        <v/>
      </c>
      <c r="J500" s="4">
        <f>ROUND(J499*(1+G500),8)</f>
        <v/>
      </c>
      <c r="K500" s="4">
        <f>ROUND(K499+H500,8)</f>
        <v/>
      </c>
      <c r="L500" s="4">
        <f>ROUND(0.9*F500+0.05*G500+0.05*H500,8)</f>
        <v/>
      </c>
    </row>
    <row r="501">
      <c r="A501" s="2" t="n">
        <v>44496</v>
      </c>
      <c r="B501" s="8" t="n">
        <v>2340.91</v>
      </c>
      <c r="C501" s="8" t="n">
        <v>121.704</v>
      </c>
      <c r="D501" s="8" t="n">
        <v>0.35</v>
      </c>
      <c r="E501">
        <f>A501-A500</f>
        <v/>
      </c>
      <c r="F501" s="4">
        <f>ROUND(B501/B500-1,8)</f>
        <v/>
      </c>
      <c r="G501" s="4">
        <f>ROUND(C501/C500-1,8)</f>
        <v/>
      </c>
      <c r="H501" s="4">
        <f>ROUND(D501/100/(DATE(YEAR(A501)+1,1,1)-DATE(YEAR(A501),1,1))*E501,8)</f>
        <v/>
      </c>
      <c r="I501" s="4">
        <f>ROUND(I500*(1+F501),8)</f>
        <v/>
      </c>
      <c r="J501" s="4">
        <f>ROUND(J500*(1+G501),8)</f>
        <v/>
      </c>
      <c r="K501" s="4">
        <f>ROUND(K500+H501,8)</f>
        <v/>
      </c>
      <c r="L501" s="4">
        <f>ROUND(0.9*F501+0.05*G501+0.05*H501,8)</f>
        <v/>
      </c>
    </row>
    <row r="502">
      <c r="A502" s="2" t="n">
        <v>44497</v>
      </c>
      <c r="B502" s="8" t="n">
        <v>2284.86</v>
      </c>
      <c r="C502" s="8" t="n">
        <v>121.7405</v>
      </c>
      <c r="D502" s="8" t="n">
        <v>0.35</v>
      </c>
      <c r="E502">
        <f>A502-A501</f>
        <v/>
      </c>
      <c r="F502" s="4">
        <f>ROUND(B502/B501-1,8)</f>
        <v/>
      </c>
      <c r="G502" s="4">
        <f>ROUND(C502/C501-1,8)</f>
        <v/>
      </c>
      <c r="H502" s="4">
        <f>ROUND(D502/100/(DATE(YEAR(A502)+1,1,1)-DATE(YEAR(A502),1,1))*E502,8)</f>
        <v/>
      </c>
      <c r="I502" s="4">
        <f>ROUND(I501*(1+F502),8)</f>
        <v/>
      </c>
      <c r="J502" s="4">
        <f>ROUND(J501*(1+G502),8)</f>
        <v/>
      </c>
      <c r="K502" s="4">
        <f>ROUND(K501+H502,8)</f>
        <v/>
      </c>
      <c r="L502" s="4">
        <f>ROUND(0.9*F502+0.05*G502+0.05*H502,8)</f>
        <v/>
      </c>
    </row>
    <row r="503">
      <c r="A503" s="2" t="n">
        <v>44498</v>
      </c>
      <c r="B503" s="8" t="n">
        <v>2325.64</v>
      </c>
      <c r="C503" s="8" t="n">
        <v>121.7673</v>
      </c>
      <c r="D503" s="8" t="n">
        <v>0.35</v>
      </c>
      <c r="E503">
        <f>A503-A502</f>
        <v/>
      </c>
      <c r="F503" s="4">
        <f>ROUND(B503/B502-1,8)</f>
        <v/>
      </c>
      <c r="G503" s="4">
        <f>ROUND(C503/C502-1,8)</f>
        <v/>
      </c>
      <c r="H503" s="4">
        <f>ROUND(D503/100/(DATE(YEAR(A503)+1,1,1)-DATE(YEAR(A503),1,1))*E503,8)</f>
        <v/>
      </c>
      <c r="I503" s="4">
        <f>ROUND(I502*(1+F503),8)</f>
        <v/>
      </c>
      <c r="J503" s="4">
        <f>ROUND(J502*(1+G503),8)</f>
        <v/>
      </c>
      <c r="K503" s="4">
        <f>ROUND(K502+H503,8)</f>
        <v/>
      </c>
      <c r="L503" s="4">
        <f>ROUND(0.9*F503+0.05*G503+0.05*H503,8)</f>
        <v/>
      </c>
    </row>
    <row r="504">
      <c r="A504" s="2" t="n">
        <v>44501</v>
      </c>
      <c r="B504" s="8" t="n">
        <v>2366.62</v>
      </c>
      <c r="C504" s="8" t="n">
        <v>121.8444</v>
      </c>
      <c r="D504" s="8" t="n">
        <v>0.35</v>
      </c>
      <c r="E504">
        <f>A504-A503</f>
        <v/>
      </c>
      <c r="F504" s="4">
        <f>ROUND(B504/B503-1,8)</f>
        <v/>
      </c>
      <c r="G504" s="4">
        <f>ROUND(C504/C503-1,8)</f>
        <v/>
      </c>
      <c r="H504" s="4">
        <f>ROUND(D504/100/(DATE(YEAR(A504)+1,1,1)-DATE(YEAR(A504),1,1))*E504,8)</f>
        <v/>
      </c>
      <c r="I504" s="4">
        <f>ROUND(I503*(1+F504),8)</f>
        <v/>
      </c>
      <c r="J504" s="4">
        <f>ROUND(J503*(1+G504),8)</f>
        <v/>
      </c>
      <c r="K504" s="4">
        <f>ROUND(K503+H504,8)</f>
        <v/>
      </c>
      <c r="L504" s="4">
        <f>ROUND(0.9*F504+0.05*G504+0.05*H504,8)</f>
        <v/>
      </c>
    </row>
    <row r="505">
      <c r="A505" s="2" t="n">
        <v>44502</v>
      </c>
      <c r="B505" s="8" t="n">
        <v>2334.14</v>
      </c>
      <c r="C505" s="8" t="n">
        <v>121.9421</v>
      </c>
      <c r="D505" s="8" t="n">
        <v>0.35</v>
      </c>
      <c r="E505">
        <f>A505-A504</f>
        <v/>
      </c>
      <c r="F505" s="4">
        <f>ROUND(B505/B504-1,8)</f>
        <v/>
      </c>
      <c r="G505" s="4">
        <f>ROUND(C505/C504-1,8)</f>
        <v/>
      </c>
      <c r="H505" s="4">
        <f>ROUND(D505/100/(DATE(YEAR(A505)+1,1,1)-DATE(YEAR(A505),1,1))*E505,8)</f>
        <v/>
      </c>
      <c r="I505" s="4">
        <f>ROUND(I504*(1+F505),8)</f>
        <v/>
      </c>
      <c r="J505" s="4">
        <f>ROUND(J504*(1+G505),8)</f>
        <v/>
      </c>
      <c r="K505" s="4">
        <f>ROUND(K504+H505,8)</f>
        <v/>
      </c>
      <c r="L505" s="4">
        <f>ROUND(0.9*F505+0.05*G505+0.05*H505,8)</f>
        <v/>
      </c>
    </row>
    <row r="506">
      <c r="A506" s="2" t="n">
        <v>44503</v>
      </c>
      <c r="B506" s="8" t="n">
        <v>2344.39</v>
      </c>
      <c r="C506" s="8" t="n">
        <v>121.9757</v>
      </c>
      <c r="D506" s="8" t="n">
        <v>0.35</v>
      </c>
      <c r="E506">
        <f>A506-A505</f>
        <v/>
      </c>
      <c r="F506" s="4">
        <f>ROUND(B506/B505-1,8)</f>
        <v/>
      </c>
      <c r="G506" s="4">
        <f>ROUND(C506/C505-1,8)</f>
        <v/>
      </c>
      <c r="H506" s="4">
        <f>ROUND(D506/100/(DATE(YEAR(A506)+1,1,1)-DATE(YEAR(A506),1,1))*E506,8)</f>
        <v/>
      </c>
      <c r="I506" s="4">
        <f>ROUND(I505*(1+F506),8)</f>
        <v/>
      </c>
      <c r="J506" s="4">
        <f>ROUND(J505*(1+G506),8)</f>
        <v/>
      </c>
      <c r="K506" s="4">
        <f>ROUND(K505+H506,8)</f>
        <v/>
      </c>
      <c r="L506" s="4">
        <f>ROUND(0.9*F506+0.05*G506+0.05*H506,8)</f>
        <v/>
      </c>
    </row>
    <row r="507">
      <c r="A507" s="2" t="n">
        <v>44504</v>
      </c>
      <c r="B507" s="8" t="n">
        <v>2388.38</v>
      </c>
      <c r="C507" s="8" t="n">
        <v>121.9997</v>
      </c>
      <c r="D507" s="8" t="n">
        <v>0.35</v>
      </c>
      <c r="E507">
        <f>A507-A506</f>
        <v/>
      </c>
      <c r="F507" s="4">
        <f>ROUND(B507/B506-1,8)</f>
        <v/>
      </c>
      <c r="G507" s="4">
        <f>ROUND(C507/C506-1,8)</f>
        <v/>
      </c>
      <c r="H507" s="4">
        <f>ROUND(D507/100/(DATE(YEAR(A507)+1,1,1)-DATE(YEAR(A507),1,1))*E507,8)</f>
        <v/>
      </c>
      <c r="I507" s="4">
        <f>ROUND(I506*(1+F507),8)</f>
        <v/>
      </c>
      <c r="J507" s="4">
        <f>ROUND(J506*(1+G507),8)</f>
        <v/>
      </c>
      <c r="K507" s="4">
        <f>ROUND(K506+H507,8)</f>
        <v/>
      </c>
      <c r="L507" s="4">
        <f>ROUND(0.9*F507+0.05*G507+0.05*H507,8)</f>
        <v/>
      </c>
    </row>
    <row r="508">
      <c r="A508" s="2" t="n">
        <v>44505</v>
      </c>
      <c r="B508" s="8" t="n">
        <v>2367.64</v>
      </c>
      <c r="C508" s="8" t="n">
        <v>122.1346</v>
      </c>
      <c r="D508" s="8" t="n">
        <v>0.35</v>
      </c>
      <c r="E508">
        <f>A508-A507</f>
        <v/>
      </c>
      <c r="F508" s="4">
        <f>ROUND(B508/B507-1,8)</f>
        <v/>
      </c>
      <c r="G508" s="4">
        <f>ROUND(C508/C507-1,8)</f>
        <v/>
      </c>
      <c r="H508" s="4">
        <f>ROUND(D508/100/(DATE(YEAR(A508)+1,1,1)-DATE(YEAR(A508),1,1))*E508,8)</f>
        <v/>
      </c>
      <c r="I508" s="4">
        <f>ROUND(I507*(1+F508),8)</f>
        <v/>
      </c>
      <c r="J508" s="4">
        <f>ROUND(J507*(1+G508),8)</f>
        <v/>
      </c>
      <c r="K508" s="4">
        <f>ROUND(K507+H508,8)</f>
        <v/>
      </c>
      <c r="L508" s="4">
        <f>ROUND(0.9*F508+0.05*G508+0.05*H508,8)</f>
        <v/>
      </c>
    </row>
    <row r="509">
      <c r="A509" s="2" t="n">
        <v>44508</v>
      </c>
      <c r="B509" s="8" t="n">
        <v>2386.51</v>
      </c>
      <c r="C509" s="8" t="n">
        <v>122.1433</v>
      </c>
      <c r="D509" s="8" t="n">
        <v>0.35</v>
      </c>
      <c r="E509">
        <f>A509-A508</f>
        <v/>
      </c>
      <c r="F509" s="4">
        <f>ROUND(B509/B508-1,8)</f>
        <v/>
      </c>
      <c r="G509" s="4">
        <f>ROUND(C509/C508-1,8)</f>
        <v/>
      </c>
      <c r="H509" s="4">
        <f>ROUND(D509/100/(DATE(YEAR(A509)+1,1,1)-DATE(YEAR(A509),1,1))*E509,8)</f>
        <v/>
      </c>
      <c r="I509" s="4">
        <f>ROUND(I508*(1+F509),8)</f>
        <v/>
      </c>
      <c r="J509" s="4">
        <f>ROUND(J508*(1+G509),8)</f>
        <v/>
      </c>
      <c r="K509" s="4">
        <f>ROUND(K508+H509,8)</f>
        <v/>
      </c>
      <c r="L509" s="4">
        <f>ROUND(0.9*F509+0.05*G509+0.05*H509,8)</f>
        <v/>
      </c>
    </row>
    <row r="510">
      <c r="A510" s="2" t="n">
        <v>44509</v>
      </c>
      <c r="B510" s="8" t="n">
        <v>2420.91</v>
      </c>
      <c r="C510" s="8" t="n">
        <v>122.108</v>
      </c>
      <c r="D510" s="8" t="n">
        <v>0.35</v>
      </c>
      <c r="E510">
        <f>A510-A509</f>
        <v/>
      </c>
      <c r="F510" s="4">
        <f>ROUND(B510/B509-1,8)</f>
        <v/>
      </c>
      <c r="G510" s="4">
        <f>ROUND(C510/C509-1,8)</f>
        <v/>
      </c>
      <c r="H510" s="4">
        <f>ROUND(D510/100/(DATE(YEAR(A510)+1,1,1)-DATE(YEAR(A510),1,1))*E510,8)</f>
        <v/>
      </c>
      <c r="I510" s="4">
        <f>ROUND(I509*(1+F510),8)</f>
        <v/>
      </c>
      <c r="J510" s="4">
        <f>ROUND(J509*(1+G510),8)</f>
        <v/>
      </c>
      <c r="K510" s="4">
        <f>ROUND(K509+H510,8)</f>
        <v/>
      </c>
      <c r="L510" s="4">
        <f>ROUND(0.9*F510+0.05*G510+0.05*H510,8)</f>
        <v/>
      </c>
    </row>
    <row r="511">
      <c r="A511" s="2" t="n">
        <v>44510</v>
      </c>
      <c r="B511" s="8" t="n">
        <v>2435.03</v>
      </c>
      <c r="C511" s="8" t="n">
        <v>122.1136</v>
      </c>
      <c r="D511" s="8" t="n">
        <v>0.35</v>
      </c>
      <c r="E511">
        <f>A511-A510</f>
        <v/>
      </c>
      <c r="F511" s="4">
        <f>ROUND(B511/B510-1,8)</f>
        <v/>
      </c>
      <c r="G511" s="4">
        <f>ROUND(C511/C510-1,8)</f>
        <v/>
      </c>
      <c r="H511" s="4">
        <f>ROUND(D511/100/(DATE(YEAR(A511)+1,1,1)-DATE(YEAR(A511),1,1))*E511,8)</f>
        <v/>
      </c>
      <c r="I511" s="4">
        <f>ROUND(I510*(1+F511),8)</f>
        <v/>
      </c>
      <c r="J511" s="4">
        <f>ROUND(J510*(1+G511),8)</f>
        <v/>
      </c>
      <c r="K511" s="4">
        <f>ROUND(K510+H511,8)</f>
        <v/>
      </c>
      <c r="L511" s="4">
        <f>ROUND(0.9*F511+0.05*G511+0.05*H511,8)</f>
        <v/>
      </c>
    </row>
    <row r="512">
      <c r="A512" s="2" t="n">
        <v>44511</v>
      </c>
      <c r="B512" s="8" t="n">
        <v>2452.2</v>
      </c>
      <c r="C512" s="8" t="n">
        <v>122.0642</v>
      </c>
      <c r="D512" s="8" t="n">
        <v>0.35</v>
      </c>
      <c r="E512">
        <f>A512-A511</f>
        <v/>
      </c>
      <c r="F512" s="4">
        <f>ROUND(B512/B511-1,8)</f>
        <v/>
      </c>
      <c r="G512" s="4">
        <f>ROUND(C512/C511-1,8)</f>
        <v/>
      </c>
      <c r="H512" s="4">
        <f>ROUND(D512/100/(DATE(YEAR(A512)+1,1,1)-DATE(YEAR(A512),1,1))*E512,8)</f>
        <v/>
      </c>
      <c r="I512" s="4">
        <f>ROUND(I511*(1+F512),8)</f>
        <v/>
      </c>
      <c r="J512" s="4">
        <f>ROUND(J511*(1+G512),8)</f>
        <v/>
      </c>
      <c r="K512" s="4">
        <f>ROUND(K511+H512,8)</f>
        <v/>
      </c>
      <c r="L512" s="4">
        <f>ROUND(0.9*F512+0.05*G512+0.05*H512,8)</f>
        <v/>
      </c>
    </row>
    <row r="513">
      <c r="A513" s="2" t="n">
        <v>44512</v>
      </c>
      <c r="B513" s="8" t="n">
        <v>2481.77</v>
      </c>
      <c r="C513" s="8" t="n">
        <v>122.0676</v>
      </c>
      <c r="D513" s="8" t="n">
        <v>0.35</v>
      </c>
      <c r="E513">
        <f>A513-A512</f>
        <v/>
      </c>
      <c r="F513" s="4">
        <f>ROUND(B513/B512-1,8)</f>
        <v/>
      </c>
      <c r="G513" s="4">
        <f>ROUND(C513/C512-1,8)</f>
        <v/>
      </c>
      <c r="H513" s="4">
        <f>ROUND(D513/100/(DATE(YEAR(A513)+1,1,1)-DATE(YEAR(A513),1,1))*E513,8)</f>
        <v/>
      </c>
      <c r="I513" s="4">
        <f>ROUND(I512*(1+F513),8)</f>
        <v/>
      </c>
      <c r="J513" s="4">
        <f>ROUND(J512*(1+G513),8)</f>
        <v/>
      </c>
      <c r="K513" s="4">
        <f>ROUND(K512+H513,8)</f>
        <v/>
      </c>
      <c r="L513" s="4">
        <f>ROUND(0.9*F513+0.05*G513+0.05*H513,8)</f>
        <v/>
      </c>
    </row>
    <row r="514">
      <c r="A514" s="2" t="n">
        <v>44515</v>
      </c>
      <c r="B514" s="8" t="n">
        <v>2496.13</v>
      </c>
      <c r="C514" s="8" t="n">
        <v>122.1161</v>
      </c>
      <c r="D514" s="8" t="n">
        <v>0.35</v>
      </c>
      <c r="E514">
        <f>A514-A513</f>
        <v/>
      </c>
      <c r="F514" s="4">
        <f>ROUND(B514/B513-1,8)</f>
        <v/>
      </c>
      <c r="G514" s="4">
        <f>ROUND(C514/C513-1,8)</f>
        <v/>
      </c>
      <c r="H514" s="4">
        <f>ROUND(D514/100/(DATE(YEAR(A514)+1,1,1)-DATE(YEAR(A514),1,1))*E514,8)</f>
        <v/>
      </c>
      <c r="I514" s="4">
        <f>ROUND(I513*(1+F514),8)</f>
        <v/>
      </c>
      <c r="J514" s="4">
        <f>ROUND(J513*(1+G514),8)</f>
        <v/>
      </c>
      <c r="K514" s="4">
        <f>ROUND(K513+H514,8)</f>
        <v/>
      </c>
      <c r="L514" s="4">
        <f>ROUND(0.9*F514+0.05*G514+0.05*H514,8)</f>
        <v/>
      </c>
    </row>
    <row r="515">
      <c r="A515" s="2" t="n">
        <v>44516</v>
      </c>
      <c r="B515" s="8" t="n">
        <v>2472.1</v>
      </c>
      <c r="C515" s="8" t="n">
        <v>122.1243</v>
      </c>
      <c r="D515" s="8" t="n">
        <v>0.35</v>
      </c>
      <c r="E515">
        <f>A515-A514</f>
        <v/>
      </c>
      <c r="F515" s="4">
        <f>ROUND(B515/B514-1,8)</f>
        <v/>
      </c>
      <c r="G515" s="4">
        <f>ROUND(C515/C514-1,8)</f>
        <v/>
      </c>
      <c r="H515" s="4">
        <f>ROUND(D515/100/(DATE(YEAR(A515)+1,1,1)-DATE(YEAR(A515),1,1))*E515,8)</f>
        <v/>
      </c>
      <c r="I515" s="4">
        <f>ROUND(I514*(1+F515),8)</f>
        <v/>
      </c>
      <c r="J515" s="4">
        <f>ROUND(J514*(1+G515),8)</f>
        <v/>
      </c>
      <c r="K515" s="4">
        <f>ROUND(K514+H515,8)</f>
        <v/>
      </c>
      <c r="L515" s="4">
        <f>ROUND(0.9*F515+0.05*G515+0.05*H515,8)</f>
        <v/>
      </c>
    </row>
    <row r="516">
      <c r="A516" s="2" t="n">
        <v>44517</v>
      </c>
      <c r="B516" s="8" t="n">
        <v>2523.37</v>
      </c>
      <c r="C516" s="8" t="n">
        <v>122.1222</v>
      </c>
      <c r="D516" s="8" t="n">
        <v>0.35</v>
      </c>
      <c r="E516">
        <f>A516-A515</f>
        <v/>
      </c>
      <c r="F516" s="4">
        <f>ROUND(B516/B515-1,8)</f>
        <v/>
      </c>
      <c r="G516" s="4">
        <f>ROUND(C516/C515-1,8)</f>
        <v/>
      </c>
      <c r="H516" s="4">
        <f>ROUND(D516/100/(DATE(YEAR(A516)+1,1,1)-DATE(YEAR(A516),1,1))*E516,8)</f>
        <v/>
      </c>
      <c r="I516" s="4">
        <f>ROUND(I515*(1+F516),8)</f>
        <v/>
      </c>
      <c r="J516" s="4">
        <f>ROUND(J515*(1+G516),8)</f>
        <v/>
      </c>
      <c r="K516" s="4">
        <f>ROUND(K515+H516,8)</f>
        <v/>
      </c>
      <c r="L516" s="4">
        <f>ROUND(0.9*F516+0.05*G516+0.05*H516,8)</f>
        <v/>
      </c>
    </row>
    <row r="517">
      <c r="A517" s="2" t="n">
        <v>44518</v>
      </c>
      <c r="B517" s="8" t="n">
        <v>2512.15</v>
      </c>
      <c r="C517" s="8" t="n">
        <v>122.1454</v>
      </c>
      <c r="D517" s="8" t="n">
        <v>0.35</v>
      </c>
      <c r="E517">
        <f>A517-A516</f>
        <v/>
      </c>
      <c r="F517" s="4">
        <f>ROUND(B517/B516-1,8)</f>
        <v/>
      </c>
      <c r="G517" s="4">
        <f>ROUND(C517/C516-1,8)</f>
        <v/>
      </c>
      <c r="H517" s="4">
        <f>ROUND(D517/100/(DATE(YEAR(A517)+1,1,1)-DATE(YEAR(A517),1,1))*E517,8)</f>
        <v/>
      </c>
      <c r="I517" s="4">
        <f>ROUND(I516*(1+F517),8)</f>
        <v/>
      </c>
      <c r="J517" s="4">
        <f>ROUND(J516*(1+G517),8)</f>
        <v/>
      </c>
      <c r="K517" s="4">
        <f>ROUND(K516+H517,8)</f>
        <v/>
      </c>
      <c r="L517" s="4">
        <f>ROUND(0.9*F517+0.05*G517+0.05*H517,8)</f>
        <v/>
      </c>
    </row>
    <row r="518">
      <c r="A518" s="2" t="n">
        <v>44519</v>
      </c>
      <c r="B518" s="8" t="n">
        <v>2542.06</v>
      </c>
      <c r="C518" s="8" t="n">
        <v>122.1314</v>
      </c>
      <c r="D518" s="8" t="n">
        <v>0.35</v>
      </c>
      <c r="E518">
        <f>A518-A517</f>
        <v/>
      </c>
      <c r="F518" s="4">
        <f>ROUND(B518/B517-1,8)</f>
        <v/>
      </c>
      <c r="G518" s="4">
        <f>ROUND(C518/C517-1,8)</f>
        <v/>
      </c>
      <c r="H518" s="4">
        <f>ROUND(D518/100/(DATE(YEAR(A518)+1,1,1)-DATE(YEAR(A518),1,1))*E518,8)</f>
        <v/>
      </c>
      <c r="I518" s="4">
        <f>ROUND(I517*(1+F518),8)</f>
        <v/>
      </c>
      <c r="J518" s="4">
        <f>ROUND(J517*(1+G518),8)</f>
        <v/>
      </c>
      <c r="K518" s="4">
        <f>ROUND(K517+H518,8)</f>
        <v/>
      </c>
      <c r="L518" s="4">
        <f>ROUND(0.9*F518+0.05*G518+0.05*H518,8)</f>
        <v/>
      </c>
    </row>
    <row r="519">
      <c r="A519" s="2" t="n">
        <v>44522</v>
      </c>
      <c r="B519" s="8" t="n">
        <v>2574.76</v>
      </c>
      <c r="C519" s="8" t="n">
        <v>122.1487</v>
      </c>
      <c r="D519" s="8" t="n">
        <v>0.35</v>
      </c>
      <c r="E519">
        <f>A519-A518</f>
        <v/>
      </c>
      <c r="F519" s="4">
        <f>ROUND(B519/B518-1,8)</f>
        <v/>
      </c>
      <c r="G519" s="4">
        <f>ROUND(C519/C518-1,8)</f>
        <v/>
      </c>
      <c r="H519" s="4">
        <f>ROUND(D519/100/(DATE(YEAR(A519)+1,1,1)-DATE(YEAR(A519),1,1))*E519,8)</f>
        <v/>
      </c>
      <c r="I519" s="4">
        <f>ROUND(I518*(1+F519),8)</f>
        <v/>
      </c>
      <c r="J519" s="4">
        <f>ROUND(J518*(1+G519),8)</f>
        <v/>
      </c>
      <c r="K519" s="4">
        <f>ROUND(K518+H519,8)</f>
        <v/>
      </c>
      <c r="L519" s="4">
        <f>ROUND(0.9*F519+0.05*G519+0.05*H519,8)</f>
        <v/>
      </c>
    </row>
    <row r="520">
      <c r="A520" s="2" t="n">
        <v>44523</v>
      </c>
      <c r="B520" s="8" t="n">
        <v>2580.22</v>
      </c>
      <c r="C520" s="8" t="n">
        <v>122.1524</v>
      </c>
      <c r="D520" s="8" t="n">
        <v>0.35</v>
      </c>
      <c r="E520">
        <f>A520-A519</f>
        <v/>
      </c>
      <c r="F520" s="4">
        <f>ROUND(B520/B519-1,8)</f>
        <v/>
      </c>
      <c r="G520" s="4">
        <f>ROUND(C520/C519-1,8)</f>
        <v/>
      </c>
      <c r="H520" s="4">
        <f>ROUND(D520/100/(DATE(YEAR(A520)+1,1,1)-DATE(YEAR(A520),1,1))*E520,8)</f>
        <v/>
      </c>
      <c r="I520" s="4">
        <f>ROUND(I519*(1+F520),8)</f>
        <v/>
      </c>
      <c r="J520" s="4">
        <f>ROUND(J519*(1+G520),8)</f>
        <v/>
      </c>
      <c r="K520" s="4">
        <f>ROUND(K519+H520,8)</f>
        <v/>
      </c>
      <c r="L520" s="4">
        <f>ROUND(0.9*F520+0.05*G520+0.05*H520,8)</f>
        <v/>
      </c>
    </row>
    <row r="521">
      <c r="A521" s="2" t="n">
        <v>44524</v>
      </c>
      <c r="B521" s="8" t="n">
        <v>2580.41</v>
      </c>
      <c r="C521" s="8" t="n">
        <v>122.224</v>
      </c>
      <c r="D521" s="8" t="n">
        <v>0.35</v>
      </c>
      <c r="E521">
        <f>A521-A520</f>
        <v/>
      </c>
      <c r="F521" s="4">
        <f>ROUND(B521/B520-1,8)</f>
        <v/>
      </c>
      <c r="G521" s="4">
        <f>ROUND(C521/C520-1,8)</f>
        <v/>
      </c>
      <c r="H521" s="4">
        <f>ROUND(D521/100/(DATE(YEAR(A521)+1,1,1)-DATE(YEAR(A521),1,1))*E521,8)</f>
        <v/>
      </c>
      <c r="I521" s="4">
        <f>ROUND(I520*(1+F521),8)</f>
        <v/>
      </c>
      <c r="J521" s="4">
        <f>ROUND(J520*(1+G521),8)</f>
        <v/>
      </c>
      <c r="K521" s="4">
        <f>ROUND(K520+H521,8)</f>
        <v/>
      </c>
      <c r="L521" s="4">
        <f>ROUND(0.9*F521+0.05*G521+0.05*H521,8)</f>
        <v/>
      </c>
    </row>
    <row r="522">
      <c r="A522" s="2" t="n">
        <v>44525</v>
      </c>
      <c r="B522" s="8" t="n">
        <v>2583.57</v>
      </c>
      <c r="C522" s="8" t="n">
        <v>122.2575</v>
      </c>
      <c r="D522" s="8" t="n">
        <v>0.35</v>
      </c>
      <c r="E522">
        <f>A522-A521</f>
        <v/>
      </c>
      <c r="F522" s="4">
        <f>ROUND(B522/B521-1,8)</f>
        <v/>
      </c>
      <c r="G522" s="4">
        <f>ROUND(C522/C521-1,8)</f>
        <v/>
      </c>
      <c r="H522" s="4">
        <f>ROUND(D522/100/(DATE(YEAR(A522)+1,1,1)-DATE(YEAR(A522),1,1))*E522,8)</f>
        <v/>
      </c>
      <c r="I522" s="4">
        <f>ROUND(I521*(1+F522),8)</f>
        <v/>
      </c>
      <c r="J522" s="4">
        <f>ROUND(J521*(1+G522),8)</f>
        <v/>
      </c>
      <c r="K522" s="4">
        <f>ROUND(K521+H522,8)</f>
        <v/>
      </c>
      <c r="L522" s="4">
        <f>ROUND(0.9*F522+0.05*G522+0.05*H522,8)</f>
        <v/>
      </c>
    </row>
    <row r="523">
      <c r="A523" s="2" t="n">
        <v>44526</v>
      </c>
      <c r="B523" s="8" t="n">
        <v>2587.89</v>
      </c>
      <c r="C523" s="8" t="n">
        <v>122.3286</v>
      </c>
      <c r="D523" s="8" t="n">
        <v>0.35</v>
      </c>
      <c r="E523">
        <f>A523-A522</f>
        <v/>
      </c>
      <c r="F523" s="4">
        <f>ROUND(B523/B522-1,8)</f>
        <v/>
      </c>
      <c r="G523" s="4">
        <f>ROUND(C523/C522-1,8)</f>
        <v/>
      </c>
      <c r="H523" s="4">
        <f>ROUND(D523/100/(DATE(YEAR(A523)+1,1,1)-DATE(YEAR(A523),1,1))*E523,8)</f>
        <v/>
      </c>
      <c r="I523" s="4">
        <f>ROUND(I522*(1+F523),8)</f>
        <v/>
      </c>
      <c r="J523" s="4">
        <f>ROUND(J522*(1+G523),8)</f>
        <v/>
      </c>
      <c r="K523" s="4">
        <f>ROUND(K522+H523,8)</f>
        <v/>
      </c>
      <c r="L523" s="4">
        <f>ROUND(0.9*F523+0.05*G523+0.05*H523,8)</f>
        <v/>
      </c>
    </row>
    <row r="524">
      <c r="A524" s="2" t="n">
        <v>44529</v>
      </c>
      <c r="B524" s="8" t="n">
        <v>2602.1</v>
      </c>
      <c r="C524" s="8" t="n">
        <v>122.3284</v>
      </c>
      <c r="D524" s="8" t="n">
        <v>0.35</v>
      </c>
      <c r="E524">
        <f>A524-A523</f>
        <v/>
      </c>
      <c r="F524" s="4">
        <f>ROUND(B524/B523-1,8)</f>
        <v/>
      </c>
      <c r="G524" s="4">
        <f>ROUND(C524/C523-1,8)</f>
        <v/>
      </c>
      <c r="H524" s="4">
        <f>ROUND(D524/100/(DATE(YEAR(A524)+1,1,1)-DATE(YEAR(A524),1,1))*E524,8)</f>
        <v/>
      </c>
      <c r="I524" s="4">
        <f>ROUND(I523*(1+F524),8)</f>
        <v/>
      </c>
      <c r="J524" s="4">
        <f>ROUND(J523*(1+G524),8)</f>
        <v/>
      </c>
      <c r="K524" s="4">
        <f>ROUND(K523+H524,8)</f>
        <v/>
      </c>
      <c r="L524" s="4">
        <f>ROUND(0.9*F524+0.05*G524+0.05*H524,8)</f>
        <v/>
      </c>
    </row>
    <row r="525">
      <c r="A525" s="2" t="n">
        <v>44530</v>
      </c>
      <c r="B525" s="8" t="n">
        <v>2624.98</v>
      </c>
      <c r="C525" s="8" t="n">
        <v>122.3212</v>
      </c>
      <c r="D525" s="8" t="n">
        <v>0.35</v>
      </c>
      <c r="E525">
        <f>A525-A524</f>
        <v/>
      </c>
      <c r="F525" s="4">
        <f>ROUND(B525/B524-1,8)</f>
        <v/>
      </c>
      <c r="G525" s="4">
        <f>ROUND(C525/C524-1,8)</f>
        <v/>
      </c>
      <c r="H525" s="4">
        <f>ROUND(D525/100/(DATE(YEAR(A525)+1,1,1)-DATE(YEAR(A525),1,1))*E525,8)</f>
        <v/>
      </c>
      <c r="I525" s="4">
        <f>ROUND(I524*(1+F525),8)</f>
        <v/>
      </c>
      <c r="J525" s="4">
        <f>ROUND(J524*(1+G525),8)</f>
        <v/>
      </c>
      <c r="K525" s="4">
        <f>ROUND(K524+H525,8)</f>
        <v/>
      </c>
      <c r="L525" s="4">
        <f>ROUND(0.9*F525+0.05*G525+0.05*H525,8)</f>
        <v/>
      </c>
    </row>
    <row r="526">
      <c r="A526" s="2" t="n">
        <v>44531</v>
      </c>
      <c r="B526" s="8" t="n">
        <v>2650.21</v>
      </c>
      <c r="C526" s="8" t="n">
        <v>122.3102</v>
      </c>
      <c r="D526" s="8" t="n">
        <v>0.35</v>
      </c>
      <c r="E526">
        <f>A526-A525</f>
        <v/>
      </c>
      <c r="F526" s="4">
        <f>ROUND(B526/B525-1,8)</f>
        <v/>
      </c>
      <c r="G526" s="4">
        <f>ROUND(C526/C525-1,8)</f>
        <v/>
      </c>
      <c r="H526" s="4">
        <f>ROUND(D526/100/(DATE(YEAR(A526)+1,1,1)-DATE(YEAR(A526),1,1))*E526,8)</f>
        <v/>
      </c>
      <c r="I526" s="4">
        <f>ROUND(I525*(1+F526),8)</f>
        <v/>
      </c>
      <c r="J526" s="4">
        <f>ROUND(J525*(1+G526),8)</f>
        <v/>
      </c>
      <c r="K526" s="4">
        <f>ROUND(K525+H526,8)</f>
        <v/>
      </c>
      <c r="L526" s="4">
        <f>ROUND(0.9*F526+0.05*G526+0.05*H526,8)</f>
        <v/>
      </c>
    </row>
    <row r="527">
      <c r="A527" s="2" t="n">
        <v>44532</v>
      </c>
      <c r="B527" s="8" t="n">
        <v>2605.62</v>
      </c>
      <c r="C527" s="8" t="n">
        <v>122.2877</v>
      </c>
      <c r="D527" s="8" t="n">
        <v>0.35</v>
      </c>
      <c r="E527">
        <f>A527-A526</f>
        <v/>
      </c>
      <c r="F527" s="4">
        <f>ROUND(B527/B526-1,8)</f>
        <v/>
      </c>
      <c r="G527" s="4">
        <f>ROUND(C527/C526-1,8)</f>
        <v/>
      </c>
      <c r="H527" s="4">
        <f>ROUND(D527/100/(DATE(YEAR(A527)+1,1,1)-DATE(YEAR(A527),1,1))*E527,8)</f>
        <v/>
      </c>
      <c r="I527" s="4">
        <f>ROUND(I526*(1+F527),8)</f>
        <v/>
      </c>
      <c r="J527" s="4">
        <f>ROUND(J526*(1+G527),8)</f>
        <v/>
      </c>
      <c r="K527" s="4">
        <f>ROUND(K526+H527,8)</f>
        <v/>
      </c>
      <c r="L527" s="4">
        <f>ROUND(0.9*F527+0.05*G527+0.05*H527,8)</f>
        <v/>
      </c>
    </row>
    <row r="528">
      <c r="A528" s="2" t="n">
        <v>44533</v>
      </c>
      <c r="B528" s="8" t="n">
        <v>2616.14</v>
      </c>
      <c r="C528" s="8" t="n">
        <v>122.257</v>
      </c>
      <c r="D528" s="8" t="n">
        <v>0.35</v>
      </c>
      <c r="E528">
        <f>A528-A527</f>
        <v/>
      </c>
      <c r="F528" s="4">
        <f>ROUND(B528/B527-1,8)</f>
        <v/>
      </c>
      <c r="G528" s="4">
        <f>ROUND(C528/C527-1,8)</f>
        <v/>
      </c>
      <c r="H528" s="4">
        <f>ROUND(D528/100/(DATE(YEAR(A528)+1,1,1)-DATE(YEAR(A528),1,1))*E528,8)</f>
        <v/>
      </c>
      <c r="I528" s="4">
        <f>ROUND(I527*(1+F528),8)</f>
        <v/>
      </c>
      <c r="J528" s="4">
        <f>ROUND(J527*(1+G528),8)</f>
        <v/>
      </c>
      <c r="K528" s="4">
        <f>ROUND(K527+H528,8)</f>
        <v/>
      </c>
      <c r="L528" s="4">
        <f>ROUND(0.9*F528+0.05*G528+0.05*H528,8)</f>
        <v/>
      </c>
    </row>
    <row r="529">
      <c r="A529" s="2" t="n">
        <v>44536</v>
      </c>
      <c r="B529" s="8" t="n">
        <v>2571.55</v>
      </c>
      <c r="C529" s="8" t="n">
        <v>122.4381</v>
      </c>
      <c r="D529" s="8" t="n">
        <v>0.35</v>
      </c>
      <c r="E529">
        <f>A529-A528</f>
        <v/>
      </c>
      <c r="F529" s="4">
        <f>ROUND(B529/B528-1,8)</f>
        <v/>
      </c>
      <c r="G529" s="4">
        <f>ROUND(C529/C528-1,8)</f>
        <v/>
      </c>
      <c r="H529" s="4">
        <f>ROUND(D529/100/(DATE(YEAR(A529)+1,1,1)-DATE(YEAR(A529),1,1))*E529,8)</f>
        <v/>
      </c>
      <c r="I529" s="4">
        <f>ROUND(I528*(1+F529),8)</f>
        <v/>
      </c>
      <c r="J529" s="4">
        <f>ROUND(J528*(1+G529),8)</f>
        <v/>
      </c>
      <c r="K529" s="4">
        <f>ROUND(K528+H529,8)</f>
        <v/>
      </c>
      <c r="L529" s="4">
        <f>ROUND(0.9*F529+0.05*G529+0.05*H529,8)</f>
        <v/>
      </c>
    </row>
    <row r="530">
      <c r="A530" s="2" t="n">
        <v>44537</v>
      </c>
      <c r="B530" s="8" t="n">
        <v>2533.6</v>
      </c>
      <c r="C530" s="8" t="n">
        <v>122.4147</v>
      </c>
      <c r="D530" s="8" t="n">
        <v>0.35</v>
      </c>
      <c r="E530">
        <f>A530-A529</f>
        <v/>
      </c>
      <c r="F530" s="4">
        <f>ROUND(B530/B529-1,8)</f>
        <v/>
      </c>
      <c r="G530" s="4">
        <f>ROUND(C530/C529-1,8)</f>
        <v/>
      </c>
      <c r="H530" s="4">
        <f>ROUND(D530/100/(DATE(YEAR(A530)+1,1,1)-DATE(YEAR(A530),1,1))*E530,8)</f>
        <v/>
      </c>
      <c r="I530" s="4">
        <f>ROUND(I529*(1+F530),8)</f>
        <v/>
      </c>
      <c r="J530" s="4">
        <f>ROUND(J529*(1+G530),8)</f>
        <v/>
      </c>
      <c r="K530" s="4">
        <f>ROUND(K529+H530,8)</f>
        <v/>
      </c>
      <c r="L530" s="4">
        <f>ROUND(0.9*F530+0.05*G530+0.05*H530,8)</f>
        <v/>
      </c>
    </row>
    <row r="531">
      <c r="A531" s="2" t="n">
        <v>44538</v>
      </c>
      <c r="B531" s="8" t="n">
        <v>2575.83</v>
      </c>
      <c r="C531" s="8" t="n">
        <v>122.3772</v>
      </c>
      <c r="D531" s="8" t="n">
        <v>0.35</v>
      </c>
      <c r="E531">
        <f>A531-A530</f>
        <v/>
      </c>
      <c r="F531" s="4">
        <f>ROUND(B531/B530-1,8)</f>
        <v/>
      </c>
      <c r="G531" s="4">
        <f>ROUND(C531/C530-1,8)</f>
        <v/>
      </c>
      <c r="H531" s="4">
        <f>ROUND(D531/100/(DATE(YEAR(A531)+1,1,1)-DATE(YEAR(A531),1,1))*E531,8)</f>
        <v/>
      </c>
      <c r="I531" s="4">
        <f>ROUND(I530*(1+F531),8)</f>
        <v/>
      </c>
      <c r="J531" s="4">
        <f>ROUND(J530*(1+G531),8)</f>
        <v/>
      </c>
      <c r="K531" s="4">
        <f>ROUND(K530+H531,8)</f>
        <v/>
      </c>
      <c r="L531" s="4">
        <f>ROUND(0.9*F531+0.05*G531+0.05*H531,8)</f>
        <v/>
      </c>
    </row>
    <row r="532">
      <c r="A532" s="2" t="n">
        <v>44539</v>
      </c>
      <c r="B532" s="8" t="n">
        <v>2575.17</v>
      </c>
      <c r="C532" s="8" t="n">
        <v>122.3566</v>
      </c>
      <c r="D532" s="8" t="n">
        <v>0.35</v>
      </c>
      <c r="E532">
        <f>A532-A531</f>
        <v/>
      </c>
      <c r="F532" s="4">
        <f>ROUND(B532/B531-1,8)</f>
        <v/>
      </c>
      <c r="G532" s="4">
        <f>ROUND(C532/C531-1,8)</f>
        <v/>
      </c>
      <c r="H532" s="4">
        <f>ROUND(D532/100/(DATE(YEAR(A532)+1,1,1)-DATE(YEAR(A532),1,1))*E532,8)</f>
        <v/>
      </c>
      <c r="I532" s="4">
        <f>ROUND(I531*(1+F532),8)</f>
        <v/>
      </c>
      <c r="J532" s="4">
        <f>ROUND(J531*(1+G532),8)</f>
        <v/>
      </c>
      <c r="K532" s="4">
        <f>ROUND(K531+H532,8)</f>
        <v/>
      </c>
      <c r="L532" s="4">
        <f>ROUND(0.9*F532+0.05*G532+0.05*H532,8)</f>
        <v/>
      </c>
    </row>
    <row r="533">
      <c r="A533" s="2" t="n">
        <v>44540</v>
      </c>
      <c r="B533" s="8" t="n">
        <v>2590.98</v>
      </c>
      <c r="C533" s="8" t="n">
        <v>122.3796</v>
      </c>
      <c r="D533" s="8" t="n">
        <v>0.35</v>
      </c>
      <c r="E533">
        <f>A533-A532</f>
        <v/>
      </c>
      <c r="F533" s="4">
        <f>ROUND(B533/B532-1,8)</f>
        <v/>
      </c>
      <c r="G533" s="4">
        <f>ROUND(C533/C532-1,8)</f>
        <v/>
      </c>
      <c r="H533" s="4">
        <f>ROUND(D533/100/(DATE(YEAR(A533)+1,1,1)-DATE(YEAR(A533),1,1))*E533,8)</f>
        <v/>
      </c>
      <c r="I533" s="4">
        <f>ROUND(I532*(1+F533),8)</f>
        <v/>
      </c>
      <c r="J533" s="4">
        <f>ROUND(J532*(1+G533),8)</f>
        <v/>
      </c>
      <c r="K533" s="4">
        <f>ROUND(K532+H533,8)</f>
        <v/>
      </c>
      <c r="L533" s="4">
        <f>ROUND(0.9*F533+0.05*G533+0.05*H533,8)</f>
        <v/>
      </c>
    </row>
    <row r="534">
      <c r="A534" s="2" t="n">
        <v>44543</v>
      </c>
      <c r="B534" s="8" t="n">
        <v>2607.41</v>
      </c>
      <c r="C534" s="8" t="n">
        <v>122.3772</v>
      </c>
      <c r="D534" s="8" t="n">
        <v>0.35</v>
      </c>
      <c r="E534">
        <f>A534-A533</f>
        <v/>
      </c>
      <c r="F534" s="4">
        <f>ROUND(B534/B533-1,8)</f>
        <v/>
      </c>
      <c r="G534" s="4">
        <f>ROUND(C534/C533-1,8)</f>
        <v/>
      </c>
      <c r="H534" s="4">
        <f>ROUND(D534/100/(DATE(YEAR(A534)+1,1,1)-DATE(YEAR(A534),1,1))*E534,8)</f>
        <v/>
      </c>
      <c r="I534" s="4">
        <f>ROUND(I533*(1+F534),8)</f>
        <v/>
      </c>
      <c r="J534" s="4">
        <f>ROUND(J533*(1+G534),8)</f>
        <v/>
      </c>
      <c r="K534" s="4">
        <f>ROUND(K533+H534,8)</f>
        <v/>
      </c>
      <c r="L534" s="4">
        <f>ROUND(0.9*F534+0.05*G534+0.05*H534,8)</f>
        <v/>
      </c>
    </row>
    <row r="535">
      <c r="A535" s="2" t="n">
        <v>44544</v>
      </c>
      <c r="B535" s="8" t="n">
        <v>2624.6</v>
      </c>
      <c r="C535" s="8" t="n">
        <v>122.4172</v>
      </c>
      <c r="D535" s="8" t="n">
        <v>0.35</v>
      </c>
      <c r="E535">
        <f>A535-A534</f>
        <v/>
      </c>
      <c r="F535" s="4">
        <f>ROUND(B535/B534-1,8)</f>
        <v/>
      </c>
      <c r="G535" s="4">
        <f>ROUND(C535/C534-1,8)</f>
        <v/>
      </c>
      <c r="H535" s="4">
        <f>ROUND(D535/100/(DATE(YEAR(A535)+1,1,1)-DATE(YEAR(A535),1,1))*E535,8)</f>
        <v/>
      </c>
      <c r="I535" s="4">
        <f>ROUND(I534*(1+F535),8)</f>
        <v/>
      </c>
      <c r="J535" s="4">
        <f>ROUND(J534*(1+G535),8)</f>
        <v/>
      </c>
      <c r="K535" s="4">
        <f>ROUND(K534+H535,8)</f>
        <v/>
      </c>
      <c r="L535" s="4">
        <f>ROUND(0.9*F535+0.05*G535+0.05*H535,8)</f>
        <v/>
      </c>
    </row>
    <row r="536">
      <c r="A536" s="2" t="n">
        <v>44545</v>
      </c>
      <c r="B536" s="8" t="n">
        <v>2631.07</v>
      </c>
      <c r="C536" s="8" t="n">
        <v>122.4346</v>
      </c>
      <c r="D536" s="8" t="n">
        <v>0.35</v>
      </c>
      <c r="E536">
        <f>A536-A535</f>
        <v/>
      </c>
      <c r="F536" s="4">
        <f>ROUND(B536/B535-1,8)</f>
        <v/>
      </c>
      <c r="G536" s="4">
        <f>ROUND(C536/C535-1,8)</f>
        <v/>
      </c>
      <c r="H536" s="4">
        <f>ROUND(D536/100/(DATE(YEAR(A536)+1,1,1)-DATE(YEAR(A536),1,1))*E536,8)</f>
        <v/>
      </c>
      <c r="I536" s="4">
        <f>ROUND(I535*(1+F536),8)</f>
        <v/>
      </c>
      <c r="J536" s="4">
        <f>ROUND(J535*(1+G536),8)</f>
        <v/>
      </c>
      <c r="K536" s="4">
        <f>ROUND(K535+H536,8)</f>
        <v/>
      </c>
      <c r="L536" s="4">
        <f>ROUND(0.9*F536+0.05*G536+0.05*H536,8)</f>
        <v/>
      </c>
    </row>
    <row r="537">
      <c r="A537" s="2" t="n">
        <v>44546</v>
      </c>
      <c r="B537" s="8" t="n">
        <v>2653.71</v>
      </c>
      <c r="C537" s="8" t="n">
        <v>122.4387</v>
      </c>
      <c r="D537" s="8" t="n">
        <v>0.35</v>
      </c>
      <c r="E537">
        <f>A537-A536</f>
        <v/>
      </c>
      <c r="F537" s="4">
        <f>ROUND(B537/B536-1,8)</f>
        <v/>
      </c>
      <c r="G537" s="4">
        <f>ROUND(C537/C536-1,8)</f>
        <v/>
      </c>
      <c r="H537" s="4">
        <f>ROUND(D537/100/(DATE(YEAR(A537)+1,1,1)-DATE(YEAR(A537),1,1))*E537,8)</f>
        <v/>
      </c>
      <c r="I537" s="4">
        <f>ROUND(I536*(1+F537),8)</f>
        <v/>
      </c>
      <c r="J537" s="4">
        <f>ROUND(J536*(1+G537),8)</f>
        <v/>
      </c>
      <c r="K537" s="4">
        <f>ROUND(K536+H537,8)</f>
        <v/>
      </c>
      <c r="L537" s="4">
        <f>ROUND(0.9*F537+0.05*G537+0.05*H537,8)</f>
        <v/>
      </c>
    </row>
    <row r="538">
      <c r="A538" s="2" t="n">
        <v>44547</v>
      </c>
      <c r="B538" s="8" t="n">
        <v>2631.34</v>
      </c>
      <c r="C538" s="8" t="n">
        <v>122.4543</v>
      </c>
      <c r="D538" s="8" t="n">
        <v>0.35</v>
      </c>
      <c r="E538">
        <f>A538-A537</f>
        <v/>
      </c>
      <c r="F538" s="4">
        <f>ROUND(B538/B537-1,8)</f>
        <v/>
      </c>
      <c r="G538" s="4">
        <f>ROUND(C538/C537-1,8)</f>
        <v/>
      </c>
      <c r="H538" s="4">
        <f>ROUND(D538/100/(DATE(YEAR(A538)+1,1,1)-DATE(YEAR(A538),1,1))*E538,8)</f>
        <v/>
      </c>
      <c r="I538" s="4">
        <f>ROUND(I537*(1+F538),8)</f>
        <v/>
      </c>
      <c r="J538" s="4">
        <f>ROUND(J537*(1+G538),8)</f>
        <v/>
      </c>
      <c r="K538" s="4">
        <f>ROUND(K537+H538,8)</f>
        <v/>
      </c>
      <c r="L538" s="4">
        <f>ROUND(0.9*F538+0.05*G538+0.05*H538,8)</f>
        <v/>
      </c>
    </row>
    <row r="539">
      <c r="A539" s="2" t="n">
        <v>44550</v>
      </c>
      <c r="B539" s="8" t="n">
        <v>2597.41</v>
      </c>
      <c r="C539" s="8" t="n">
        <v>122.4429</v>
      </c>
      <c r="D539" s="8" t="n">
        <v>0.35</v>
      </c>
      <c r="E539">
        <f>A539-A538</f>
        <v/>
      </c>
      <c r="F539" s="4">
        <f>ROUND(B539/B538-1,8)</f>
        <v/>
      </c>
      <c r="G539" s="4">
        <f>ROUND(C539/C538-1,8)</f>
        <v/>
      </c>
      <c r="H539" s="4">
        <f>ROUND(D539/100/(DATE(YEAR(A539)+1,1,1)-DATE(YEAR(A539),1,1))*E539,8)</f>
        <v/>
      </c>
      <c r="I539" s="4">
        <f>ROUND(I538*(1+F539),8)</f>
        <v/>
      </c>
      <c r="J539" s="4">
        <f>ROUND(J538*(1+G539),8)</f>
        <v/>
      </c>
      <c r="K539" s="4">
        <f>ROUND(K538+H539,8)</f>
        <v/>
      </c>
      <c r="L539" s="4">
        <f>ROUND(0.9*F539+0.05*G539+0.05*H539,8)</f>
        <v/>
      </c>
    </row>
    <row r="540">
      <c r="A540" s="2" t="n">
        <v>44551</v>
      </c>
      <c r="B540" s="8" t="n">
        <v>2638.49</v>
      </c>
      <c r="C540" s="8" t="n">
        <v>122.4154</v>
      </c>
      <c r="D540" s="8" t="n">
        <v>0.35</v>
      </c>
      <c r="E540">
        <f>A540-A539</f>
        <v/>
      </c>
      <c r="F540" s="4">
        <f>ROUND(B540/B539-1,8)</f>
        <v/>
      </c>
      <c r="G540" s="4">
        <f>ROUND(C540/C539-1,8)</f>
        <v/>
      </c>
      <c r="H540" s="4">
        <f>ROUND(D540/100/(DATE(YEAR(A540)+1,1,1)-DATE(YEAR(A540),1,1))*E540,8)</f>
        <v/>
      </c>
      <c r="I540" s="4">
        <f>ROUND(I539*(1+F540),8)</f>
        <v/>
      </c>
      <c r="J540" s="4">
        <f>ROUND(J539*(1+G540),8)</f>
        <v/>
      </c>
      <c r="K540" s="4">
        <f>ROUND(K539+H540,8)</f>
        <v/>
      </c>
      <c r="L540" s="4">
        <f>ROUND(0.9*F540+0.05*G540+0.05*H540,8)</f>
        <v/>
      </c>
    </row>
    <row r="541">
      <c r="A541" s="2" t="n">
        <v>44552</v>
      </c>
      <c r="B541" s="8" t="n">
        <v>2650.82</v>
      </c>
      <c r="C541" s="8" t="n">
        <v>122.4389</v>
      </c>
      <c r="D541" s="8" t="n">
        <v>0.35</v>
      </c>
      <c r="E541">
        <f>A541-A540</f>
        <v/>
      </c>
      <c r="F541" s="4">
        <f>ROUND(B541/B540-1,8)</f>
        <v/>
      </c>
      <c r="G541" s="4">
        <f>ROUND(C541/C540-1,8)</f>
        <v/>
      </c>
      <c r="H541" s="4">
        <f>ROUND(D541/100/(DATE(YEAR(A541)+1,1,1)-DATE(YEAR(A541),1,1))*E541,8)</f>
        <v/>
      </c>
      <c r="I541" s="4">
        <f>ROUND(I540*(1+F541),8)</f>
        <v/>
      </c>
      <c r="J541" s="4">
        <f>ROUND(J540*(1+G541),8)</f>
        <v/>
      </c>
      <c r="K541" s="4">
        <f>ROUND(K540+H541,8)</f>
        <v/>
      </c>
      <c r="L541" s="4">
        <f>ROUND(0.9*F541+0.05*G541+0.05*H541,8)</f>
        <v/>
      </c>
    </row>
    <row r="542">
      <c r="A542" s="2" t="n">
        <v>44553</v>
      </c>
      <c r="B542" s="8" t="n">
        <v>2639.05</v>
      </c>
      <c r="C542" s="8" t="n">
        <v>122.5027</v>
      </c>
      <c r="D542" s="8" t="n">
        <v>0.35</v>
      </c>
      <c r="E542">
        <f>A542-A541</f>
        <v/>
      </c>
      <c r="F542" s="4">
        <f>ROUND(B542/B541-1,8)</f>
        <v/>
      </c>
      <c r="G542" s="4">
        <f>ROUND(C542/C541-1,8)</f>
        <v/>
      </c>
      <c r="H542" s="4">
        <f>ROUND(D542/100/(DATE(YEAR(A542)+1,1,1)-DATE(YEAR(A542),1,1))*E542,8)</f>
        <v/>
      </c>
      <c r="I542" s="4">
        <f>ROUND(I541*(1+F542),8)</f>
        <v/>
      </c>
      <c r="J542" s="4">
        <f>ROUND(J541*(1+G542),8)</f>
        <v/>
      </c>
      <c r="K542" s="4">
        <f>ROUND(K541+H542,8)</f>
        <v/>
      </c>
      <c r="L542" s="4">
        <f>ROUND(0.9*F542+0.05*G542+0.05*H542,8)</f>
        <v/>
      </c>
    </row>
    <row r="543">
      <c r="A543" s="2" t="n">
        <v>44554</v>
      </c>
      <c r="B543" s="8" t="n">
        <v>2583.35</v>
      </c>
      <c r="C543" s="8" t="n">
        <v>122.5233</v>
      </c>
      <c r="D543" s="8" t="n">
        <v>0.35</v>
      </c>
      <c r="E543">
        <f>A543-A542</f>
        <v/>
      </c>
      <c r="F543" s="4">
        <f>ROUND(B543/B542-1,8)</f>
        <v/>
      </c>
      <c r="G543" s="4">
        <f>ROUND(C543/C542-1,8)</f>
        <v/>
      </c>
      <c r="H543" s="4">
        <f>ROUND(D543/100/(DATE(YEAR(A543)+1,1,1)-DATE(YEAR(A543),1,1))*E543,8)</f>
        <v/>
      </c>
      <c r="I543" s="4">
        <f>ROUND(I542*(1+F543),8)</f>
        <v/>
      </c>
      <c r="J543" s="4">
        <f>ROUND(J542*(1+G543),8)</f>
        <v/>
      </c>
      <c r="K543" s="4">
        <f>ROUND(K542+H543,8)</f>
        <v/>
      </c>
      <c r="L543" s="4">
        <f>ROUND(0.9*F543+0.05*G543+0.05*H543,8)</f>
        <v/>
      </c>
    </row>
    <row r="544">
      <c r="A544" s="2" t="n">
        <v>44557</v>
      </c>
      <c r="B544" s="8" t="n">
        <v>2599.67</v>
      </c>
      <c r="C544" s="8" t="n">
        <v>122.5814</v>
      </c>
      <c r="D544" s="8" t="n">
        <v>0.35</v>
      </c>
      <c r="E544">
        <f>A544-A543</f>
        <v/>
      </c>
      <c r="F544" s="4">
        <f>ROUND(B544/B543-1,8)</f>
        <v/>
      </c>
      <c r="G544" s="4">
        <f>ROUND(C544/C543-1,8)</f>
        <v/>
      </c>
      <c r="H544" s="4">
        <f>ROUND(D544/100/(DATE(YEAR(A544)+1,1,1)-DATE(YEAR(A544),1,1))*E544,8)</f>
        <v/>
      </c>
      <c r="I544" s="4">
        <f>ROUND(I543*(1+F544),8)</f>
        <v/>
      </c>
      <c r="J544" s="4">
        <f>ROUND(J543*(1+G544),8)</f>
        <v/>
      </c>
      <c r="K544" s="4">
        <f>ROUND(K543+H544,8)</f>
        <v/>
      </c>
      <c r="L544" s="4">
        <f>ROUND(0.9*F544+0.05*G544+0.05*H544,8)</f>
        <v/>
      </c>
    </row>
    <row r="545">
      <c r="A545" s="2" t="n">
        <v>44558</v>
      </c>
      <c r="B545" s="8" t="n">
        <v>2623.63</v>
      </c>
      <c r="C545" s="8" t="n">
        <v>122.6139</v>
      </c>
      <c r="D545" s="8" t="n">
        <v>0.35</v>
      </c>
      <c r="E545">
        <f>A545-A544</f>
        <v/>
      </c>
      <c r="F545" s="4">
        <f>ROUND(B545/B544-1,8)</f>
        <v/>
      </c>
      <c r="G545" s="4">
        <f>ROUND(C545/C544-1,8)</f>
        <v/>
      </c>
      <c r="H545" s="4">
        <f>ROUND(D545/100/(DATE(YEAR(A545)+1,1,1)-DATE(YEAR(A545),1,1))*E545,8)</f>
        <v/>
      </c>
      <c r="I545" s="4">
        <f>ROUND(I544*(1+F545),8)</f>
        <v/>
      </c>
      <c r="J545" s="4">
        <f>ROUND(J544*(1+G545),8)</f>
        <v/>
      </c>
      <c r="K545" s="4">
        <f>ROUND(K544+H545,8)</f>
        <v/>
      </c>
      <c r="L545" s="4">
        <f>ROUND(0.9*F545+0.05*G545+0.05*H545,8)</f>
        <v/>
      </c>
    </row>
    <row r="546">
      <c r="A546" s="2" t="n">
        <v>44559</v>
      </c>
      <c r="B546" s="8" t="n">
        <v>2626.22</v>
      </c>
      <c r="C546" s="8" t="n">
        <v>122.6786</v>
      </c>
      <c r="D546" s="8" t="n">
        <v>0.35</v>
      </c>
      <c r="E546">
        <f>A546-A545</f>
        <v/>
      </c>
      <c r="F546" s="4">
        <f>ROUND(B546/B545-1,8)</f>
        <v/>
      </c>
      <c r="G546" s="4">
        <f>ROUND(C546/C545-1,8)</f>
        <v/>
      </c>
      <c r="H546" s="4">
        <f>ROUND(D546/100/(DATE(YEAR(A546)+1,1,1)-DATE(YEAR(A546),1,1))*E546,8)</f>
        <v/>
      </c>
      <c r="I546" s="4">
        <f>ROUND(I545*(1+F546),8)</f>
        <v/>
      </c>
      <c r="J546" s="4">
        <f>ROUND(J545*(1+G546),8)</f>
        <v/>
      </c>
      <c r="K546" s="4">
        <f>ROUND(K545+H546,8)</f>
        <v/>
      </c>
      <c r="L546" s="4">
        <f>ROUND(0.9*F546+0.05*G546+0.05*H546,8)</f>
        <v/>
      </c>
    </row>
    <row r="547">
      <c r="A547" s="2" t="n">
        <v>44560</v>
      </c>
      <c r="B547" s="8" t="n">
        <v>2653.58</v>
      </c>
      <c r="C547" s="8" t="n">
        <v>122.7768</v>
      </c>
      <c r="D547" s="8" t="n">
        <v>0.35</v>
      </c>
      <c r="E547">
        <f>A547-A546</f>
        <v/>
      </c>
      <c r="F547" s="4">
        <f>ROUND(B547/B546-1,8)</f>
        <v/>
      </c>
      <c r="G547" s="4">
        <f>ROUND(C547/C546-1,8)</f>
        <v/>
      </c>
      <c r="H547" s="4">
        <f>ROUND(D547/100/(DATE(YEAR(A547)+1,1,1)-DATE(YEAR(A547),1,1))*E547,8)</f>
        <v/>
      </c>
      <c r="I547" s="4">
        <f>ROUND(I546*(1+F547),8)</f>
        <v/>
      </c>
      <c r="J547" s="4">
        <f>ROUND(J546*(1+G547),8)</f>
        <v/>
      </c>
      <c r="K547" s="4">
        <f>ROUND(K546+H547,8)</f>
        <v/>
      </c>
      <c r="L547" s="4">
        <f>ROUND(0.9*F547+0.05*G547+0.05*H547,8)</f>
        <v/>
      </c>
    </row>
    <row r="548">
      <c r="A548" s="2" t="n">
        <v>44561</v>
      </c>
      <c r="B548" s="8" t="n">
        <v>2666.97</v>
      </c>
      <c r="C548" s="8" t="n">
        <v>122.8066</v>
      </c>
      <c r="D548" s="8" t="n">
        <v>0.35</v>
      </c>
      <c r="E548">
        <f>A548-A547</f>
        <v/>
      </c>
      <c r="F548" s="4">
        <f>ROUND(B548/B547-1,8)</f>
        <v/>
      </c>
      <c r="G548" s="4">
        <f>ROUND(C548/C547-1,8)</f>
        <v/>
      </c>
      <c r="H548" s="4">
        <f>ROUND(D548/100/(DATE(YEAR(A548)+1,1,1)-DATE(YEAR(A548),1,1))*E548,8)</f>
        <v/>
      </c>
      <c r="I548" s="4">
        <f>ROUND(I547*(1+F548),8)</f>
        <v/>
      </c>
      <c r="J548" s="4">
        <f>ROUND(J547*(1+G548),8)</f>
        <v/>
      </c>
      <c r="K548" s="4">
        <f>ROUND(K547+H548,8)</f>
        <v/>
      </c>
      <c r="L548" s="4">
        <f>ROUND(0.9*F548+0.05*G548+0.05*H548,8)</f>
        <v/>
      </c>
    </row>
    <row r="549">
      <c r="A549" s="2" t="n">
        <v>44565</v>
      </c>
      <c r="B549" s="8" t="n">
        <v>2697.72</v>
      </c>
      <c r="C549" s="8" t="n">
        <v>122.853</v>
      </c>
      <c r="D549" s="8" t="n">
        <v>0.35</v>
      </c>
      <c r="E549">
        <f>A549-A548</f>
        <v/>
      </c>
      <c r="F549" s="4">
        <f>ROUND(B549/B548-1,8)</f>
        <v/>
      </c>
      <c r="G549" s="4">
        <f>ROUND(C549/C548-1,8)</f>
        <v/>
      </c>
      <c r="H549" s="4">
        <f>ROUND(D549/100/(DATE(YEAR(A549)+1,1,1)-DATE(YEAR(A549),1,1))*E549,8)</f>
        <v/>
      </c>
      <c r="I549" s="4">
        <f>ROUND(I548*(1+F549),8)</f>
        <v/>
      </c>
      <c r="J549" s="4">
        <f>ROUND(J548*(1+G549),8)</f>
        <v/>
      </c>
      <c r="K549" s="4">
        <f>ROUND(K548+H549,8)</f>
        <v/>
      </c>
      <c r="L549" s="4">
        <f>ROUND(0.9*F549+0.05*G549+0.05*H549,8)</f>
        <v/>
      </c>
    </row>
    <row r="550">
      <c r="A550" s="2" t="n">
        <v>44566</v>
      </c>
      <c r="B550" s="8" t="n">
        <v>2648.98</v>
      </c>
      <c r="C550" s="8" t="n">
        <v>122.8856</v>
      </c>
      <c r="D550" s="8" t="n">
        <v>0.35</v>
      </c>
      <c r="E550">
        <f>A550-A549</f>
        <v/>
      </c>
      <c r="F550" s="4">
        <f>ROUND(B550/B549-1,8)</f>
        <v/>
      </c>
      <c r="G550" s="4">
        <f>ROUND(C550/C549-1,8)</f>
        <v/>
      </c>
      <c r="H550" s="4">
        <f>ROUND(D550/100/(DATE(YEAR(A550)+1,1,1)-DATE(YEAR(A550),1,1))*E550,8)</f>
        <v/>
      </c>
      <c r="I550" s="4">
        <f>ROUND(I549*(1+F550),8)</f>
        <v/>
      </c>
      <c r="J550" s="4">
        <f>ROUND(J549*(1+G550),8)</f>
        <v/>
      </c>
      <c r="K550" s="4">
        <f>ROUND(K549+H550,8)</f>
        <v/>
      </c>
      <c r="L550" s="4">
        <f>ROUND(0.9*F550+0.05*G550+0.05*H550,8)</f>
        <v/>
      </c>
    </row>
    <row r="551">
      <c r="A551" s="2" t="n">
        <v>44567</v>
      </c>
      <c r="B551" s="8" t="n">
        <v>2677.44</v>
      </c>
      <c r="C551" s="8" t="n">
        <v>122.8324</v>
      </c>
      <c r="D551" s="8" t="n">
        <v>0.35</v>
      </c>
      <c r="E551">
        <f>A551-A550</f>
        <v/>
      </c>
      <c r="F551" s="4">
        <f>ROUND(B551/B550-1,8)</f>
        <v/>
      </c>
      <c r="G551" s="4">
        <f>ROUND(C551/C550-1,8)</f>
        <v/>
      </c>
      <c r="H551" s="4">
        <f>ROUND(D551/100/(DATE(YEAR(A551)+1,1,1)-DATE(YEAR(A551),1,1))*E551,8)</f>
        <v/>
      </c>
      <c r="I551" s="4">
        <f>ROUND(I550*(1+F551),8)</f>
        <v/>
      </c>
      <c r="J551" s="4">
        <f>ROUND(J550*(1+G551),8)</f>
        <v/>
      </c>
      <c r="K551" s="4">
        <f>ROUND(K550+H551,8)</f>
        <v/>
      </c>
      <c r="L551" s="4">
        <f>ROUND(0.9*F551+0.05*G551+0.05*H551,8)</f>
        <v/>
      </c>
    </row>
    <row r="552">
      <c r="A552" s="2" t="n">
        <v>44568</v>
      </c>
      <c r="B552" s="8" t="n">
        <v>2613.93</v>
      </c>
      <c r="C552" s="8" t="n">
        <v>122.8334</v>
      </c>
      <c r="D552" s="8" t="n">
        <v>0.35</v>
      </c>
      <c r="E552">
        <f>A552-A551</f>
        <v/>
      </c>
      <c r="F552" s="4">
        <f>ROUND(B552/B551-1,8)</f>
        <v/>
      </c>
      <c r="G552" s="4">
        <f>ROUND(C552/C551-1,8)</f>
        <v/>
      </c>
      <c r="H552" s="4">
        <f>ROUND(D552/100/(DATE(YEAR(A552)+1,1,1)-DATE(YEAR(A552),1,1))*E552,8)</f>
        <v/>
      </c>
      <c r="I552" s="4">
        <f>ROUND(I551*(1+F552),8)</f>
        <v/>
      </c>
      <c r="J552" s="4">
        <f>ROUND(J551*(1+G552),8)</f>
        <v/>
      </c>
      <c r="K552" s="4">
        <f>ROUND(K551+H552,8)</f>
        <v/>
      </c>
      <c r="L552" s="4">
        <f>ROUND(0.9*F552+0.05*G552+0.05*H552,8)</f>
        <v/>
      </c>
    </row>
    <row r="553">
      <c r="A553" s="2" t="n">
        <v>44571</v>
      </c>
      <c r="B553" s="8" t="n">
        <v>2636.21</v>
      </c>
      <c r="C553" s="8" t="n">
        <v>122.8699</v>
      </c>
      <c r="D553" s="8" t="n">
        <v>0.35</v>
      </c>
      <c r="E553">
        <f>A553-A552</f>
        <v/>
      </c>
      <c r="F553" s="4">
        <f>ROUND(B553/B552-1,8)</f>
        <v/>
      </c>
      <c r="G553" s="4">
        <f>ROUND(C553/C552-1,8)</f>
        <v/>
      </c>
      <c r="H553" s="4">
        <f>ROUND(D553/100/(DATE(YEAR(A553)+1,1,1)-DATE(YEAR(A553),1,1))*E553,8)</f>
        <v/>
      </c>
      <c r="I553" s="4">
        <f>ROUND(I552*(1+F553),8)</f>
        <v/>
      </c>
      <c r="J553" s="4">
        <f>ROUND(J552*(1+G553),8)</f>
        <v/>
      </c>
      <c r="K553" s="4">
        <f>ROUND(K552+H553,8)</f>
        <v/>
      </c>
      <c r="L553" s="4">
        <f>ROUND(0.9*F553+0.05*G553+0.05*H553,8)</f>
        <v/>
      </c>
    </row>
    <row r="554">
      <c r="A554" s="2" t="n">
        <v>44572</v>
      </c>
      <c r="B554" s="8" t="n">
        <v>2625.64</v>
      </c>
      <c r="C554" s="8" t="n">
        <v>122.9203</v>
      </c>
      <c r="D554" s="8" t="n">
        <v>0.35</v>
      </c>
      <c r="E554">
        <f>A554-A553</f>
        <v/>
      </c>
      <c r="F554" s="4">
        <f>ROUND(B554/B553-1,8)</f>
        <v/>
      </c>
      <c r="G554" s="4">
        <f>ROUND(C554/C553-1,8)</f>
        <v/>
      </c>
      <c r="H554" s="4">
        <f>ROUND(D554/100/(DATE(YEAR(A554)+1,1,1)-DATE(YEAR(A554),1,1))*E554,8)</f>
        <v/>
      </c>
      <c r="I554" s="4">
        <f>ROUND(I553*(1+F554),8)</f>
        <v/>
      </c>
      <c r="J554" s="4">
        <f>ROUND(J553*(1+G554),8)</f>
        <v/>
      </c>
      <c r="K554" s="4">
        <f>ROUND(K553+H554,8)</f>
        <v/>
      </c>
      <c r="L554" s="4">
        <f>ROUND(0.9*F554+0.05*G554+0.05*H554,8)</f>
        <v/>
      </c>
    </row>
    <row r="555">
      <c r="A555" s="2" t="n">
        <v>44573</v>
      </c>
      <c r="B555" s="8" t="n">
        <v>2670.57</v>
      </c>
      <c r="C555" s="8" t="n">
        <v>122.982</v>
      </c>
      <c r="D555" s="8" t="n">
        <v>0.35</v>
      </c>
      <c r="E555">
        <f>A555-A554</f>
        <v/>
      </c>
      <c r="F555" s="4">
        <f>ROUND(B555/B554-1,8)</f>
        <v/>
      </c>
      <c r="G555" s="4">
        <f>ROUND(C555/C554-1,8)</f>
        <v/>
      </c>
      <c r="H555" s="4">
        <f>ROUND(D555/100/(DATE(YEAR(A555)+1,1,1)-DATE(YEAR(A555),1,1))*E555,8)</f>
        <v/>
      </c>
      <c r="I555" s="4">
        <f>ROUND(I554*(1+F555),8)</f>
        <v/>
      </c>
      <c r="J555" s="4">
        <f>ROUND(J554*(1+G555),8)</f>
        <v/>
      </c>
      <c r="K555" s="4">
        <f>ROUND(K554+H555,8)</f>
        <v/>
      </c>
      <c r="L555" s="4">
        <f>ROUND(0.9*F555+0.05*G555+0.05*H555,8)</f>
        <v/>
      </c>
    </row>
    <row r="556">
      <c r="A556" s="2" t="n">
        <v>44574</v>
      </c>
      <c r="B556" s="8" t="n">
        <v>2645.95</v>
      </c>
      <c r="C556" s="8" t="n">
        <v>123.0099</v>
      </c>
      <c r="D556" s="8" t="n">
        <v>0.35</v>
      </c>
      <c r="E556">
        <f>A556-A555</f>
        <v/>
      </c>
      <c r="F556" s="4">
        <f>ROUND(B556/B555-1,8)</f>
        <v/>
      </c>
      <c r="G556" s="4">
        <f>ROUND(C556/C555-1,8)</f>
        <v/>
      </c>
      <c r="H556" s="4">
        <f>ROUND(D556/100/(DATE(YEAR(A556)+1,1,1)-DATE(YEAR(A556),1,1))*E556,8)</f>
        <v/>
      </c>
      <c r="I556" s="4">
        <f>ROUND(I555*(1+F556),8)</f>
        <v/>
      </c>
      <c r="J556" s="4">
        <f>ROUND(J555*(1+G556),8)</f>
        <v/>
      </c>
      <c r="K556" s="4">
        <f>ROUND(K555+H556,8)</f>
        <v/>
      </c>
      <c r="L556" s="4">
        <f>ROUND(0.9*F556+0.05*G556+0.05*H556,8)</f>
        <v/>
      </c>
    </row>
    <row r="557">
      <c r="A557" s="2" t="n">
        <v>44575</v>
      </c>
      <c r="B557" s="8" t="n">
        <v>2646.77</v>
      </c>
      <c r="C557" s="8" t="n">
        <v>123.0411</v>
      </c>
      <c r="D557" s="8" t="n">
        <v>0.35</v>
      </c>
      <c r="E557">
        <f>A557-A556</f>
        <v/>
      </c>
      <c r="F557" s="4">
        <f>ROUND(B557/B556-1,8)</f>
        <v/>
      </c>
      <c r="G557" s="4">
        <f>ROUND(C557/C556-1,8)</f>
        <v/>
      </c>
      <c r="H557" s="4">
        <f>ROUND(D557/100/(DATE(YEAR(A557)+1,1,1)-DATE(YEAR(A557),1,1))*E557,8)</f>
        <v/>
      </c>
      <c r="I557" s="4">
        <f>ROUND(I556*(1+F557),8)</f>
        <v/>
      </c>
      <c r="J557" s="4">
        <f>ROUND(J556*(1+G557),8)</f>
        <v/>
      </c>
      <c r="K557" s="4">
        <f>ROUND(K556+H557,8)</f>
        <v/>
      </c>
      <c r="L557" s="4">
        <f>ROUND(0.9*F557+0.05*G557+0.05*H557,8)</f>
        <v/>
      </c>
    </row>
    <row r="558">
      <c r="A558" s="2" t="n">
        <v>44578</v>
      </c>
      <c r="B558" s="8" t="n">
        <v>2696.87</v>
      </c>
      <c r="C558" s="8" t="n">
        <v>123.113</v>
      </c>
      <c r="D558" s="8" t="n">
        <v>0.35</v>
      </c>
      <c r="E558">
        <f>A558-A557</f>
        <v/>
      </c>
      <c r="F558" s="4">
        <f>ROUND(B558/B557-1,8)</f>
        <v/>
      </c>
      <c r="G558" s="4">
        <f>ROUND(C558/C557-1,8)</f>
        <v/>
      </c>
      <c r="H558" s="4">
        <f>ROUND(D558/100/(DATE(YEAR(A558)+1,1,1)-DATE(YEAR(A558),1,1))*E558,8)</f>
        <v/>
      </c>
      <c r="I558" s="4">
        <f>ROUND(I557*(1+F558),8)</f>
        <v/>
      </c>
      <c r="J558" s="4">
        <f>ROUND(J557*(1+G558),8)</f>
        <v/>
      </c>
      <c r="K558" s="4">
        <f>ROUND(K557+H558,8)</f>
        <v/>
      </c>
      <c r="L558" s="4">
        <f>ROUND(0.9*F558+0.05*G558+0.05*H558,8)</f>
        <v/>
      </c>
    </row>
    <row r="559">
      <c r="A559" s="2" t="n">
        <v>44579</v>
      </c>
      <c r="B559" s="8" t="n">
        <v>2644.51</v>
      </c>
      <c r="C559" s="8" t="n">
        <v>123.2703</v>
      </c>
      <c r="D559" s="8" t="n">
        <v>0.35</v>
      </c>
      <c r="E559">
        <f>A559-A558</f>
        <v/>
      </c>
      <c r="F559" s="4">
        <f>ROUND(B559/B558-1,8)</f>
        <v/>
      </c>
      <c r="G559" s="4">
        <f>ROUND(C559/C558-1,8)</f>
        <v/>
      </c>
      <c r="H559" s="4">
        <f>ROUND(D559/100/(DATE(YEAR(A559)+1,1,1)-DATE(YEAR(A559),1,1))*E559,8)</f>
        <v/>
      </c>
      <c r="I559" s="4">
        <f>ROUND(I558*(1+F559),8)</f>
        <v/>
      </c>
      <c r="J559" s="4">
        <f>ROUND(J558*(1+G559),8)</f>
        <v/>
      </c>
      <c r="K559" s="4">
        <f>ROUND(K558+H559,8)</f>
        <v/>
      </c>
      <c r="L559" s="4">
        <f>ROUND(0.9*F559+0.05*G559+0.05*H559,8)</f>
        <v/>
      </c>
    </row>
    <row r="560">
      <c r="A560" s="2" t="n">
        <v>44580</v>
      </c>
      <c r="B560" s="8" t="n">
        <v>2644.31</v>
      </c>
      <c r="C560" s="8" t="n">
        <v>123.4557</v>
      </c>
      <c r="D560" s="8" t="n">
        <v>0.35</v>
      </c>
      <c r="E560">
        <f>A560-A559</f>
        <v/>
      </c>
      <c r="F560" s="4">
        <f>ROUND(B560/B559-1,8)</f>
        <v/>
      </c>
      <c r="G560" s="4">
        <f>ROUND(C560/C559-1,8)</f>
        <v/>
      </c>
      <c r="H560" s="4">
        <f>ROUND(D560/100/(DATE(YEAR(A560)+1,1,1)-DATE(YEAR(A560),1,1))*E560,8)</f>
        <v/>
      </c>
      <c r="I560" s="4">
        <f>ROUND(I559*(1+F560),8)</f>
        <v/>
      </c>
      <c r="J560" s="4">
        <f>ROUND(J559*(1+G560),8)</f>
        <v/>
      </c>
      <c r="K560" s="4">
        <f>ROUND(K559+H560,8)</f>
        <v/>
      </c>
      <c r="L560" s="4">
        <f>ROUND(0.9*F560+0.05*G560+0.05*H560,8)</f>
        <v/>
      </c>
    </row>
    <row r="561">
      <c r="A561" s="2" t="n">
        <v>44581</v>
      </c>
      <c r="B561" s="8" t="n">
        <v>2562.87</v>
      </c>
      <c r="C561" s="8" t="n">
        <v>123.4802</v>
      </c>
      <c r="D561" s="8" t="n">
        <v>0.35</v>
      </c>
      <c r="E561">
        <f>A561-A560</f>
        <v/>
      </c>
      <c r="F561" s="4">
        <f>ROUND(B561/B560-1,8)</f>
        <v/>
      </c>
      <c r="G561" s="4">
        <f>ROUND(C561/C560-1,8)</f>
        <v/>
      </c>
      <c r="H561" s="4">
        <f>ROUND(D561/100/(DATE(YEAR(A561)+1,1,1)-DATE(YEAR(A561),1,1))*E561,8)</f>
        <v/>
      </c>
      <c r="I561" s="4">
        <f>ROUND(I560*(1+F561),8)</f>
        <v/>
      </c>
      <c r="J561" s="4">
        <f>ROUND(J560*(1+G561),8)</f>
        <v/>
      </c>
      <c r="K561" s="4">
        <f>ROUND(K560+H561,8)</f>
        <v/>
      </c>
      <c r="L561" s="4">
        <f>ROUND(0.9*F561+0.05*G561+0.05*H561,8)</f>
        <v/>
      </c>
    </row>
    <row r="562">
      <c r="A562" s="2" t="n">
        <v>44582</v>
      </c>
      <c r="B562" s="8" t="n">
        <v>2529.1</v>
      </c>
      <c r="C562" s="8" t="n">
        <v>123.5713</v>
      </c>
      <c r="D562" s="8" t="n">
        <v>0.35</v>
      </c>
      <c r="E562">
        <f>A562-A561</f>
        <v/>
      </c>
      <c r="F562" s="4">
        <f>ROUND(B562/B561-1,8)</f>
        <v/>
      </c>
      <c r="G562" s="4">
        <f>ROUND(C562/C561-1,8)</f>
        <v/>
      </c>
      <c r="H562" s="4">
        <f>ROUND(D562/100/(DATE(YEAR(A562)+1,1,1)-DATE(YEAR(A562),1,1))*E562,8)</f>
        <v/>
      </c>
      <c r="I562" s="4">
        <f>ROUND(I561*(1+F562),8)</f>
        <v/>
      </c>
      <c r="J562" s="4">
        <f>ROUND(J561*(1+G562),8)</f>
        <v/>
      </c>
      <c r="K562" s="4">
        <f>ROUND(K561+H562,8)</f>
        <v/>
      </c>
      <c r="L562" s="4">
        <f>ROUND(0.9*F562+0.05*G562+0.05*H562,8)</f>
        <v/>
      </c>
    </row>
    <row r="563">
      <c r="A563" s="2" t="n">
        <v>44585</v>
      </c>
      <c r="B563" s="8" t="n">
        <v>2527.24</v>
      </c>
      <c r="C563" s="8" t="n">
        <v>123.7156</v>
      </c>
      <c r="D563" s="8" t="n">
        <v>0.35</v>
      </c>
      <c r="E563">
        <f>A563-A562</f>
        <v/>
      </c>
      <c r="F563" s="4">
        <f>ROUND(B563/B562-1,8)</f>
        <v/>
      </c>
      <c r="G563" s="4">
        <f>ROUND(C563/C562-1,8)</f>
        <v/>
      </c>
      <c r="H563" s="4">
        <f>ROUND(D563/100/(DATE(YEAR(A563)+1,1,1)-DATE(YEAR(A563),1,1))*E563,8)</f>
        <v/>
      </c>
      <c r="I563" s="4">
        <f>ROUND(I562*(1+F563),8)</f>
        <v/>
      </c>
      <c r="J563" s="4">
        <f>ROUND(J562*(1+G563),8)</f>
        <v/>
      </c>
      <c r="K563" s="4">
        <f>ROUND(K562+H563,8)</f>
        <v/>
      </c>
      <c r="L563" s="4">
        <f>ROUND(0.9*F563+0.05*G563+0.05*H563,8)</f>
        <v/>
      </c>
    </row>
    <row r="564">
      <c r="A564" s="2" t="n">
        <v>44586</v>
      </c>
      <c r="B564" s="8" t="n">
        <v>2413.96</v>
      </c>
      <c r="C564" s="8" t="n">
        <v>123.6931</v>
      </c>
      <c r="D564" s="8" t="n">
        <v>0.35</v>
      </c>
      <c r="E564">
        <f>A564-A563</f>
        <v/>
      </c>
      <c r="F564" s="4">
        <f>ROUND(B564/B563-1,8)</f>
        <v/>
      </c>
      <c r="G564" s="4">
        <f>ROUND(C564/C563-1,8)</f>
        <v/>
      </c>
      <c r="H564" s="4">
        <f>ROUND(D564/100/(DATE(YEAR(A564)+1,1,1)-DATE(YEAR(A564),1,1))*E564,8)</f>
        <v/>
      </c>
      <c r="I564" s="4">
        <f>ROUND(I563*(1+F564),8)</f>
        <v/>
      </c>
      <c r="J564" s="4">
        <f>ROUND(J563*(1+G564),8)</f>
        <v/>
      </c>
      <c r="K564" s="4">
        <f>ROUND(K563+H564,8)</f>
        <v/>
      </c>
      <c r="L564" s="4">
        <f>ROUND(0.9*F564+0.05*G564+0.05*H564,8)</f>
        <v/>
      </c>
    </row>
    <row r="565">
      <c r="A565" s="2" t="n">
        <v>44587</v>
      </c>
      <c r="B565" s="8" t="n">
        <v>2430.75</v>
      </c>
      <c r="C565" s="8" t="n">
        <v>123.6004</v>
      </c>
      <c r="D565" s="8" t="n">
        <v>0.35</v>
      </c>
      <c r="E565">
        <f>A565-A564</f>
        <v/>
      </c>
      <c r="F565" s="4">
        <f>ROUND(B565/B564-1,8)</f>
        <v/>
      </c>
      <c r="G565" s="4">
        <f>ROUND(C565/C564-1,8)</f>
        <v/>
      </c>
      <c r="H565" s="4">
        <f>ROUND(D565/100/(DATE(YEAR(A565)+1,1,1)-DATE(YEAR(A565),1,1))*E565,8)</f>
        <v/>
      </c>
      <c r="I565" s="4">
        <f>ROUND(I564*(1+F565),8)</f>
        <v/>
      </c>
      <c r="J565" s="4">
        <f>ROUND(J564*(1+G565),8)</f>
        <v/>
      </c>
      <c r="K565" s="4">
        <f>ROUND(K564+H565,8)</f>
        <v/>
      </c>
      <c r="L565" s="4">
        <f>ROUND(0.9*F565+0.05*G565+0.05*H565,8)</f>
        <v/>
      </c>
    </row>
    <row r="566">
      <c r="A566" s="2" t="n">
        <v>44588</v>
      </c>
      <c r="B566" s="8" t="n">
        <v>2349.39</v>
      </c>
      <c r="C566" s="8" t="n">
        <v>123.5565</v>
      </c>
      <c r="D566" s="8" t="n">
        <v>0.35</v>
      </c>
      <c r="E566">
        <f>A566-A565</f>
        <v/>
      </c>
      <c r="F566" s="4">
        <f>ROUND(B566/B565-1,8)</f>
        <v/>
      </c>
      <c r="G566" s="4">
        <f>ROUND(C566/C565-1,8)</f>
        <v/>
      </c>
      <c r="H566" s="4">
        <f>ROUND(D566/100/(DATE(YEAR(A566)+1,1,1)-DATE(YEAR(A566),1,1))*E566,8)</f>
        <v/>
      </c>
      <c r="I566" s="4">
        <f>ROUND(I565*(1+F566),8)</f>
        <v/>
      </c>
      <c r="J566" s="4">
        <f>ROUND(J565*(1+G566),8)</f>
        <v/>
      </c>
      <c r="K566" s="4">
        <f>ROUND(K565+H566,8)</f>
        <v/>
      </c>
      <c r="L566" s="4">
        <f>ROUND(0.9*F566+0.05*G566+0.05*H566,8)</f>
        <v/>
      </c>
    </row>
    <row r="567">
      <c r="A567" s="2" t="n">
        <v>44589</v>
      </c>
      <c r="B567" s="8" t="n">
        <v>2388.82</v>
      </c>
      <c r="C567" s="8" t="n">
        <v>123.6166</v>
      </c>
      <c r="D567" s="8" t="n">
        <v>0.35</v>
      </c>
      <c r="E567">
        <f>A567-A566</f>
        <v/>
      </c>
      <c r="F567" s="4">
        <f>ROUND(B567/B566-1,8)</f>
        <v/>
      </c>
      <c r="G567" s="4">
        <f>ROUND(C567/C566-1,8)</f>
        <v/>
      </c>
      <c r="H567" s="4">
        <f>ROUND(D567/100/(DATE(YEAR(A567)+1,1,1)-DATE(YEAR(A567),1,1))*E567,8)</f>
        <v/>
      </c>
      <c r="I567" s="4">
        <f>ROUND(I566*(1+F567),8)</f>
        <v/>
      </c>
      <c r="J567" s="4">
        <f>ROUND(J566*(1+G567),8)</f>
        <v/>
      </c>
      <c r="K567" s="4">
        <f>ROUND(K566+H567,8)</f>
        <v/>
      </c>
      <c r="L567" s="4">
        <f>ROUND(0.9*F567+0.05*G567+0.05*H567,8)</f>
        <v/>
      </c>
    </row>
    <row r="568">
      <c r="A568" s="2" t="n">
        <v>44599</v>
      </c>
      <c r="B568" s="8" t="n">
        <v>2416.39</v>
      </c>
      <c r="C568" s="8" t="n">
        <v>123.6649</v>
      </c>
      <c r="D568" s="8" t="n">
        <v>0.35</v>
      </c>
      <c r="E568">
        <f>A568-A567</f>
        <v/>
      </c>
      <c r="F568" s="4">
        <f>ROUND(B568/B567-1,8)</f>
        <v/>
      </c>
      <c r="G568" s="4">
        <f>ROUND(C568/C567-1,8)</f>
        <v/>
      </c>
      <c r="H568" s="4">
        <f>ROUND(D568/100/(DATE(YEAR(A568)+1,1,1)-DATE(YEAR(A568),1,1))*E568,8)</f>
        <v/>
      </c>
      <c r="I568" s="4">
        <f>ROUND(I567*(1+F568),8)</f>
        <v/>
      </c>
      <c r="J568" s="4">
        <f>ROUND(J567*(1+G568),8)</f>
        <v/>
      </c>
      <c r="K568" s="4">
        <f>ROUND(K567+H568,8)</f>
        <v/>
      </c>
      <c r="L568" s="4">
        <f>ROUND(0.9*F568+0.05*G568+0.05*H568,8)</f>
        <v/>
      </c>
    </row>
    <row r="569">
      <c r="A569" s="2" t="n">
        <v>44600</v>
      </c>
      <c r="B569" s="8" t="n">
        <v>2452.94</v>
      </c>
      <c r="C569" s="8" t="n">
        <v>123.6777</v>
      </c>
      <c r="D569" s="8" t="n">
        <v>0.35</v>
      </c>
      <c r="E569">
        <f>A569-A568</f>
        <v/>
      </c>
      <c r="F569" s="4">
        <f>ROUND(B569/B568-1,8)</f>
        <v/>
      </c>
      <c r="G569" s="4">
        <f>ROUND(C569/C568-1,8)</f>
        <v/>
      </c>
      <c r="H569" s="4">
        <f>ROUND(D569/100/(DATE(YEAR(A569)+1,1,1)-DATE(YEAR(A569),1,1))*E569,8)</f>
        <v/>
      </c>
      <c r="I569" s="4">
        <f>ROUND(I568*(1+F569),8)</f>
        <v/>
      </c>
      <c r="J569" s="4">
        <f>ROUND(J568*(1+G569),8)</f>
        <v/>
      </c>
      <c r="K569" s="4">
        <f>ROUND(K568+H569,8)</f>
        <v/>
      </c>
      <c r="L569" s="4">
        <f>ROUND(0.9*F569+0.05*G569+0.05*H569,8)</f>
        <v/>
      </c>
    </row>
    <row r="570">
      <c r="A570" s="2" t="n">
        <v>44601</v>
      </c>
      <c r="B570" s="8" t="n">
        <v>2492.53</v>
      </c>
      <c r="C570" s="8" t="n">
        <v>123.6405</v>
      </c>
      <c r="D570" s="8" t="n">
        <v>0.35</v>
      </c>
      <c r="E570">
        <f>A570-A569</f>
        <v/>
      </c>
      <c r="F570" s="4">
        <f>ROUND(B570/B569-1,8)</f>
        <v/>
      </c>
      <c r="G570" s="4">
        <f>ROUND(C570/C569-1,8)</f>
        <v/>
      </c>
      <c r="H570" s="4">
        <f>ROUND(D570/100/(DATE(YEAR(A570)+1,1,1)-DATE(YEAR(A570),1,1))*E570,8)</f>
        <v/>
      </c>
      <c r="I570" s="4">
        <f>ROUND(I569*(1+F570),8)</f>
        <v/>
      </c>
      <c r="J570" s="4">
        <f>ROUND(J569*(1+G570),8)</f>
        <v/>
      </c>
      <c r="K570" s="4">
        <f>ROUND(K569+H570,8)</f>
        <v/>
      </c>
      <c r="L570" s="4">
        <f>ROUND(0.9*F570+0.05*G570+0.05*H570,8)</f>
        <v/>
      </c>
    </row>
    <row r="571">
      <c r="A571" s="2" t="n">
        <v>44602</v>
      </c>
      <c r="B571" s="8" t="n">
        <v>2477.76</v>
      </c>
      <c r="C571" s="8" t="n">
        <v>123.6491</v>
      </c>
      <c r="D571" s="8" t="n">
        <v>0.35</v>
      </c>
      <c r="E571">
        <f>A571-A570</f>
        <v/>
      </c>
      <c r="F571" s="4">
        <f>ROUND(B571/B570-1,8)</f>
        <v/>
      </c>
      <c r="G571" s="4">
        <f>ROUND(C571/C570-1,8)</f>
        <v/>
      </c>
      <c r="H571" s="4">
        <f>ROUND(D571/100/(DATE(YEAR(A571)+1,1,1)-DATE(YEAR(A571),1,1))*E571,8)</f>
        <v/>
      </c>
      <c r="I571" s="4">
        <f>ROUND(I570*(1+F571),8)</f>
        <v/>
      </c>
      <c r="J571" s="4">
        <f>ROUND(J570*(1+G571),8)</f>
        <v/>
      </c>
      <c r="K571" s="4">
        <f>ROUND(K570+H571,8)</f>
        <v/>
      </c>
      <c r="L571" s="4">
        <f>ROUND(0.9*F571+0.05*G571+0.05*H571,8)</f>
        <v/>
      </c>
    </row>
    <row r="572">
      <c r="A572" s="2" t="n">
        <v>44603</v>
      </c>
      <c r="B572" s="8" t="n">
        <v>2416.48</v>
      </c>
      <c r="C572" s="8" t="n">
        <v>123.3671</v>
      </c>
      <c r="D572" s="8" t="n">
        <v>0.35</v>
      </c>
      <c r="E572">
        <f>A572-A571</f>
        <v/>
      </c>
      <c r="F572" s="4">
        <f>ROUND(B572/B571-1,8)</f>
        <v/>
      </c>
      <c r="G572" s="4">
        <f>ROUND(C572/C571-1,8)</f>
        <v/>
      </c>
      <c r="H572" s="4">
        <f>ROUND(D572/100/(DATE(YEAR(A572)+1,1,1)-DATE(YEAR(A572),1,1))*E572,8)</f>
        <v/>
      </c>
      <c r="I572" s="4">
        <f>ROUND(I571*(1+F572),8)</f>
        <v/>
      </c>
      <c r="J572" s="4">
        <f>ROUND(J571*(1+G572),8)</f>
        <v/>
      </c>
      <c r="K572" s="4">
        <f>ROUND(K571+H572,8)</f>
        <v/>
      </c>
      <c r="L572" s="4">
        <f>ROUND(0.9*F572+0.05*G572+0.05*H572,8)</f>
        <v/>
      </c>
    </row>
    <row r="573">
      <c r="A573" s="2" t="n">
        <v>44606</v>
      </c>
      <c r="B573" s="8" t="n">
        <v>2423.69</v>
      </c>
      <c r="C573" s="8" t="n">
        <v>123.3372</v>
      </c>
      <c r="D573" s="8" t="n">
        <v>0.35</v>
      </c>
      <c r="E573">
        <f>A573-A572</f>
        <v/>
      </c>
      <c r="F573" s="4">
        <f>ROUND(B573/B572-1,8)</f>
        <v/>
      </c>
      <c r="G573" s="4">
        <f>ROUND(C573/C572-1,8)</f>
        <v/>
      </c>
      <c r="H573" s="4">
        <f>ROUND(D573/100/(DATE(YEAR(A573)+1,1,1)-DATE(YEAR(A573),1,1))*E573,8)</f>
        <v/>
      </c>
      <c r="I573" s="4">
        <f>ROUND(I572*(1+F573),8)</f>
        <v/>
      </c>
      <c r="J573" s="4">
        <f>ROUND(J572*(1+G573),8)</f>
        <v/>
      </c>
      <c r="K573" s="4">
        <f>ROUND(K572+H573,8)</f>
        <v/>
      </c>
      <c r="L573" s="4">
        <f>ROUND(0.9*F573+0.05*G573+0.05*H573,8)</f>
        <v/>
      </c>
    </row>
    <row r="574">
      <c r="A574" s="2" t="n">
        <v>44607</v>
      </c>
      <c r="B574" s="8" t="n">
        <v>2435.13</v>
      </c>
      <c r="C574" s="8" t="n">
        <v>123.3368</v>
      </c>
      <c r="D574" s="8" t="n">
        <v>0.35</v>
      </c>
      <c r="E574">
        <f>A574-A573</f>
        <v/>
      </c>
      <c r="F574" s="4">
        <f>ROUND(B574/B573-1,8)</f>
        <v/>
      </c>
      <c r="G574" s="4">
        <f>ROUND(C574/C573-1,8)</f>
        <v/>
      </c>
      <c r="H574" s="4">
        <f>ROUND(D574/100/(DATE(YEAR(A574)+1,1,1)-DATE(YEAR(A574),1,1))*E574,8)</f>
        <v/>
      </c>
      <c r="I574" s="4">
        <f>ROUND(I573*(1+F574),8)</f>
        <v/>
      </c>
      <c r="J574" s="4">
        <f>ROUND(J573*(1+G574),8)</f>
        <v/>
      </c>
      <c r="K574" s="4">
        <f>ROUND(K573+H574,8)</f>
        <v/>
      </c>
      <c r="L574" s="4">
        <f>ROUND(0.9*F574+0.05*G574+0.05*H574,8)</f>
        <v/>
      </c>
    </row>
    <row r="575">
      <c r="A575" s="2" t="n">
        <v>44608</v>
      </c>
      <c r="B575" s="8" t="n">
        <v>2471.61</v>
      </c>
      <c r="C575" s="8" t="n">
        <v>123.3326</v>
      </c>
      <c r="D575" s="8" t="n">
        <v>0.35</v>
      </c>
      <c r="E575">
        <f>A575-A574</f>
        <v/>
      </c>
      <c r="F575" s="4">
        <f>ROUND(B575/B574-1,8)</f>
        <v/>
      </c>
      <c r="G575" s="4">
        <f>ROUND(C575/C574-1,8)</f>
        <v/>
      </c>
      <c r="H575" s="4">
        <f>ROUND(D575/100/(DATE(YEAR(A575)+1,1,1)-DATE(YEAR(A575),1,1))*E575,8)</f>
        <v/>
      </c>
      <c r="I575" s="4">
        <f>ROUND(I574*(1+F575),8)</f>
        <v/>
      </c>
      <c r="J575" s="4">
        <f>ROUND(J574*(1+G575),8)</f>
        <v/>
      </c>
      <c r="K575" s="4">
        <f>ROUND(K574+H575,8)</f>
        <v/>
      </c>
      <c r="L575" s="4">
        <f>ROUND(0.9*F575+0.05*G575+0.05*H575,8)</f>
        <v/>
      </c>
    </row>
    <row r="576">
      <c r="A576" s="2" t="n">
        <v>44609</v>
      </c>
      <c r="B576" s="8" t="n">
        <v>2468.67</v>
      </c>
      <c r="C576" s="8" t="n">
        <v>123.3786</v>
      </c>
      <c r="D576" s="8" t="n">
        <v>0.35</v>
      </c>
      <c r="E576">
        <f>A576-A575</f>
        <v/>
      </c>
      <c r="F576" s="4">
        <f>ROUND(B576/B575-1,8)</f>
        <v/>
      </c>
      <c r="G576" s="4">
        <f>ROUND(C576/C575-1,8)</f>
        <v/>
      </c>
      <c r="H576" s="4">
        <f>ROUND(D576/100/(DATE(YEAR(A576)+1,1,1)-DATE(YEAR(A576),1,1))*E576,8)</f>
        <v/>
      </c>
      <c r="I576" s="4">
        <f>ROUND(I575*(1+F576),8)</f>
        <v/>
      </c>
      <c r="J576" s="4">
        <f>ROUND(J575*(1+G576),8)</f>
        <v/>
      </c>
      <c r="K576" s="4">
        <f>ROUND(K575+H576,8)</f>
        <v/>
      </c>
      <c r="L576" s="4">
        <f>ROUND(0.9*F576+0.05*G576+0.05*H576,8)</f>
        <v/>
      </c>
    </row>
    <row r="577">
      <c r="A577" s="2" t="n">
        <v>44610</v>
      </c>
      <c r="B577" s="8" t="n">
        <v>2485.35</v>
      </c>
      <c r="C577" s="8" t="n">
        <v>123.362</v>
      </c>
      <c r="D577" s="8" t="n">
        <v>0.35</v>
      </c>
      <c r="E577">
        <f>A577-A576</f>
        <v/>
      </c>
      <c r="F577" s="4">
        <f>ROUND(B577/B576-1,8)</f>
        <v/>
      </c>
      <c r="G577" s="4">
        <f>ROUND(C577/C576-1,8)</f>
        <v/>
      </c>
      <c r="H577" s="4">
        <f>ROUND(D577/100/(DATE(YEAR(A577)+1,1,1)-DATE(YEAR(A577),1,1))*E577,8)</f>
        <v/>
      </c>
      <c r="I577" s="4">
        <f>ROUND(I576*(1+F577),8)</f>
        <v/>
      </c>
      <c r="J577" s="4">
        <f>ROUND(J576*(1+G577),8)</f>
        <v/>
      </c>
      <c r="K577" s="4">
        <f>ROUND(K576+H577,8)</f>
        <v/>
      </c>
      <c r="L577" s="4">
        <f>ROUND(0.9*F577+0.05*G577+0.05*H577,8)</f>
        <v/>
      </c>
    </row>
    <row r="578">
      <c r="A578" s="2" t="n">
        <v>44613</v>
      </c>
      <c r="B578" s="8" t="n">
        <v>2529.35</v>
      </c>
      <c r="C578" s="8" t="n">
        <v>123.2305</v>
      </c>
      <c r="D578" s="8" t="n">
        <v>0.35</v>
      </c>
      <c r="E578">
        <f>A578-A577</f>
        <v/>
      </c>
      <c r="F578" s="4">
        <f>ROUND(B578/B577-1,8)</f>
        <v/>
      </c>
      <c r="G578" s="4">
        <f>ROUND(C578/C577-1,8)</f>
        <v/>
      </c>
      <c r="H578" s="4">
        <f>ROUND(D578/100/(DATE(YEAR(A578)+1,1,1)-DATE(YEAR(A578),1,1))*E578,8)</f>
        <v/>
      </c>
      <c r="I578" s="4">
        <f>ROUND(I577*(1+F578),8)</f>
        <v/>
      </c>
      <c r="J578" s="4">
        <f>ROUND(J577*(1+G578),8)</f>
        <v/>
      </c>
      <c r="K578" s="4">
        <f>ROUND(K577+H578,8)</f>
        <v/>
      </c>
      <c r="L578" s="4">
        <f>ROUND(0.9*F578+0.05*G578+0.05*H578,8)</f>
        <v/>
      </c>
    </row>
    <row r="579">
      <c r="A579" s="2" t="n">
        <v>44614</v>
      </c>
      <c r="B579" s="8" t="n">
        <v>2504.18</v>
      </c>
      <c r="C579" s="8" t="n">
        <v>123.1301</v>
      </c>
      <c r="D579" s="8" t="n">
        <v>0.35</v>
      </c>
      <c r="E579">
        <f>A579-A578</f>
        <v/>
      </c>
      <c r="F579" s="4">
        <f>ROUND(B579/B578-1,8)</f>
        <v/>
      </c>
      <c r="G579" s="4">
        <f>ROUND(C579/C578-1,8)</f>
        <v/>
      </c>
      <c r="H579" s="4">
        <f>ROUND(D579/100/(DATE(YEAR(A579)+1,1,1)-DATE(YEAR(A579),1,1))*E579,8)</f>
        <v/>
      </c>
      <c r="I579" s="4">
        <f>ROUND(I578*(1+F579),8)</f>
        <v/>
      </c>
      <c r="J579" s="4">
        <f>ROUND(J578*(1+G579),8)</f>
        <v/>
      </c>
      <c r="K579" s="4">
        <f>ROUND(K578+H579,8)</f>
        <v/>
      </c>
      <c r="L579" s="4">
        <f>ROUND(0.9*F579+0.05*G579+0.05*H579,8)</f>
        <v/>
      </c>
    </row>
    <row r="580">
      <c r="A580" s="2" t="n">
        <v>44615</v>
      </c>
      <c r="B580" s="8" t="n">
        <v>2552.47</v>
      </c>
      <c r="C580" s="8" t="n">
        <v>123.1461</v>
      </c>
      <c r="D580" s="8" t="n">
        <v>0.35</v>
      </c>
      <c r="E580">
        <f>A580-A579</f>
        <v/>
      </c>
      <c r="F580" s="4">
        <f>ROUND(B580/B579-1,8)</f>
        <v/>
      </c>
      <c r="G580" s="4">
        <f>ROUND(C580/C579-1,8)</f>
        <v/>
      </c>
      <c r="H580" s="4">
        <f>ROUND(D580/100/(DATE(YEAR(A580)+1,1,1)-DATE(YEAR(A580),1,1))*E580,8)</f>
        <v/>
      </c>
      <c r="I580" s="4">
        <f>ROUND(I579*(1+F580),8)</f>
        <v/>
      </c>
      <c r="J580" s="4">
        <f>ROUND(J579*(1+G580),8)</f>
        <v/>
      </c>
      <c r="K580" s="4">
        <f>ROUND(K579+H580,8)</f>
        <v/>
      </c>
      <c r="L580" s="4">
        <f>ROUND(0.9*F580+0.05*G580+0.05*H580,8)</f>
        <v/>
      </c>
    </row>
    <row r="581">
      <c r="A581" s="2" t="n">
        <v>44616</v>
      </c>
      <c r="B581" s="8" t="n">
        <v>2486.11</v>
      </c>
      <c r="C581" s="8" t="n">
        <v>123.1614</v>
      </c>
      <c r="D581" s="8" t="n">
        <v>0.35</v>
      </c>
      <c r="E581">
        <f>A581-A580</f>
        <v/>
      </c>
      <c r="F581" s="4">
        <f>ROUND(B581/B580-1,8)</f>
        <v/>
      </c>
      <c r="G581" s="4">
        <f>ROUND(C581/C580-1,8)</f>
        <v/>
      </c>
      <c r="H581" s="4">
        <f>ROUND(D581/100/(DATE(YEAR(A581)+1,1,1)-DATE(YEAR(A581),1,1))*E581,8)</f>
        <v/>
      </c>
      <c r="I581" s="4">
        <f>ROUND(I580*(1+F581),8)</f>
        <v/>
      </c>
      <c r="J581" s="4">
        <f>ROUND(J580*(1+G581),8)</f>
        <v/>
      </c>
      <c r="K581" s="4">
        <f>ROUND(K580+H581,8)</f>
        <v/>
      </c>
      <c r="L581" s="4">
        <f>ROUND(0.9*F581+0.05*G581+0.05*H581,8)</f>
        <v/>
      </c>
    </row>
    <row r="582">
      <c r="A582" s="2" t="n">
        <v>44617</v>
      </c>
      <c r="B582" s="8" t="n">
        <v>2513.57</v>
      </c>
      <c r="C582" s="8" t="n">
        <v>123.1597</v>
      </c>
      <c r="D582" s="8" t="n">
        <v>0.35</v>
      </c>
      <c r="E582">
        <f>A582-A581</f>
        <v/>
      </c>
      <c r="F582" s="4">
        <f>ROUND(B582/B581-1,8)</f>
        <v/>
      </c>
      <c r="G582" s="4">
        <f>ROUND(C582/C581-1,8)</f>
        <v/>
      </c>
      <c r="H582" s="4">
        <f>ROUND(D582/100/(DATE(YEAR(A582)+1,1,1)-DATE(YEAR(A582),1,1))*E582,8)</f>
        <v/>
      </c>
      <c r="I582" s="4">
        <f>ROUND(I581*(1+F582),8)</f>
        <v/>
      </c>
      <c r="J582" s="4">
        <f>ROUND(J581*(1+G582),8)</f>
        <v/>
      </c>
      <c r="K582" s="4">
        <f>ROUND(K581+H582,8)</f>
        <v/>
      </c>
      <c r="L582" s="4">
        <f>ROUND(0.9*F582+0.05*G582+0.05*H582,8)</f>
        <v/>
      </c>
    </row>
    <row r="583">
      <c r="A583" s="2" t="n">
        <v>44620</v>
      </c>
      <c r="B583" s="8" t="n">
        <v>2517.85</v>
      </c>
      <c r="C583" s="8" t="n">
        <v>123.1685</v>
      </c>
      <c r="D583" s="8" t="n">
        <v>0.35</v>
      </c>
      <c r="E583">
        <f>A583-A582</f>
        <v/>
      </c>
      <c r="F583" s="4">
        <f>ROUND(B583/B582-1,8)</f>
        <v/>
      </c>
      <c r="G583" s="4">
        <f>ROUND(C583/C582-1,8)</f>
        <v/>
      </c>
      <c r="H583" s="4">
        <f>ROUND(D583/100/(DATE(YEAR(A583)+1,1,1)-DATE(YEAR(A583),1,1))*E583,8)</f>
        <v/>
      </c>
      <c r="I583" s="4">
        <f>ROUND(I582*(1+F583),8)</f>
        <v/>
      </c>
      <c r="J583" s="4">
        <f>ROUND(J582*(1+G583),8)</f>
        <v/>
      </c>
      <c r="K583" s="4">
        <f>ROUND(K582+H583,8)</f>
        <v/>
      </c>
      <c r="L583" s="4">
        <f>ROUND(0.9*F583+0.05*G583+0.05*H583,8)</f>
        <v/>
      </c>
    </row>
    <row r="584">
      <c r="A584" s="2" t="n">
        <v>44621</v>
      </c>
      <c r="B584" s="8" t="n">
        <v>2540.29</v>
      </c>
      <c r="C584" s="8" t="n">
        <v>123.1058</v>
      </c>
      <c r="D584" s="8" t="n">
        <v>0.35</v>
      </c>
      <c r="E584">
        <f>A584-A583</f>
        <v/>
      </c>
      <c r="F584" s="4">
        <f>ROUND(B584/B583-1,8)</f>
        <v/>
      </c>
      <c r="G584" s="4">
        <f>ROUND(C584/C583-1,8)</f>
        <v/>
      </c>
      <c r="H584" s="4">
        <f>ROUND(D584/100/(DATE(YEAR(A584)+1,1,1)-DATE(YEAR(A584),1,1))*E584,8)</f>
        <v/>
      </c>
      <c r="I584" s="4">
        <f>ROUND(I583*(1+F584),8)</f>
        <v/>
      </c>
      <c r="J584" s="4">
        <f>ROUND(J583*(1+G584),8)</f>
        <v/>
      </c>
      <c r="K584" s="4">
        <f>ROUND(K583+H584,8)</f>
        <v/>
      </c>
      <c r="L584" s="4">
        <f>ROUND(0.9*F584+0.05*G584+0.05*H584,8)</f>
        <v/>
      </c>
    </row>
    <row r="585">
      <c r="A585" s="2" t="n">
        <v>44622</v>
      </c>
      <c r="B585" s="8" t="n">
        <v>2556.08</v>
      </c>
      <c r="C585" s="8" t="n">
        <v>123.0277</v>
      </c>
      <c r="D585" s="8" t="n">
        <v>0.35</v>
      </c>
      <c r="E585">
        <f>A585-A584</f>
        <v/>
      </c>
      <c r="F585" s="4">
        <f>ROUND(B585/B584-1,8)</f>
        <v/>
      </c>
      <c r="G585" s="4">
        <f>ROUND(C585/C584-1,8)</f>
        <v/>
      </c>
      <c r="H585" s="4">
        <f>ROUND(D585/100/(DATE(YEAR(A585)+1,1,1)-DATE(YEAR(A585),1,1))*E585,8)</f>
        <v/>
      </c>
      <c r="I585" s="4">
        <f>ROUND(I584*(1+F585),8)</f>
        <v/>
      </c>
      <c r="J585" s="4">
        <f>ROUND(J584*(1+G585),8)</f>
        <v/>
      </c>
      <c r="K585" s="4">
        <f>ROUND(K584+H585,8)</f>
        <v/>
      </c>
      <c r="L585" s="4">
        <f>ROUND(0.9*F585+0.05*G585+0.05*H585,8)</f>
        <v/>
      </c>
    </row>
    <row r="586">
      <c r="A586" s="2" t="n">
        <v>44623</v>
      </c>
      <c r="B586" s="8" t="n">
        <v>2544.77</v>
      </c>
      <c r="C586" s="8" t="n">
        <v>122.9015</v>
      </c>
      <c r="D586" s="8" t="n">
        <v>0.35</v>
      </c>
      <c r="E586">
        <f>A586-A585</f>
        <v/>
      </c>
      <c r="F586" s="4">
        <f>ROUND(B586/B585-1,8)</f>
        <v/>
      </c>
      <c r="G586" s="4">
        <f>ROUND(C586/C585-1,8)</f>
        <v/>
      </c>
      <c r="H586" s="4">
        <f>ROUND(D586/100/(DATE(YEAR(A586)+1,1,1)-DATE(YEAR(A586),1,1))*E586,8)</f>
        <v/>
      </c>
      <c r="I586" s="4">
        <f>ROUND(I585*(1+F586),8)</f>
        <v/>
      </c>
      <c r="J586" s="4">
        <f>ROUND(J585*(1+G586),8)</f>
        <v/>
      </c>
      <c r="K586" s="4">
        <f>ROUND(K585+H586,8)</f>
        <v/>
      </c>
      <c r="L586" s="4">
        <f>ROUND(0.9*F586+0.05*G586+0.05*H586,8)</f>
        <v/>
      </c>
    </row>
    <row r="587">
      <c r="A587" s="2" t="n">
        <v>44624</v>
      </c>
      <c r="B587" s="8" t="n">
        <v>2508.66</v>
      </c>
      <c r="C587" s="8" t="n">
        <v>122.8899</v>
      </c>
      <c r="D587" s="8" t="n">
        <v>0.35</v>
      </c>
      <c r="E587">
        <f>A587-A586</f>
        <v/>
      </c>
      <c r="F587" s="4">
        <f>ROUND(B587/B586-1,8)</f>
        <v/>
      </c>
      <c r="G587" s="4">
        <f>ROUND(C587/C586-1,8)</f>
        <v/>
      </c>
      <c r="H587" s="4">
        <f>ROUND(D587/100/(DATE(YEAR(A587)+1,1,1)-DATE(YEAR(A587),1,1))*E587,8)</f>
        <v/>
      </c>
      <c r="I587" s="4">
        <f>ROUND(I586*(1+F587),8)</f>
        <v/>
      </c>
      <c r="J587" s="4">
        <f>ROUND(J586*(1+G587),8)</f>
        <v/>
      </c>
      <c r="K587" s="4">
        <f>ROUND(K586+H587,8)</f>
        <v/>
      </c>
      <c r="L587" s="4">
        <f>ROUND(0.9*F587+0.05*G587+0.05*H587,8)</f>
        <v/>
      </c>
    </row>
    <row r="588">
      <c r="A588" s="2" t="n">
        <v>44627</v>
      </c>
      <c r="B588" s="8" t="n">
        <v>2475.19</v>
      </c>
      <c r="C588" s="8" t="n">
        <v>122.9125</v>
      </c>
      <c r="D588" s="8" t="n">
        <v>0.35</v>
      </c>
      <c r="E588">
        <f>A588-A587</f>
        <v/>
      </c>
      <c r="F588" s="4">
        <f>ROUND(B588/B587-1,8)</f>
        <v/>
      </c>
      <c r="G588" s="4">
        <f>ROUND(C588/C587-1,8)</f>
        <v/>
      </c>
      <c r="H588" s="4">
        <f>ROUND(D588/100/(DATE(YEAR(A588)+1,1,1)-DATE(YEAR(A588),1,1))*E588,8)</f>
        <v/>
      </c>
      <c r="I588" s="4">
        <f>ROUND(I587*(1+F588),8)</f>
        <v/>
      </c>
      <c r="J588" s="4">
        <f>ROUND(J587*(1+G588),8)</f>
        <v/>
      </c>
      <c r="K588" s="4">
        <f>ROUND(K587+H588,8)</f>
        <v/>
      </c>
      <c r="L588" s="4">
        <f>ROUND(0.9*F588+0.05*G588+0.05*H588,8)</f>
        <v/>
      </c>
    </row>
    <row r="589">
      <c r="A589" s="2" t="n">
        <v>44628</v>
      </c>
      <c r="B589" s="8" t="n">
        <v>2391.85</v>
      </c>
      <c r="C589" s="8" t="n">
        <v>122.9297</v>
      </c>
      <c r="D589" s="8" t="n">
        <v>0.35</v>
      </c>
      <c r="E589">
        <f>A589-A588</f>
        <v/>
      </c>
      <c r="F589" s="4">
        <f>ROUND(B589/B588-1,8)</f>
        <v/>
      </c>
      <c r="G589" s="4">
        <f>ROUND(C589/C588-1,8)</f>
        <v/>
      </c>
      <c r="H589" s="4">
        <f>ROUND(D589/100/(DATE(YEAR(A589)+1,1,1)-DATE(YEAR(A589),1,1))*E589,8)</f>
        <v/>
      </c>
      <c r="I589" s="4">
        <f>ROUND(I588*(1+F589),8)</f>
        <v/>
      </c>
      <c r="J589" s="4">
        <f>ROUND(J588*(1+G589),8)</f>
        <v/>
      </c>
      <c r="K589" s="4">
        <f>ROUND(K588+H589,8)</f>
        <v/>
      </c>
      <c r="L589" s="4">
        <f>ROUND(0.9*F589+0.05*G589+0.05*H589,8)</f>
        <v/>
      </c>
    </row>
    <row r="590">
      <c r="A590" s="2" t="n">
        <v>44629</v>
      </c>
      <c r="B590" s="8" t="n">
        <v>2366.5</v>
      </c>
      <c r="C590" s="8" t="n">
        <v>122.8538</v>
      </c>
      <c r="D590" s="8" t="n">
        <v>0.35</v>
      </c>
      <c r="E590">
        <f>A590-A589</f>
        <v/>
      </c>
      <c r="F590" s="4">
        <f>ROUND(B590/B589-1,8)</f>
        <v/>
      </c>
      <c r="G590" s="4">
        <f>ROUND(C590/C589-1,8)</f>
        <v/>
      </c>
      <c r="H590" s="4">
        <f>ROUND(D590/100/(DATE(YEAR(A590)+1,1,1)-DATE(YEAR(A590),1,1))*E590,8)</f>
        <v/>
      </c>
      <c r="I590" s="4">
        <f>ROUND(I589*(1+F590),8)</f>
        <v/>
      </c>
      <c r="J590" s="4">
        <f>ROUND(J589*(1+G590),8)</f>
        <v/>
      </c>
      <c r="K590" s="4">
        <f>ROUND(K589+H590,8)</f>
        <v/>
      </c>
      <c r="L590" s="4">
        <f>ROUND(0.9*F590+0.05*G590+0.05*H590,8)</f>
        <v/>
      </c>
    </row>
    <row r="591">
      <c r="A591" s="2" t="n">
        <v>44630</v>
      </c>
      <c r="B591" s="8" t="n">
        <v>2412.38</v>
      </c>
      <c r="C591" s="8" t="n">
        <v>122.8117</v>
      </c>
      <c r="D591" s="8" t="n">
        <v>0.35</v>
      </c>
      <c r="E591">
        <f>A591-A590</f>
        <v/>
      </c>
      <c r="F591" s="4">
        <f>ROUND(B591/B590-1,8)</f>
        <v/>
      </c>
      <c r="G591" s="4">
        <f>ROUND(C591/C590-1,8)</f>
        <v/>
      </c>
      <c r="H591" s="4">
        <f>ROUND(D591/100/(DATE(YEAR(A591)+1,1,1)-DATE(YEAR(A591),1,1))*E591,8)</f>
        <v/>
      </c>
      <c r="I591" s="4">
        <f>ROUND(I590*(1+F591),8)</f>
        <v/>
      </c>
      <c r="J591" s="4">
        <f>ROUND(J590*(1+G591),8)</f>
        <v/>
      </c>
      <c r="K591" s="4">
        <f>ROUND(K590+H591,8)</f>
        <v/>
      </c>
      <c r="L591" s="4">
        <f>ROUND(0.9*F591+0.05*G591+0.05*H591,8)</f>
        <v/>
      </c>
    </row>
    <row r="592">
      <c r="A592" s="2" t="n">
        <v>44631</v>
      </c>
      <c r="B592" s="8" t="n">
        <v>2428.58</v>
      </c>
      <c r="C592" s="8" t="n">
        <v>122.8884</v>
      </c>
      <c r="D592" s="8" t="n">
        <v>0.35</v>
      </c>
      <c r="E592">
        <f>A592-A591</f>
        <v/>
      </c>
      <c r="F592" s="4">
        <f>ROUND(B592/B591-1,8)</f>
        <v/>
      </c>
      <c r="G592" s="4">
        <f>ROUND(C592/C591-1,8)</f>
        <v/>
      </c>
      <c r="H592" s="4">
        <f>ROUND(D592/100/(DATE(YEAR(A592)+1,1,1)-DATE(YEAR(A592),1,1))*E592,8)</f>
        <v/>
      </c>
      <c r="I592" s="4">
        <f>ROUND(I591*(1+F592),8)</f>
        <v/>
      </c>
      <c r="J592" s="4">
        <f>ROUND(J591*(1+G592),8)</f>
        <v/>
      </c>
      <c r="K592" s="4">
        <f>ROUND(K591+H592,8)</f>
        <v/>
      </c>
      <c r="L592" s="4">
        <f>ROUND(0.9*F592+0.05*G592+0.05*H592,8)</f>
        <v/>
      </c>
    </row>
    <row r="593">
      <c r="A593" s="2" t="n">
        <v>44634</v>
      </c>
      <c r="B593" s="8" t="n">
        <v>2359.57</v>
      </c>
      <c r="C593" s="8" t="n">
        <v>123.0577</v>
      </c>
      <c r="D593" s="8" t="n">
        <v>0.35</v>
      </c>
      <c r="E593">
        <f>A593-A592</f>
        <v/>
      </c>
      <c r="F593" s="4">
        <f>ROUND(B593/B592-1,8)</f>
        <v/>
      </c>
      <c r="G593" s="4">
        <f>ROUND(C593/C592-1,8)</f>
        <v/>
      </c>
      <c r="H593" s="4">
        <f>ROUND(D593/100/(DATE(YEAR(A593)+1,1,1)-DATE(YEAR(A593),1,1))*E593,8)</f>
        <v/>
      </c>
      <c r="I593" s="4">
        <f>ROUND(I592*(1+F593),8)</f>
        <v/>
      </c>
      <c r="J593" s="4">
        <f>ROUND(J592*(1+G593),8)</f>
        <v/>
      </c>
      <c r="K593" s="4">
        <f>ROUND(K592+H593,8)</f>
        <v/>
      </c>
      <c r="L593" s="4">
        <f>ROUND(0.9*F593+0.05*G593+0.05*H593,8)</f>
        <v/>
      </c>
    </row>
    <row r="594">
      <c r="A594" s="2" t="n">
        <v>44635</v>
      </c>
      <c r="B594" s="8" t="n">
        <v>2245.15</v>
      </c>
      <c r="C594" s="8" t="n">
        <v>122.893</v>
      </c>
      <c r="D594" s="8" t="n">
        <v>0.35</v>
      </c>
      <c r="E594">
        <f>A594-A593</f>
        <v/>
      </c>
      <c r="F594" s="4">
        <f>ROUND(B594/B593-1,8)</f>
        <v/>
      </c>
      <c r="G594" s="4">
        <f>ROUND(C594/C593-1,8)</f>
        <v/>
      </c>
      <c r="H594" s="4">
        <f>ROUND(D594/100/(DATE(YEAR(A594)+1,1,1)-DATE(YEAR(A594),1,1))*E594,8)</f>
        <v/>
      </c>
      <c r="I594" s="4">
        <f>ROUND(I593*(1+F594),8)</f>
        <v/>
      </c>
      <c r="J594" s="4">
        <f>ROUND(J593*(1+G594),8)</f>
        <v/>
      </c>
      <c r="K594" s="4">
        <f>ROUND(K593+H594,8)</f>
        <v/>
      </c>
      <c r="L594" s="4">
        <f>ROUND(0.9*F594+0.05*G594+0.05*H594,8)</f>
        <v/>
      </c>
    </row>
    <row r="595">
      <c r="A595" s="2" t="n">
        <v>44636</v>
      </c>
      <c r="B595" s="8" t="n">
        <v>2319.59</v>
      </c>
      <c r="C595" s="8" t="n">
        <v>122.835</v>
      </c>
      <c r="D595" s="8" t="n">
        <v>0.35</v>
      </c>
      <c r="E595">
        <f>A595-A594</f>
        <v/>
      </c>
      <c r="F595" s="4">
        <f>ROUND(B595/B594-1,8)</f>
        <v/>
      </c>
      <c r="G595" s="4">
        <f>ROUND(C595/C594-1,8)</f>
        <v/>
      </c>
      <c r="H595" s="4">
        <f>ROUND(D595/100/(DATE(YEAR(A595)+1,1,1)-DATE(YEAR(A595),1,1))*E595,8)</f>
        <v/>
      </c>
      <c r="I595" s="4">
        <f>ROUND(I594*(1+F595),8)</f>
        <v/>
      </c>
      <c r="J595" s="4">
        <f>ROUND(J594*(1+G595),8)</f>
        <v/>
      </c>
      <c r="K595" s="4">
        <f>ROUND(K594+H595,8)</f>
        <v/>
      </c>
      <c r="L595" s="4">
        <f>ROUND(0.9*F595+0.05*G595+0.05*H595,8)</f>
        <v/>
      </c>
    </row>
    <row r="596">
      <c r="A596" s="2" t="n">
        <v>44637</v>
      </c>
      <c r="B596" s="8" t="n">
        <v>2361.48</v>
      </c>
      <c r="C596" s="8" t="n">
        <v>122.8255</v>
      </c>
      <c r="D596" s="8" t="n">
        <v>0.35</v>
      </c>
      <c r="E596">
        <f>A596-A595</f>
        <v/>
      </c>
      <c r="F596" s="4">
        <f>ROUND(B596/B595-1,8)</f>
        <v/>
      </c>
      <c r="G596" s="4">
        <f>ROUND(C596/C595-1,8)</f>
        <v/>
      </c>
      <c r="H596" s="4">
        <f>ROUND(D596/100/(DATE(YEAR(A596)+1,1,1)-DATE(YEAR(A596),1,1))*E596,8)</f>
        <v/>
      </c>
      <c r="I596" s="4">
        <f>ROUND(I595*(1+F596),8)</f>
        <v/>
      </c>
      <c r="J596" s="4">
        <f>ROUND(J595*(1+G596),8)</f>
        <v/>
      </c>
      <c r="K596" s="4">
        <f>ROUND(K595+H596,8)</f>
        <v/>
      </c>
      <c r="L596" s="4">
        <f>ROUND(0.9*F596+0.05*G596+0.05*H596,8)</f>
        <v/>
      </c>
    </row>
    <row r="597">
      <c r="A597" s="2" t="n">
        <v>44638</v>
      </c>
      <c r="B597" s="8" t="n">
        <v>2388.51</v>
      </c>
      <c r="C597" s="8" t="n">
        <v>122.8623</v>
      </c>
      <c r="D597" s="8" t="n">
        <v>0.35</v>
      </c>
      <c r="E597">
        <f>A597-A596</f>
        <v/>
      </c>
      <c r="F597" s="4">
        <f>ROUND(B597/B596-1,8)</f>
        <v/>
      </c>
      <c r="G597" s="4">
        <f>ROUND(C597/C596-1,8)</f>
        <v/>
      </c>
      <c r="H597" s="4">
        <f>ROUND(D597/100/(DATE(YEAR(A597)+1,1,1)-DATE(YEAR(A597),1,1))*E597,8)</f>
        <v/>
      </c>
      <c r="I597" s="4">
        <f>ROUND(I596*(1+F597),8)</f>
        <v/>
      </c>
      <c r="J597" s="4">
        <f>ROUND(J596*(1+G597),8)</f>
        <v/>
      </c>
      <c r="K597" s="4">
        <f>ROUND(K596+H597,8)</f>
        <v/>
      </c>
      <c r="L597" s="4">
        <f>ROUND(0.9*F597+0.05*G597+0.05*H597,8)</f>
        <v/>
      </c>
    </row>
    <row r="598">
      <c r="A598" s="2" t="n">
        <v>44641</v>
      </c>
      <c r="B598" s="8" t="n">
        <v>2429.04</v>
      </c>
      <c r="C598" s="8" t="n">
        <v>122.8475</v>
      </c>
      <c r="D598" s="8" t="n">
        <v>0.35</v>
      </c>
      <c r="E598">
        <f>A598-A597</f>
        <v/>
      </c>
      <c r="F598" s="4">
        <f>ROUND(B598/B597-1,8)</f>
        <v/>
      </c>
      <c r="G598" s="4">
        <f>ROUND(C598/C597-1,8)</f>
        <v/>
      </c>
      <c r="H598" s="4">
        <f>ROUND(D598/100/(DATE(YEAR(A598)+1,1,1)-DATE(YEAR(A598),1,1))*E598,8)</f>
        <v/>
      </c>
      <c r="I598" s="4">
        <f>ROUND(I597*(1+F598),8)</f>
        <v/>
      </c>
      <c r="J598" s="4">
        <f>ROUND(J597*(1+G598),8)</f>
        <v/>
      </c>
      <c r="K598" s="4">
        <f>ROUND(K597+H598,8)</f>
        <v/>
      </c>
      <c r="L598" s="4">
        <f>ROUND(0.9*F598+0.05*G598+0.05*H598,8)</f>
        <v/>
      </c>
    </row>
    <row r="599">
      <c r="A599" s="2" t="n">
        <v>44642</v>
      </c>
      <c r="B599" s="8" t="n">
        <v>2422.9</v>
      </c>
      <c r="C599" s="8" t="n">
        <v>122.7748</v>
      </c>
      <c r="D599" s="8" t="n">
        <v>0.35</v>
      </c>
      <c r="E599">
        <f>A599-A598</f>
        <v/>
      </c>
      <c r="F599" s="4">
        <f>ROUND(B599/B598-1,8)</f>
        <v/>
      </c>
      <c r="G599" s="4">
        <f>ROUND(C599/C598-1,8)</f>
        <v/>
      </c>
      <c r="H599" s="4">
        <f>ROUND(D599/100/(DATE(YEAR(A599)+1,1,1)-DATE(YEAR(A599),1,1))*E599,8)</f>
        <v/>
      </c>
      <c r="I599" s="4">
        <f>ROUND(I598*(1+F599),8)</f>
        <v/>
      </c>
      <c r="J599" s="4">
        <f>ROUND(J598*(1+G599),8)</f>
        <v/>
      </c>
      <c r="K599" s="4">
        <f>ROUND(K598+H599,8)</f>
        <v/>
      </c>
      <c r="L599" s="4">
        <f>ROUND(0.9*F599+0.05*G599+0.05*H599,8)</f>
        <v/>
      </c>
    </row>
    <row r="600">
      <c r="A600" s="2" t="n">
        <v>44643</v>
      </c>
      <c r="B600" s="8" t="n">
        <v>2430.67</v>
      </c>
      <c r="C600" s="8" t="n">
        <v>122.7678</v>
      </c>
      <c r="D600" s="8" t="n">
        <v>0.35</v>
      </c>
      <c r="E600">
        <f>A600-A599</f>
        <v/>
      </c>
      <c r="F600" s="4">
        <f>ROUND(B600/B599-1,8)</f>
        <v/>
      </c>
      <c r="G600" s="4">
        <f>ROUND(C600/C599-1,8)</f>
        <v/>
      </c>
      <c r="H600" s="4">
        <f>ROUND(D600/100/(DATE(YEAR(A600)+1,1,1)-DATE(YEAR(A600),1,1))*E600,8)</f>
        <v/>
      </c>
      <c r="I600" s="4">
        <f>ROUND(I599*(1+F600),8)</f>
        <v/>
      </c>
      <c r="J600" s="4">
        <f>ROUND(J599*(1+G600),8)</f>
        <v/>
      </c>
      <c r="K600" s="4">
        <f>ROUND(K599+H600,8)</f>
        <v/>
      </c>
      <c r="L600" s="4">
        <f>ROUND(0.9*F600+0.05*G600+0.05*H600,8)</f>
        <v/>
      </c>
    </row>
    <row r="601">
      <c r="A601" s="2" t="n">
        <v>44644</v>
      </c>
      <c r="B601" s="8" t="n">
        <v>2400.77</v>
      </c>
      <c r="C601" s="8" t="n">
        <v>122.7793</v>
      </c>
      <c r="D601" s="8" t="n">
        <v>0.35</v>
      </c>
      <c r="E601">
        <f>A601-A600</f>
        <v/>
      </c>
      <c r="F601" s="4">
        <f>ROUND(B601/B600-1,8)</f>
        <v/>
      </c>
      <c r="G601" s="4">
        <f>ROUND(C601/C600-1,8)</f>
        <v/>
      </c>
      <c r="H601" s="4">
        <f>ROUND(D601/100/(DATE(YEAR(A601)+1,1,1)-DATE(YEAR(A601),1,1))*E601,8)</f>
        <v/>
      </c>
      <c r="I601" s="4">
        <f>ROUND(I600*(1+F601),8)</f>
        <v/>
      </c>
      <c r="J601" s="4">
        <f>ROUND(J600*(1+G601),8)</f>
        <v/>
      </c>
      <c r="K601" s="4">
        <f>ROUND(K600+H601,8)</f>
        <v/>
      </c>
      <c r="L601" s="4">
        <f>ROUND(0.9*F601+0.05*G601+0.05*H601,8)</f>
        <v/>
      </c>
    </row>
    <row r="602">
      <c r="A602" s="2" t="n">
        <v>44645</v>
      </c>
      <c r="B602" s="8" t="n">
        <v>2391.5</v>
      </c>
      <c r="C602" s="8" t="n">
        <v>122.8068</v>
      </c>
      <c r="D602" s="8" t="n">
        <v>0.35</v>
      </c>
      <c r="E602">
        <f>A602-A601</f>
        <v/>
      </c>
      <c r="F602" s="4">
        <f>ROUND(B602/B601-1,8)</f>
        <v/>
      </c>
      <c r="G602" s="4">
        <f>ROUND(C602/C601-1,8)</f>
        <v/>
      </c>
      <c r="H602" s="4">
        <f>ROUND(D602/100/(DATE(YEAR(A602)+1,1,1)-DATE(YEAR(A602),1,1))*E602,8)</f>
        <v/>
      </c>
      <c r="I602" s="4">
        <f>ROUND(I601*(1+F602),8)</f>
        <v/>
      </c>
      <c r="J602" s="4">
        <f>ROUND(J601*(1+G602),8)</f>
        <v/>
      </c>
      <c r="K602" s="4">
        <f>ROUND(K601+H602,8)</f>
        <v/>
      </c>
      <c r="L602" s="4">
        <f>ROUND(0.9*F602+0.05*G602+0.05*H602,8)</f>
        <v/>
      </c>
    </row>
    <row r="603">
      <c r="A603" s="2" t="n">
        <v>44648</v>
      </c>
      <c r="B603" s="8" t="n">
        <v>2379.82</v>
      </c>
      <c r="C603" s="8" t="n">
        <v>122.8368</v>
      </c>
      <c r="D603" s="8" t="n">
        <v>0.35</v>
      </c>
      <c r="E603">
        <f>A603-A602</f>
        <v/>
      </c>
      <c r="F603" s="4">
        <f>ROUND(B603/B602-1,8)</f>
        <v/>
      </c>
      <c r="G603" s="4">
        <f>ROUND(C603/C602-1,8)</f>
        <v/>
      </c>
      <c r="H603" s="4">
        <f>ROUND(D603/100/(DATE(YEAR(A603)+1,1,1)-DATE(YEAR(A603),1,1))*E603,8)</f>
        <v/>
      </c>
      <c r="I603" s="4">
        <f>ROUND(I602*(1+F603),8)</f>
        <v/>
      </c>
      <c r="J603" s="4">
        <f>ROUND(J602*(1+G603),8)</f>
        <v/>
      </c>
      <c r="K603" s="4">
        <f>ROUND(K602+H603,8)</f>
        <v/>
      </c>
      <c r="L603" s="4">
        <f>ROUND(0.9*F603+0.05*G603+0.05*H603,8)</f>
        <v/>
      </c>
    </row>
    <row r="604">
      <c r="A604" s="2" t="n">
        <v>44649</v>
      </c>
      <c r="B604" s="8" t="n">
        <v>2360.05</v>
      </c>
      <c r="C604" s="8" t="n">
        <v>122.8336</v>
      </c>
      <c r="D604" s="8" t="n">
        <v>0.35</v>
      </c>
      <c r="E604">
        <f>A604-A603</f>
        <v/>
      </c>
      <c r="F604" s="4">
        <f>ROUND(B604/B603-1,8)</f>
        <v/>
      </c>
      <c r="G604" s="4">
        <f>ROUND(C604/C603-1,8)</f>
        <v/>
      </c>
      <c r="H604" s="4">
        <f>ROUND(D604/100/(DATE(YEAR(A604)+1,1,1)-DATE(YEAR(A604),1,1))*E604,8)</f>
        <v/>
      </c>
      <c r="I604" s="4">
        <f>ROUND(I603*(1+F604),8)</f>
        <v/>
      </c>
      <c r="J604" s="4">
        <f>ROUND(J603*(1+G604),8)</f>
        <v/>
      </c>
      <c r="K604" s="4">
        <f>ROUND(K603+H604,8)</f>
        <v/>
      </c>
      <c r="L604" s="4">
        <f>ROUND(0.9*F604+0.05*G604+0.05*H604,8)</f>
        <v/>
      </c>
    </row>
    <row r="605">
      <c r="A605" s="2" t="n">
        <v>44650</v>
      </c>
      <c r="B605" s="8" t="n">
        <v>2396.13</v>
      </c>
      <c r="C605" s="8" t="n">
        <v>122.8982</v>
      </c>
      <c r="D605" s="8" t="n">
        <v>0.35</v>
      </c>
      <c r="E605">
        <f>A605-A604</f>
        <v/>
      </c>
      <c r="F605" s="4">
        <f>ROUND(B605/B604-1,8)</f>
        <v/>
      </c>
      <c r="G605" s="4">
        <f>ROUND(C605/C604-1,8)</f>
        <v/>
      </c>
      <c r="H605" s="4">
        <f>ROUND(D605/100/(DATE(YEAR(A605)+1,1,1)-DATE(YEAR(A605),1,1))*E605,8)</f>
        <v/>
      </c>
      <c r="I605" s="4">
        <f>ROUND(I604*(1+F605),8)</f>
        <v/>
      </c>
      <c r="J605" s="4">
        <f>ROUND(J604*(1+G605),8)</f>
        <v/>
      </c>
      <c r="K605" s="4">
        <f>ROUND(K604+H605,8)</f>
        <v/>
      </c>
      <c r="L605" s="4">
        <f>ROUND(0.9*F605+0.05*G605+0.05*H605,8)</f>
        <v/>
      </c>
    </row>
    <row r="606">
      <c r="A606" s="2" t="n">
        <v>44651</v>
      </c>
      <c r="B606" s="8" t="n">
        <v>2391.28</v>
      </c>
      <c r="C606" s="8" t="n">
        <v>122.9165</v>
      </c>
      <c r="D606" s="8" t="n">
        <v>0.35</v>
      </c>
      <c r="E606">
        <f>A606-A605</f>
        <v/>
      </c>
      <c r="F606" s="4">
        <f>ROUND(B606/B605-1,8)</f>
        <v/>
      </c>
      <c r="G606" s="4">
        <f>ROUND(C606/C605-1,8)</f>
        <v/>
      </c>
      <c r="H606" s="4">
        <f>ROUND(D606/100/(DATE(YEAR(A606)+1,1,1)-DATE(YEAR(A606),1,1))*E606,8)</f>
        <v/>
      </c>
      <c r="I606" s="4">
        <f>ROUND(I605*(1+F606),8)</f>
        <v/>
      </c>
      <c r="J606" s="4">
        <f>ROUND(J605*(1+G606),8)</f>
        <v/>
      </c>
      <c r="K606" s="4">
        <f>ROUND(K605+H606,8)</f>
        <v/>
      </c>
      <c r="L606" s="4">
        <f>ROUND(0.9*F606+0.05*G606+0.05*H606,8)</f>
        <v/>
      </c>
    </row>
    <row r="607">
      <c r="A607" s="2" t="n">
        <v>44652</v>
      </c>
      <c r="B607" s="8" t="n">
        <v>2376.23</v>
      </c>
      <c r="C607" s="8" t="n">
        <v>122.9756</v>
      </c>
      <c r="D607" s="8" t="n">
        <v>0.35</v>
      </c>
      <c r="E607">
        <f>A607-A606</f>
        <v/>
      </c>
      <c r="F607" s="4">
        <f>ROUND(B607/B606-1,8)</f>
        <v/>
      </c>
      <c r="G607" s="4">
        <f>ROUND(C607/C606-1,8)</f>
        <v/>
      </c>
      <c r="H607" s="4">
        <f>ROUND(D607/100/(DATE(YEAR(A607)+1,1,1)-DATE(YEAR(A607),1,1))*E607,8)</f>
        <v/>
      </c>
      <c r="I607" s="4">
        <f>ROUND(I606*(1+F607),8)</f>
        <v/>
      </c>
      <c r="J607" s="4">
        <f>ROUND(J606*(1+G607),8)</f>
        <v/>
      </c>
      <c r="K607" s="4">
        <f>ROUND(K606+H607,8)</f>
        <v/>
      </c>
      <c r="L607" s="4">
        <f>ROUND(0.9*F607+0.05*G607+0.05*H607,8)</f>
        <v/>
      </c>
    </row>
    <row r="608">
      <c r="A608" s="2" t="n">
        <v>44657</v>
      </c>
      <c r="B608" s="8" t="n">
        <v>2399.47</v>
      </c>
      <c r="C608" s="8" t="n">
        <v>123.0999</v>
      </c>
      <c r="D608" s="8" t="n">
        <v>0.35</v>
      </c>
      <c r="E608">
        <f>A608-A607</f>
        <v/>
      </c>
      <c r="F608" s="4">
        <f>ROUND(B608/B607-1,8)</f>
        <v/>
      </c>
      <c r="G608" s="4">
        <f>ROUND(C608/C607-1,8)</f>
        <v/>
      </c>
      <c r="H608" s="4">
        <f>ROUND(D608/100/(DATE(YEAR(A608)+1,1,1)-DATE(YEAR(A608),1,1))*E608,8)</f>
        <v/>
      </c>
      <c r="I608" s="4">
        <f>ROUND(I607*(1+F608),8)</f>
        <v/>
      </c>
      <c r="J608" s="4">
        <f>ROUND(J607*(1+G608),8)</f>
        <v/>
      </c>
      <c r="K608" s="4">
        <f>ROUND(K607+H608,8)</f>
        <v/>
      </c>
      <c r="L608" s="4">
        <f>ROUND(0.9*F608+0.05*G608+0.05*H608,8)</f>
        <v/>
      </c>
    </row>
    <row r="609">
      <c r="A609" s="2" t="n">
        <v>44658</v>
      </c>
      <c r="B609" s="8" t="n">
        <v>2332.82</v>
      </c>
      <c r="C609" s="8" t="n">
        <v>123.1896</v>
      </c>
      <c r="D609" s="8" t="n">
        <v>0.35</v>
      </c>
      <c r="E609">
        <f>A609-A608</f>
        <v/>
      </c>
      <c r="F609" s="4">
        <f>ROUND(B609/B608-1,8)</f>
        <v/>
      </c>
      <c r="G609" s="4">
        <f>ROUND(C609/C608-1,8)</f>
        <v/>
      </c>
      <c r="H609" s="4">
        <f>ROUND(D609/100/(DATE(YEAR(A609)+1,1,1)-DATE(YEAR(A609),1,1))*E609,8)</f>
        <v/>
      </c>
      <c r="I609" s="4">
        <f>ROUND(I608*(1+F609),8)</f>
        <v/>
      </c>
      <c r="J609" s="4">
        <f>ROUND(J608*(1+G609),8)</f>
        <v/>
      </c>
      <c r="K609" s="4">
        <f>ROUND(K608+H609,8)</f>
        <v/>
      </c>
      <c r="L609" s="4">
        <f>ROUND(0.9*F609+0.05*G609+0.05*H609,8)</f>
        <v/>
      </c>
    </row>
    <row r="610">
      <c r="A610" s="2" t="n">
        <v>44659</v>
      </c>
      <c r="B610" s="8" t="n">
        <v>2312.14</v>
      </c>
      <c r="C610" s="8" t="n">
        <v>123.2104</v>
      </c>
      <c r="D610" s="8" t="n">
        <v>0.35</v>
      </c>
      <c r="E610">
        <f>A610-A609</f>
        <v/>
      </c>
      <c r="F610" s="4">
        <f>ROUND(B610/B609-1,8)</f>
        <v/>
      </c>
      <c r="G610" s="4">
        <f>ROUND(C610/C609-1,8)</f>
        <v/>
      </c>
      <c r="H610" s="4">
        <f>ROUND(D610/100/(DATE(YEAR(A610)+1,1,1)-DATE(YEAR(A610),1,1))*E610,8)</f>
        <v/>
      </c>
      <c r="I610" s="4">
        <f>ROUND(I609*(1+F610),8)</f>
        <v/>
      </c>
      <c r="J610" s="4">
        <f>ROUND(J609*(1+G610),8)</f>
        <v/>
      </c>
      <c r="K610" s="4">
        <f>ROUND(K609+H610,8)</f>
        <v/>
      </c>
      <c r="L610" s="4">
        <f>ROUND(0.9*F610+0.05*G610+0.05*H610,8)</f>
        <v/>
      </c>
    </row>
    <row r="611">
      <c r="A611" s="2" t="n">
        <v>44662</v>
      </c>
      <c r="B611" s="8" t="n">
        <v>2245.48</v>
      </c>
      <c r="C611" s="8" t="n">
        <v>123.1616</v>
      </c>
      <c r="D611" s="8" t="n">
        <v>0.35</v>
      </c>
      <c r="E611">
        <f>A611-A610</f>
        <v/>
      </c>
      <c r="F611" s="4">
        <f>ROUND(B611/B610-1,8)</f>
        <v/>
      </c>
      <c r="G611" s="4">
        <f>ROUND(C611/C610-1,8)</f>
        <v/>
      </c>
      <c r="H611" s="4">
        <f>ROUND(D611/100/(DATE(YEAR(A611)+1,1,1)-DATE(YEAR(A611),1,1))*E611,8)</f>
        <v/>
      </c>
      <c r="I611" s="4">
        <f>ROUND(I610*(1+F611),8)</f>
        <v/>
      </c>
      <c r="J611" s="4">
        <f>ROUND(J610*(1+G611),8)</f>
        <v/>
      </c>
      <c r="K611" s="4">
        <f>ROUND(K610+H611,8)</f>
        <v/>
      </c>
      <c r="L611" s="4">
        <f>ROUND(0.9*F611+0.05*G611+0.05*H611,8)</f>
        <v/>
      </c>
    </row>
    <row r="612">
      <c r="A612" s="2" t="n">
        <v>44663</v>
      </c>
      <c r="B612" s="8" t="n">
        <v>2281.52</v>
      </c>
      <c r="C612" s="8" t="n">
        <v>123.1559</v>
      </c>
      <c r="D612" s="8" t="n">
        <v>0.35</v>
      </c>
      <c r="E612">
        <f>A612-A611</f>
        <v/>
      </c>
      <c r="F612" s="4">
        <f>ROUND(B612/B611-1,8)</f>
        <v/>
      </c>
      <c r="G612" s="4">
        <f>ROUND(C612/C611-1,8)</f>
        <v/>
      </c>
      <c r="H612" s="4">
        <f>ROUND(D612/100/(DATE(YEAR(A612)+1,1,1)-DATE(YEAR(A612),1,1))*E612,8)</f>
        <v/>
      </c>
      <c r="I612" s="4">
        <f>ROUND(I611*(1+F612),8)</f>
        <v/>
      </c>
      <c r="J612" s="4">
        <f>ROUND(J611*(1+G612),8)</f>
        <v/>
      </c>
      <c r="K612" s="4">
        <f>ROUND(K611+H612,8)</f>
        <v/>
      </c>
      <c r="L612" s="4">
        <f>ROUND(0.9*F612+0.05*G612+0.05*H612,8)</f>
        <v/>
      </c>
    </row>
    <row r="613">
      <c r="A613" s="2" t="n">
        <v>44664</v>
      </c>
      <c r="B613" s="8" t="n">
        <v>2232.15</v>
      </c>
      <c r="C613" s="8" t="n">
        <v>123.1797</v>
      </c>
      <c r="D613" s="8" t="n">
        <v>0.35</v>
      </c>
      <c r="E613">
        <f>A613-A612</f>
        <v/>
      </c>
      <c r="F613" s="4">
        <f>ROUND(B613/B612-1,8)</f>
        <v/>
      </c>
      <c r="G613" s="4">
        <f>ROUND(C613/C612-1,8)</f>
        <v/>
      </c>
      <c r="H613" s="4">
        <f>ROUND(D613/100/(DATE(YEAR(A613)+1,1,1)-DATE(YEAR(A613),1,1))*E613,8)</f>
        <v/>
      </c>
      <c r="I613" s="4">
        <f>ROUND(I612*(1+F613),8)</f>
        <v/>
      </c>
      <c r="J613" s="4">
        <f>ROUND(J612*(1+G613),8)</f>
        <v/>
      </c>
      <c r="K613" s="4">
        <f>ROUND(K612+H613,8)</f>
        <v/>
      </c>
      <c r="L613" s="4">
        <f>ROUND(0.9*F613+0.05*G613+0.05*H613,8)</f>
        <v/>
      </c>
    </row>
    <row r="614">
      <c r="A614" s="2" t="n">
        <v>44665</v>
      </c>
      <c r="B614" s="8" t="n">
        <v>2252.78</v>
      </c>
      <c r="C614" s="8" t="n">
        <v>123.2467</v>
      </c>
      <c r="D614" s="8" t="n">
        <v>0.35</v>
      </c>
      <c r="E614">
        <f>A614-A613</f>
        <v/>
      </c>
      <c r="F614" s="4">
        <f>ROUND(B614/B613-1,8)</f>
        <v/>
      </c>
      <c r="G614" s="4">
        <f>ROUND(C614/C613-1,8)</f>
        <v/>
      </c>
      <c r="H614" s="4">
        <f>ROUND(D614/100/(DATE(YEAR(A614)+1,1,1)-DATE(YEAR(A614),1,1))*E614,8)</f>
        <v/>
      </c>
      <c r="I614" s="4">
        <f>ROUND(I613*(1+F614),8)</f>
        <v/>
      </c>
      <c r="J614" s="4">
        <f>ROUND(J613*(1+G614),8)</f>
        <v/>
      </c>
      <c r="K614" s="4">
        <f>ROUND(K613+H614,8)</f>
        <v/>
      </c>
      <c r="L614" s="4">
        <f>ROUND(0.9*F614+0.05*G614+0.05*H614,8)</f>
        <v/>
      </c>
    </row>
    <row r="615">
      <c r="A615" s="2" t="n">
        <v>44666</v>
      </c>
      <c r="B615" s="8" t="n">
        <v>2201.1</v>
      </c>
      <c r="C615" s="8" t="n">
        <v>123.2692</v>
      </c>
      <c r="D615" s="8" t="n">
        <v>0.35</v>
      </c>
      <c r="E615">
        <f>A615-A614</f>
        <v/>
      </c>
      <c r="F615" s="4">
        <f>ROUND(B615/B614-1,8)</f>
        <v/>
      </c>
      <c r="G615" s="4">
        <f>ROUND(C615/C614-1,8)</f>
        <v/>
      </c>
      <c r="H615" s="4">
        <f>ROUND(D615/100/(DATE(YEAR(A615)+1,1,1)-DATE(YEAR(A615),1,1))*E615,8)</f>
        <v/>
      </c>
      <c r="I615" s="4">
        <f>ROUND(I614*(1+F615),8)</f>
        <v/>
      </c>
      <c r="J615" s="4">
        <f>ROUND(J614*(1+G615),8)</f>
        <v/>
      </c>
      <c r="K615" s="4">
        <f>ROUND(K614+H615,8)</f>
        <v/>
      </c>
      <c r="L615" s="4">
        <f>ROUND(0.9*F615+0.05*G615+0.05*H615,8)</f>
        <v/>
      </c>
    </row>
    <row r="616">
      <c r="A616" s="2" t="n">
        <v>44669</v>
      </c>
      <c r="B616" s="8" t="n">
        <v>2220.89</v>
      </c>
      <c r="C616" s="8" t="n">
        <v>123.1683</v>
      </c>
      <c r="D616" s="8" t="n">
        <v>0.35</v>
      </c>
      <c r="E616">
        <f>A616-A615</f>
        <v/>
      </c>
      <c r="F616" s="4">
        <f>ROUND(B616/B615-1,8)</f>
        <v/>
      </c>
      <c r="G616" s="4">
        <f>ROUND(C616/C615-1,8)</f>
        <v/>
      </c>
      <c r="H616" s="4">
        <f>ROUND(D616/100/(DATE(YEAR(A616)+1,1,1)-DATE(YEAR(A616),1,1))*E616,8)</f>
        <v/>
      </c>
      <c r="I616" s="4">
        <f>ROUND(I615*(1+F616),8)</f>
        <v/>
      </c>
      <c r="J616" s="4">
        <f>ROUND(J615*(1+G616),8)</f>
        <v/>
      </c>
      <c r="K616" s="4">
        <f>ROUND(K615+H616,8)</f>
        <v/>
      </c>
      <c r="L616" s="4">
        <f>ROUND(0.9*F616+0.05*G616+0.05*H616,8)</f>
        <v/>
      </c>
    </row>
    <row r="617">
      <c r="A617" s="2" t="n">
        <v>44670</v>
      </c>
      <c r="B617" s="8" t="n">
        <v>2239.52</v>
      </c>
      <c r="C617" s="8" t="n">
        <v>123.159</v>
      </c>
      <c r="D617" s="8" t="n">
        <v>0.35</v>
      </c>
      <c r="E617">
        <f>A617-A616</f>
        <v/>
      </c>
      <c r="F617" s="4">
        <f>ROUND(B617/B616-1,8)</f>
        <v/>
      </c>
      <c r="G617" s="4">
        <f>ROUND(C617/C616-1,8)</f>
        <v/>
      </c>
      <c r="H617" s="4">
        <f>ROUND(D617/100/(DATE(YEAR(A617)+1,1,1)-DATE(YEAR(A617),1,1))*E617,8)</f>
        <v/>
      </c>
      <c r="I617" s="4">
        <f>ROUND(I616*(1+F617),8)</f>
        <v/>
      </c>
      <c r="J617" s="4">
        <f>ROUND(J616*(1+G617),8)</f>
        <v/>
      </c>
      <c r="K617" s="4">
        <f>ROUND(K616+H617,8)</f>
        <v/>
      </c>
      <c r="L617" s="4">
        <f>ROUND(0.9*F617+0.05*G617+0.05*H617,8)</f>
        <v/>
      </c>
    </row>
    <row r="618">
      <c r="A618" s="2" t="n">
        <v>44671</v>
      </c>
      <c r="B618" s="8" t="n">
        <v>2214.68</v>
      </c>
      <c r="C618" s="8" t="n">
        <v>123.1293</v>
      </c>
      <c r="D618" s="8" t="n">
        <v>0.35</v>
      </c>
      <c r="E618">
        <f>A618-A617</f>
        <v/>
      </c>
      <c r="F618" s="4">
        <f>ROUND(B618/B617-1,8)</f>
        <v/>
      </c>
      <c r="G618" s="4">
        <f>ROUND(C618/C617-1,8)</f>
        <v/>
      </c>
      <c r="H618" s="4">
        <f>ROUND(D618/100/(DATE(YEAR(A618)+1,1,1)-DATE(YEAR(A618),1,1))*E618,8)</f>
        <v/>
      </c>
      <c r="I618" s="4">
        <f>ROUND(I617*(1+F618),8)</f>
        <v/>
      </c>
      <c r="J618" s="4">
        <f>ROUND(J617*(1+G618),8)</f>
        <v/>
      </c>
      <c r="K618" s="4">
        <f>ROUND(K617+H618,8)</f>
        <v/>
      </c>
      <c r="L618" s="4">
        <f>ROUND(0.9*F618+0.05*G618+0.05*H618,8)</f>
        <v/>
      </c>
    </row>
    <row r="619">
      <c r="A619" s="2" t="n">
        <v>44672</v>
      </c>
      <c r="B619" s="8" t="n">
        <v>2119.28</v>
      </c>
      <c r="C619" s="8" t="n">
        <v>123.1479</v>
      </c>
      <c r="D619" s="8" t="n">
        <v>0.35</v>
      </c>
      <c r="E619">
        <f>A619-A618</f>
        <v/>
      </c>
      <c r="F619" s="4">
        <f>ROUND(B619/B618-1,8)</f>
        <v/>
      </c>
      <c r="G619" s="4">
        <f>ROUND(C619/C618-1,8)</f>
        <v/>
      </c>
      <c r="H619" s="4">
        <f>ROUND(D619/100/(DATE(YEAR(A619)+1,1,1)-DATE(YEAR(A619),1,1))*E619,8)</f>
        <v/>
      </c>
      <c r="I619" s="4">
        <f>ROUND(I618*(1+F619),8)</f>
        <v/>
      </c>
      <c r="J619" s="4">
        <f>ROUND(J618*(1+G619),8)</f>
        <v/>
      </c>
      <c r="K619" s="4">
        <f>ROUND(K618+H619,8)</f>
        <v/>
      </c>
      <c r="L619" s="4">
        <f>ROUND(0.9*F619+0.05*G619+0.05*H619,8)</f>
        <v/>
      </c>
    </row>
    <row r="620">
      <c r="A620" s="2" t="n">
        <v>44673</v>
      </c>
      <c r="B620" s="8" t="n">
        <v>2088.05</v>
      </c>
      <c r="C620" s="8" t="n">
        <v>123.1286</v>
      </c>
      <c r="D620" s="8" t="n">
        <v>0.35</v>
      </c>
      <c r="E620">
        <f>A620-A619</f>
        <v/>
      </c>
      <c r="F620" s="4">
        <f>ROUND(B620/B619-1,8)</f>
        <v/>
      </c>
      <c r="G620" s="4">
        <f>ROUND(C620/C619-1,8)</f>
        <v/>
      </c>
      <c r="H620" s="4">
        <f>ROUND(D620/100/(DATE(YEAR(A620)+1,1,1)-DATE(YEAR(A620),1,1))*E620,8)</f>
        <v/>
      </c>
      <c r="I620" s="4">
        <f>ROUND(I619*(1+F620),8)</f>
        <v/>
      </c>
      <c r="J620" s="4">
        <f>ROUND(J619*(1+G620),8)</f>
        <v/>
      </c>
      <c r="K620" s="4">
        <f>ROUND(K619+H620,8)</f>
        <v/>
      </c>
      <c r="L620" s="4">
        <f>ROUND(0.9*F620+0.05*G620+0.05*H620,8)</f>
        <v/>
      </c>
    </row>
    <row r="621">
      <c r="A621" s="2" t="n">
        <v>44676</v>
      </c>
      <c r="B621" s="8" t="n">
        <v>1921.28</v>
      </c>
      <c r="C621" s="8" t="n">
        <v>123.1758</v>
      </c>
      <c r="D621" s="8" t="n">
        <v>0.35</v>
      </c>
      <c r="E621">
        <f>A621-A620</f>
        <v/>
      </c>
      <c r="F621" s="4">
        <f>ROUND(B621/B620-1,8)</f>
        <v/>
      </c>
      <c r="G621" s="4">
        <f>ROUND(C621/C620-1,8)</f>
        <v/>
      </c>
      <c r="H621" s="4">
        <f>ROUND(D621/100/(DATE(YEAR(A621)+1,1,1)-DATE(YEAR(A621),1,1))*E621,8)</f>
        <v/>
      </c>
      <c r="I621" s="4">
        <f>ROUND(I620*(1+F621),8)</f>
        <v/>
      </c>
      <c r="J621" s="4">
        <f>ROUND(J620*(1+G621),8)</f>
        <v/>
      </c>
      <c r="K621" s="4">
        <f>ROUND(K620+H621,8)</f>
        <v/>
      </c>
      <c r="L621" s="4">
        <f>ROUND(0.9*F621+0.05*G621+0.05*H621,8)</f>
        <v/>
      </c>
    </row>
    <row r="622">
      <c r="A622" s="2" t="n">
        <v>44677</v>
      </c>
      <c r="B622" s="8" t="n">
        <v>1845.89</v>
      </c>
      <c r="C622" s="8" t="n">
        <v>123.1866</v>
      </c>
      <c r="D622" s="8" t="n">
        <v>0.35</v>
      </c>
      <c r="E622">
        <f>A622-A621</f>
        <v/>
      </c>
      <c r="F622" s="4">
        <f>ROUND(B622/B621-1,8)</f>
        <v/>
      </c>
      <c r="G622" s="4">
        <f>ROUND(C622/C621-1,8)</f>
        <v/>
      </c>
      <c r="H622" s="4">
        <f>ROUND(D622/100/(DATE(YEAR(A622)+1,1,1)-DATE(YEAR(A622),1,1))*E622,8)</f>
        <v/>
      </c>
      <c r="I622" s="4">
        <f>ROUND(I621*(1+F622),8)</f>
        <v/>
      </c>
      <c r="J622" s="4">
        <f>ROUND(J621*(1+G622),8)</f>
        <v/>
      </c>
      <c r="K622" s="4">
        <f>ROUND(K621+H622,8)</f>
        <v/>
      </c>
      <c r="L622" s="4">
        <f>ROUND(0.9*F622+0.05*G622+0.05*H622,8)</f>
        <v/>
      </c>
    </row>
    <row r="623">
      <c r="A623" s="2" t="n">
        <v>44678</v>
      </c>
      <c r="B623" s="8" t="n">
        <v>1907.29</v>
      </c>
      <c r="C623" s="8" t="n">
        <v>123.1676</v>
      </c>
      <c r="D623" s="8" t="n">
        <v>0.35</v>
      </c>
      <c r="E623">
        <f>A623-A622</f>
        <v/>
      </c>
      <c r="F623" s="4">
        <f>ROUND(B623/B622-1,8)</f>
        <v/>
      </c>
      <c r="G623" s="4">
        <f>ROUND(C623/C622-1,8)</f>
        <v/>
      </c>
      <c r="H623" s="4">
        <f>ROUND(D623/100/(DATE(YEAR(A623)+1,1,1)-DATE(YEAR(A623),1,1))*E623,8)</f>
        <v/>
      </c>
      <c r="I623" s="4">
        <f>ROUND(I622*(1+F623),8)</f>
        <v/>
      </c>
      <c r="J623" s="4">
        <f>ROUND(J622*(1+G623),8)</f>
        <v/>
      </c>
      <c r="K623" s="4">
        <f>ROUND(K622+H623,8)</f>
        <v/>
      </c>
      <c r="L623" s="4">
        <f>ROUND(0.9*F623+0.05*G623+0.05*H623,8)</f>
        <v/>
      </c>
    </row>
    <row r="624">
      <c r="A624" s="2" t="n">
        <v>44679</v>
      </c>
      <c r="B624" s="8" t="n">
        <v>1868.7</v>
      </c>
      <c r="C624" s="8" t="n">
        <v>123.1203</v>
      </c>
      <c r="D624" s="8" t="n">
        <v>0.35</v>
      </c>
      <c r="E624">
        <f>A624-A623</f>
        <v/>
      </c>
      <c r="F624" s="4">
        <f>ROUND(B624/B623-1,8)</f>
        <v/>
      </c>
      <c r="G624" s="4">
        <f>ROUND(C624/C623-1,8)</f>
        <v/>
      </c>
      <c r="H624" s="4">
        <f>ROUND(D624/100/(DATE(YEAR(A624)+1,1,1)-DATE(YEAR(A624),1,1))*E624,8)</f>
        <v/>
      </c>
      <c r="I624" s="4">
        <f>ROUND(I623*(1+F624),8)</f>
        <v/>
      </c>
      <c r="J624" s="4">
        <f>ROUND(J623*(1+G624),8)</f>
        <v/>
      </c>
      <c r="K624" s="4">
        <f>ROUND(K623+H624,8)</f>
        <v/>
      </c>
      <c r="L624" s="4">
        <f>ROUND(0.9*F624+0.05*G624+0.05*H624,8)</f>
        <v/>
      </c>
    </row>
    <row r="625">
      <c r="A625" s="2" t="n">
        <v>44680</v>
      </c>
      <c r="B625" s="8" t="n">
        <v>1953.11</v>
      </c>
      <c r="C625" s="8" t="n">
        <v>123.154</v>
      </c>
      <c r="D625" s="8" t="n">
        <v>0.35</v>
      </c>
      <c r="E625">
        <f>A625-A624</f>
        <v/>
      </c>
      <c r="F625" s="4">
        <f>ROUND(B625/B624-1,8)</f>
        <v/>
      </c>
      <c r="G625" s="4">
        <f>ROUND(C625/C624-1,8)</f>
        <v/>
      </c>
      <c r="H625" s="4">
        <f>ROUND(D625/100/(DATE(YEAR(A625)+1,1,1)-DATE(YEAR(A625),1,1))*E625,8)</f>
        <v/>
      </c>
      <c r="I625" s="4">
        <f>ROUND(I624*(1+F625),8)</f>
        <v/>
      </c>
      <c r="J625" s="4">
        <f>ROUND(J624*(1+G625),8)</f>
        <v/>
      </c>
      <c r="K625" s="4">
        <f>ROUND(K624+H625,8)</f>
        <v/>
      </c>
      <c r="L625" s="4">
        <f>ROUND(0.9*F625+0.05*G625+0.05*H625,8)</f>
        <v/>
      </c>
    </row>
    <row r="626">
      <c r="A626" s="2" t="n">
        <v>44686</v>
      </c>
      <c r="B626" s="8" t="n">
        <v>1993.72</v>
      </c>
      <c r="C626" s="8" t="n">
        <v>123.2206</v>
      </c>
      <c r="D626" s="8" t="n">
        <v>0.35</v>
      </c>
      <c r="E626">
        <f>A626-A625</f>
        <v/>
      </c>
      <c r="F626" s="4">
        <f>ROUND(B626/B625-1,8)</f>
        <v/>
      </c>
      <c r="G626" s="4">
        <f>ROUND(C626/C625-1,8)</f>
        <v/>
      </c>
      <c r="H626" s="4">
        <f>ROUND(D626/100/(DATE(YEAR(A626)+1,1,1)-DATE(YEAR(A626),1,1))*E626,8)</f>
        <v/>
      </c>
      <c r="I626" s="4">
        <f>ROUND(I625*(1+F626),8)</f>
        <v/>
      </c>
      <c r="J626" s="4">
        <f>ROUND(J625*(1+G626),8)</f>
        <v/>
      </c>
      <c r="K626" s="4">
        <f>ROUND(K625+H626,8)</f>
        <v/>
      </c>
      <c r="L626" s="4">
        <f>ROUND(0.9*F626+0.05*G626+0.05*H626,8)</f>
        <v/>
      </c>
    </row>
    <row r="627">
      <c r="A627" s="2" t="n">
        <v>44687</v>
      </c>
      <c r="B627" s="8" t="n">
        <v>1976.37</v>
      </c>
      <c r="C627" s="8" t="n">
        <v>123.2318</v>
      </c>
      <c r="D627" s="8" t="n">
        <v>0.35</v>
      </c>
      <c r="E627">
        <f>A627-A626</f>
        <v/>
      </c>
      <c r="F627" s="4">
        <f>ROUND(B627/B626-1,8)</f>
        <v/>
      </c>
      <c r="G627" s="4">
        <f>ROUND(C627/C626-1,8)</f>
        <v/>
      </c>
      <c r="H627" s="4">
        <f>ROUND(D627/100/(DATE(YEAR(A627)+1,1,1)-DATE(YEAR(A627),1,1))*E627,8)</f>
        <v/>
      </c>
      <c r="I627" s="4">
        <f>ROUND(I626*(1+F627),8)</f>
        <v/>
      </c>
      <c r="J627" s="4">
        <f>ROUND(J626*(1+G627),8)</f>
        <v/>
      </c>
      <c r="K627" s="4">
        <f>ROUND(K626+H627,8)</f>
        <v/>
      </c>
      <c r="L627" s="4">
        <f>ROUND(0.9*F627+0.05*G627+0.05*H627,8)</f>
        <v/>
      </c>
    </row>
    <row r="628">
      <c r="A628" s="2" t="n">
        <v>44690</v>
      </c>
      <c r="B628" s="8" t="n">
        <v>2014.38</v>
      </c>
      <c r="C628" s="8" t="n">
        <v>123.2911</v>
      </c>
      <c r="D628" s="8" t="n">
        <v>0.35</v>
      </c>
      <c r="E628">
        <f>A628-A627</f>
        <v/>
      </c>
      <c r="F628" s="4">
        <f>ROUND(B628/B627-1,8)</f>
        <v/>
      </c>
      <c r="G628" s="4">
        <f>ROUND(C628/C627-1,8)</f>
        <v/>
      </c>
      <c r="H628" s="4">
        <f>ROUND(D628/100/(DATE(YEAR(A628)+1,1,1)-DATE(YEAR(A628),1,1))*E628,8)</f>
        <v/>
      </c>
      <c r="I628" s="4">
        <f>ROUND(I627*(1+F628),8)</f>
        <v/>
      </c>
      <c r="J628" s="4">
        <f>ROUND(J627*(1+G628),8)</f>
        <v/>
      </c>
      <c r="K628" s="4">
        <f>ROUND(K627+H628,8)</f>
        <v/>
      </c>
      <c r="L628" s="4">
        <f>ROUND(0.9*F628+0.05*G628+0.05*H628,8)</f>
        <v/>
      </c>
    </row>
    <row r="629">
      <c r="A629" s="2" t="n">
        <v>44691</v>
      </c>
      <c r="B629" s="8" t="n">
        <v>2052.59</v>
      </c>
      <c r="C629" s="8" t="n">
        <v>123.356</v>
      </c>
      <c r="D629" s="8" t="n">
        <v>0.35</v>
      </c>
      <c r="E629">
        <f>A629-A628</f>
        <v/>
      </c>
      <c r="F629" s="4">
        <f>ROUND(B629/B628-1,8)</f>
        <v/>
      </c>
      <c r="G629" s="4">
        <f>ROUND(C629/C628-1,8)</f>
        <v/>
      </c>
      <c r="H629" s="4">
        <f>ROUND(D629/100/(DATE(YEAR(A629)+1,1,1)-DATE(YEAR(A629),1,1))*E629,8)</f>
        <v/>
      </c>
      <c r="I629" s="4">
        <f>ROUND(I628*(1+F629),8)</f>
        <v/>
      </c>
      <c r="J629" s="4">
        <f>ROUND(J628*(1+G629),8)</f>
        <v/>
      </c>
      <c r="K629" s="4">
        <f>ROUND(K628+H629,8)</f>
        <v/>
      </c>
      <c r="L629" s="4">
        <f>ROUND(0.9*F629+0.05*G629+0.05*H629,8)</f>
        <v/>
      </c>
    </row>
    <row r="630">
      <c r="A630" s="2" t="n">
        <v>44692</v>
      </c>
      <c r="B630" s="8" t="n">
        <v>2058.97</v>
      </c>
      <c r="C630" s="8" t="n">
        <v>123.3542</v>
      </c>
      <c r="D630" s="8" t="n">
        <v>0.35</v>
      </c>
      <c r="E630">
        <f>A630-A629</f>
        <v/>
      </c>
      <c r="F630" s="4">
        <f>ROUND(B630/B629-1,8)</f>
        <v/>
      </c>
      <c r="G630" s="4">
        <f>ROUND(C630/C629-1,8)</f>
        <v/>
      </c>
      <c r="H630" s="4">
        <f>ROUND(D630/100/(DATE(YEAR(A630)+1,1,1)-DATE(YEAR(A630),1,1))*E630,8)</f>
        <v/>
      </c>
      <c r="I630" s="4">
        <f>ROUND(I629*(1+F630),8)</f>
        <v/>
      </c>
      <c r="J630" s="4">
        <f>ROUND(J629*(1+G630),8)</f>
        <v/>
      </c>
      <c r="K630" s="4">
        <f>ROUND(K629+H630,8)</f>
        <v/>
      </c>
      <c r="L630" s="4">
        <f>ROUND(0.9*F630+0.05*G630+0.05*H630,8)</f>
        <v/>
      </c>
    </row>
    <row r="631">
      <c r="A631" s="2" t="n">
        <v>44693</v>
      </c>
      <c r="B631" s="8" t="n">
        <v>2076.45</v>
      </c>
      <c r="C631" s="8" t="n">
        <v>123.3918</v>
      </c>
      <c r="D631" s="8" t="n">
        <v>0.35</v>
      </c>
      <c r="E631">
        <f>A631-A630</f>
        <v/>
      </c>
      <c r="F631" s="4">
        <f>ROUND(B631/B630-1,8)</f>
        <v/>
      </c>
      <c r="G631" s="4">
        <f>ROUND(C631/C630-1,8)</f>
        <v/>
      </c>
      <c r="H631" s="4">
        <f>ROUND(D631/100/(DATE(YEAR(A631)+1,1,1)-DATE(YEAR(A631),1,1))*E631,8)</f>
        <v/>
      </c>
      <c r="I631" s="4">
        <f>ROUND(I630*(1+F631),8)</f>
        <v/>
      </c>
      <c r="J631" s="4">
        <f>ROUND(J630*(1+G631),8)</f>
        <v/>
      </c>
      <c r="K631" s="4">
        <f>ROUND(K630+H631,8)</f>
        <v/>
      </c>
      <c r="L631" s="4">
        <f>ROUND(0.9*F631+0.05*G631+0.05*H631,8)</f>
        <v/>
      </c>
    </row>
    <row r="632">
      <c r="A632" s="2" t="n">
        <v>44694</v>
      </c>
      <c r="B632" s="8" t="n">
        <v>2088.3</v>
      </c>
      <c r="C632" s="8" t="n">
        <v>123.4111</v>
      </c>
      <c r="D632" s="8" t="n">
        <v>0.35</v>
      </c>
      <c r="E632">
        <f>A632-A631</f>
        <v/>
      </c>
      <c r="F632" s="4">
        <f>ROUND(B632/B631-1,8)</f>
        <v/>
      </c>
      <c r="G632" s="4">
        <f>ROUND(C632/C631-1,8)</f>
        <v/>
      </c>
      <c r="H632" s="4">
        <f>ROUND(D632/100/(DATE(YEAR(A632)+1,1,1)-DATE(YEAR(A632),1,1))*E632,8)</f>
        <v/>
      </c>
      <c r="I632" s="4">
        <f>ROUND(I631*(1+F632),8)</f>
        <v/>
      </c>
      <c r="J632" s="4">
        <f>ROUND(J631*(1+G632),8)</f>
        <v/>
      </c>
      <c r="K632" s="4">
        <f>ROUND(K631+H632,8)</f>
        <v/>
      </c>
      <c r="L632" s="4">
        <f>ROUND(0.9*F632+0.05*G632+0.05*H632,8)</f>
        <v/>
      </c>
    </row>
    <row r="633">
      <c r="A633" s="2" t="n">
        <v>44697</v>
      </c>
      <c r="B633" s="8" t="n">
        <v>2093.7</v>
      </c>
      <c r="C633" s="8" t="n">
        <v>123.4196</v>
      </c>
      <c r="D633" s="8" t="n">
        <v>0.35</v>
      </c>
      <c r="E633">
        <f>A633-A632</f>
        <v/>
      </c>
      <c r="F633" s="4">
        <f>ROUND(B633/B632-1,8)</f>
        <v/>
      </c>
      <c r="G633" s="4">
        <f>ROUND(C633/C632-1,8)</f>
        <v/>
      </c>
      <c r="H633" s="4">
        <f>ROUND(D633/100/(DATE(YEAR(A633)+1,1,1)-DATE(YEAR(A633),1,1))*E633,8)</f>
        <v/>
      </c>
      <c r="I633" s="4">
        <f>ROUND(I632*(1+F633),8)</f>
        <v/>
      </c>
      <c r="J633" s="4">
        <f>ROUND(J632*(1+G633),8)</f>
        <v/>
      </c>
      <c r="K633" s="4">
        <f>ROUND(K632+H633,8)</f>
        <v/>
      </c>
      <c r="L633" s="4">
        <f>ROUND(0.9*F633+0.05*G633+0.05*H633,8)</f>
        <v/>
      </c>
    </row>
    <row r="634">
      <c r="A634" s="2" t="n">
        <v>44698</v>
      </c>
      <c r="B634" s="8" t="n">
        <v>2089.8</v>
      </c>
      <c r="C634" s="8" t="n">
        <v>123.4656</v>
      </c>
      <c r="D634" s="8" t="n">
        <v>0.35</v>
      </c>
      <c r="E634">
        <f>A634-A633</f>
        <v/>
      </c>
      <c r="F634" s="4">
        <f>ROUND(B634/B633-1,8)</f>
        <v/>
      </c>
      <c r="G634" s="4">
        <f>ROUND(C634/C633-1,8)</f>
        <v/>
      </c>
      <c r="H634" s="4">
        <f>ROUND(D634/100/(DATE(YEAR(A634)+1,1,1)-DATE(YEAR(A634),1,1))*E634,8)</f>
        <v/>
      </c>
      <c r="I634" s="4">
        <f>ROUND(I633*(1+F634),8)</f>
        <v/>
      </c>
      <c r="J634" s="4">
        <f>ROUND(J633*(1+G634),8)</f>
        <v/>
      </c>
      <c r="K634" s="4">
        <f>ROUND(K633+H634,8)</f>
        <v/>
      </c>
      <c r="L634" s="4">
        <f>ROUND(0.9*F634+0.05*G634+0.05*H634,8)</f>
        <v/>
      </c>
    </row>
    <row r="635">
      <c r="A635" s="2" t="n">
        <v>44699</v>
      </c>
      <c r="B635" s="8" t="n">
        <v>2109.42</v>
      </c>
      <c r="C635" s="8" t="n">
        <v>123.5154</v>
      </c>
      <c r="D635" s="8" t="n">
        <v>0.35</v>
      </c>
      <c r="E635">
        <f>A635-A634</f>
        <v/>
      </c>
      <c r="F635" s="4">
        <f>ROUND(B635/B634-1,8)</f>
        <v/>
      </c>
      <c r="G635" s="4">
        <f>ROUND(C635/C634-1,8)</f>
        <v/>
      </c>
      <c r="H635" s="4">
        <f>ROUND(D635/100/(DATE(YEAR(A635)+1,1,1)-DATE(YEAR(A635),1,1))*E635,8)</f>
        <v/>
      </c>
      <c r="I635" s="4">
        <f>ROUND(I634*(1+F635),8)</f>
        <v/>
      </c>
      <c r="J635" s="4">
        <f>ROUND(J634*(1+G635),8)</f>
        <v/>
      </c>
      <c r="K635" s="4">
        <f>ROUND(K634+H635,8)</f>
        <v/>
      </c>
      <c r="L635" s="4">
        <f>ROUND(0.9*F635+0.05*G635+0.05*H635,8)</f>
        <v/>
      </c>
    </row>
    <row r="636">
      <c r="A636" s="2" t="n">
        <v>44700</v>
      </c>
      <c r="B636" s="8" t="n">
        <v>2126.53</v>
      </c>
      <c r="C636" s="8" t="n">
        <v>123.5339</v>
      </c>
      <c r="D636" s="8" t="n">
        <v>0.35</v>
      </c>
      <c r="E636">
        <f>A636-A635</f>
        <v/>
      </c>
      <c r="F636" s="4">
        <f>ROUND(B636/B635-1,8)</f>
        <v/>
      </c>
      <c r="G636" s="4">
        <f>ROUND(C636/C635-1,8)</f>
        <v/>
      </c>
      <c r="H636" s="4">
        <f>ROUND(D636/100/(DATE(YEAR(A636)+1,1,1)-DATE(YEAR(A636),1,1))*E636,8)</f>
        <v/>
      </c>
      <c r="I636" s="4">
        <f>ROUND(I635*(1+F636),8)</f>
        <v/>
      </c>
      <c r="J636" s="4">
        <f>ROUND(J635*(1+G636),8)</f>
        <v/>
      </c>
      <c r="K636" s="4">
        <f>ROUND(K635+H636,8)</f>
        <v/>
      </c>
      <c r="L636" s="4">
        <f>ROUND(0.9*F636+0.05*G636+0.05*H636,8)</f>
        <v/>
      </c>
    </row>
    <row r="637">
      <c r="A637" s="2" t="n">
        <v>44701</v>
      </c>
      <c r="B637" s="8" t="n">
        <v>2149</v>
      </c>
      <c r="C637" s="8" t="n">
        <v>123.5111</v>
      </c>
      <c r="D637" s="8" t="n">
        <v>0.35</v>
      </c>
      <c r="E637">
        <f>A637-A636</f>
        <v/>
      </c>
      <c r="F637" s="4">
        <f>ROUND(B637/B636-1,8)</f>
        <v/>
      </c>
      <c r="G637" s="4">
        <f>ROUND(C637/C636-1,8)</f>
        <v/>
      </c>
      <c r="H637" s="4">
        <f>ROUND(D637/100/(DATE(YEAR(A637)+1,1,1)-DATE(YEAR(A637),1,1))*E637,8)</f>
        <v/>
      </c>
      <c r="I637" s="4">
        <f>ROUND(I636*(1+F637),8)</f>
        <v/>
      </c>
      <c r="J637" s="4">
        <f>ROUND(J636*(1+G637),8)</f>
        <v/>
      </c>
      <c r="K637" s="4">
        <f>ROUND(K636+H637,8)</f>
        <v/>
      </c>
      <c r="L637" s="4">
        <f>ROUND(0.9*F637+0.05*G637+0.05*H637,8)</f>
        <v/>
      </c>
    </row>
    <row r="638">
      <c r="A638" s="2" t="n">
        <v>44704</v>
      </c>
      <c r="B638" s="8" t="n">
        <v>2186.26</v>
      </c>
      <c r="C638" s="8" t="n">
        <v>123.5464</v>
      </c>
      <c r="D638" s="8" t="n">
        <v>0.35</v>
      </c>
      <c r="E638">
        <f>A638-A637</f>
        <v/>
      </c>
      <c r="F638" s="4">
        <f>ROUND(B638/B637-1,8)</f>
        <v/>
      </c>
      <c r="G638" s="4">
        <f>ROUND(C638/C637-1,8)</f>
        <v/>
      </c>
      <c r="H638" s="4">
        <f>ROUND(D638/100/(DATE(YEAR(A638)+1,1,1)-DATE(YEAR(A638),1,1))*E638,8)</f>
        <v/>
      </c>
      <c r="I638" s="4">
        <f>ROUND(I637*(1+F638),8)</f>
        <v/>
      </c>
      <c r="J638" s="4">
        <f>ROUND(J637*(1+G638),8)</f>
        <v/>
      </c>
      <c r="K638" s="4">
        <f>ROUND(K637+H638,8)</f>
        <v/>
      </c>
      <c r="L638" s="4">
        <f>ROUND(0.9*F638+0.05*G638+0.05*H638,8)</f>
        <v/>
      </c>
    </row>
    <row r="639">
      <c r="A639" s="2" t="n">
        <v>44705</v>
      </c>
      <c r="B639" s="8" t="n">
        <v>2088.73</v>
      </c>
      <c r="C639" s="8" t="n">
        <v>123.5582</v>
      </c>
      <c r="D639" s="8" t="n">
        <v>0.35</v>
      </c>
      <c r="E639">
        <f>A639-A638</f>
        <v/>
      </c>
      <c r="F639" s="4">
        <f>ROUND(B639/B638-1,8)</f>
        <v/>
      </c>
      <c r="G639" s="4">
        <f>ROUND(C639/C638-1,8)</f>
        <v/>
      </c>
      <c r="H639" s="4">
        <f>ROUND(D639/100/(DATE(YEAR(A639)+1,1,1)-DATE(YEAR(A639),1,1))*E639,8)</f>
        <v/>
      </c>
      <c r="I639" s="4">
        <f>ROUND(I638*(1+F639),8)</f>
        <v/>
      </c>
      <c r="J639" s="4">
        <f>ROUND(J638*(1+G639),8)</f>
        <v/>
      </c>
      <c r="K639" s="4">
        <f>ROUND(K638+H639,8)</f>
        <v/>
      </c>
      <c r="L639" s="4">
        <f>ROUND(0.9*F639+0.05*G639+0.05*H639,8)</f>
        <v/>
      </c>
    </row>
    <row r="640">
      <c r="A640" s="2" t="n">
        <v>44706</v>
      </c>
      <c r="B640" s="8" t="n">
        <v>2133.13</v>
      </c>
      <c r="C640" s="8" t="n">
        <v>123.5756</v>
      </c>
      <c r="D640" s="8" t="n">
        <v>0.35</v>
      </c>
      <c r="E640">
        <f>A640-A639</f>
        <v/>
      </c>
      <c r="F640" s="4">
        <f>ROUND(B640/B639-1,8)</f>
        <v/>
      </c>
      <c r="G640" s="4">
        <f>ROUND(C640/C639-1,8)</f>
        <v/>
      </c>
      <c r="H640" s="4">
        <f>ROUND(D640/100/(DATE(YEAR(A640)+1,1,1)-DATE(YEAR(A640),1,1))*E640,8)</f>
        <v/>
      </c>
      <c r="I640" s="4">
        <f>ROUND(I639*(1+F640),8)</f>
        <v/>
      </c>
      <c r="J640" s="4">
        <f>ROUND(J639*(1+G640),8)</f>
        <v/>
      </c>
      <c r="K640" s="4">
        <f>ROUND(K639+H640,8)</f>
        <v/>
      </c>
      <c r="L640" s="4">
        <f>ROUND(0.9*F640+0.05*G640+0.05*H640,8)</f>
        <v/>
      </c>
    </row>
    <row r="641">
      <c r="A641" s="2" t="n">
        <v>44707</v>
      </c>
      <c r="B641" s="8" t="n">
        <v>2140.49</v>
      </c>
      <c r="C641" s="8" t="n">
        <v>123.7025</v>
      </c>
      <c r="D641" s="8" t="n">
        <v>0.35</v>
      </c>
      <c r="E641">
        <f>A641-A640</f>
        <v/>
      </c>
      <c r="F641" s="4">
        <f>ROUND(B641/B640-1,8)</f>
        <v/>
      </c>
      <c r="G641" s="4">
        <f>ROUND(C641/C640-1,8)</f>
        <v/>
      </c>
      <c r="H641" s="4">
        <f>ROUND(D641/100/(DATE(YEAR(A641)+1,1,1)-DATE(YEAR(A641),1,1))*E641,8)</f>
        <v/>
      </c>
      <c r="I641" s="4">
        <f>ROUND(I640*(1+F641),8)</f>
        <v/>
      </c>
      <c r="J641" s="4">
        <f>ROUND(J640*(1+G641),8)</f>
        <v/>
      </c>
      <c r="K641" s="4">
        <f>ROUND(K640+H641,8)</f>
        <v/>
      </c>
      <c r="L641" s="4">
        <f>ROUND(0.9*F641+0.05*G641+0.05*H641,8)</f>
        <v/>
      </c>
    </row>
    <row r="642">
      <c r="A642" s="2" t="n">
        <v>44708</v>
      </c>
      <c r="B642" s="8" t="n">
        <v>2144.42</v>
      </c>
      <c r="C642" s="8" t="n">
        <v>123.718</v>
      </c>
      <c r="D642" s="8" t="n">
        <v>0.35</v>
      </c>
      <c r="E642">
        <f>A642-A641</f>
        <v/>
      </c>
      <c r="F642" s="4">
        <f>ROUND(B642/B641-1,8)</f>
        <v/>
      </c>
      <c r="G642" s="4">
        <f>ROUND(C642/C641-1,8)</f>
        <v/>
      </c>
      <c r="H642" s="4">
        <f>ROUND(D642/100/(DATE(YEAR(A642)+1,1,1)-DATE(YEAR(A642),1,1))*E642,8)</f>
        <v/>
      </c>
      <c r="I642" s="4">
        <f>ROUND(I641*(1+F642),8)</f>
        <v/>
      </c>
      <c r="J642" s="4">
        <f>ROUND(J641*(1+G642),8)</f>
        <v/>
      </c>
      <c r="K642" s="4">
        <f>ROUND(K641+H642,8)</f>
        <v/>
      </c>
      <c r="L642" s="4">
        <f>ROUND(0.9*F642+0.05*G642+0.05*H642,8)</f>
        <v/>
      </c>
    </row>
    <row r="643">
      <c r="A643" s="2" t="n">
        <v>44711</v>
      </c>
      <c r="B643" s="8" t="n">
        <v>2161.76</v>
      </c>
      <c r="C643" s="8" t="n">
        <v>123.6741</v>
      </c>
      <c r="D643" s="8" t="n">
        <v>0.35</v>
      </c>
      <c r="E643">
        <f>A643-A642</f>
        <v/>
      </c>
      <c r="F643" s="4">
        <f>ROUND(B643/B642-1,8)</f>
        <v/>
      </c>
      <c r="G643" s="4">
        <f>ROUND(C643/C642-1,8)</f>
        <v/>
      </c>
      <c r="H643" s="4">
        <f>ROUND(D643/100/(DATE(YEAR(A643)+1,1,1)-DATE(YEAR(A643),1,1))*E643,8)</f>
        <v/>
      </c>
      <c r="I643" s="4">
        <f>ROUND(I642*(1+F643),8)</f>
        <v/>
      </c>
      <c r="J643" s="4">
        <f>ROUND(J642*(1+G643),8)</f>
        <v/>
      </c>
      <c r="K643" s="4">
        <f>ROUND(K642+H643,8)</f>
        <v/>
      </c>
      <c r="L643" s="4">
        <f>ROUND(0.9*F643+0.05*G643+0.05*H643,8)</f>
        <v/>
      </c>
    </row>
    <row r="644">
      <c r="A644" s="2" t="n">
        <v>44712</v>
      </c>
      <c r="B644" s="8" t="n">
        <v>2182.77</v>
      </c>
      <c r="C644" s="8" t="n">
        <v>123.5702</v>
      </c>
      <c r="D644" s="8" t="n">
        <v>0.35</v>
      </c>
      <c r="E644">
        <f>A644-A643</f>
        <v/>
      </c>
      <c r="F644" s="4">
        <f>ROUND(B644/B643-1,8)</f>
        <v/>
      </c>
      <c r="G644" s="4">
        <f>ROUND(C644/C643-1,8)</f>
        <v/>
      </c>
      <c r="H644" s="4">
        <f>ROUND(D644/100/(DATE(YEAR(A644)+1,1,1)-DATE(YEAR(A644),1,1))*E644,8)</f>
        <v/>
      </c>
      <c r="I644" s="4">
        <f>ROUND(I643*(1+F644),8)</f>
        <v/>
      </c>
      <c r="J644" s="4">
        <f>ROUND(J643*(1+G644),8)</f>
        <v/>
      </c>
      <c r="K644" s="4">
        <f>ROUND(K643+H644,8)</f>
        <v/>
      </c>
      <c r="L644" s="4">
        <f>ROUND(0.9*F644+0.05*G644+0.05*H644,8)</f>
        <v/>
      </c>
    </row>
    <row r="645">
      <c r="A645" s="2" t="n">
        <v>44713</v>
      </c>
      <c r="B645" s="8" t="n">
        <v>2197.65</v>
      </c>
      <c r="C645" s="8" t="n">
        <v>123.5304</v>
      </c>
      <c r="D645" s="8" t="n">
        <v>0.35</v>
      </c>
      <c r="E645">
        <f>A645-A644</f>
        <v/>
      </c>
      <c r="F645" s="4">
        <f>ROUND(B645/B644-1,8)</f>
        <v/>
      </c>
      <c r="G645" s="4">
        <f>ROUND(C645/C644-1,8)</f>
        <v/>
      </c>
      <c r="H645" s="4">
        <f>ROUND(D645/100/(DATE(YEAR(A645)+1,1,1)-DATE(YEAR(A645),1,1))*E645,8)</f>
        <v/>
      </c>
      <c r="I645" s="4">
        <f>ROUND(I644*(1+F645),8)</f>
        <v/>
      </c>
      <c r="J645" s="4">
        <f>ROUND(J644*(1+G645),8)</f>
        <v/>
      </c>
      <c r="K645" s="4">
        <f>ROUND(K644+H645,8)</f>
        <v/>
      </c>
      <c r="L645" s="4">
        <f>ROUND(0.9*F645+0.05*G645+0.05*H645,8)</f>
        <v/>
      </c>
    </row>
    <row r="646">
      <c r="A646" s="2" t="n">
        <v>44714</v>
      </c>
      <c r="B646" s="8" t="n">
        <v>2219.21</v>
      </c>
      <c r="C646" s="8" t="n">
        <v>123.4981</v>
      </c>
      <c r="D646" s="8" t="n">
        <v>0.35</v>
      </c>
      <c r="E646">
        <f>A646-A645</f>
        <v/>
      </c>
      <c r="F646" s="4">
        <f>ROUND(B646/B645-1,8)</f>
        <v/>
      </c>
      <c r="G646" s="4">
        <f>ROUND(C646/C645-1,8)</f>
        <v/>
      </c>
      <c r="H646" s="4">
        <f>ROUND(D646/100/(DATE(YEAR(A646)+1,1,1)-DATE(YEAR(A646),1,1))*E646,8)</f>
        <v/>
      </c>
      <c r="I646" s="4">
        <f>ROUND(I645*(1+F646),8)</f>
        <v/>
      </c>
      <c r="J646" s="4">
        <f>ROUND(J645*(1+G646),8)</f>
        <v/>
      </c>
      <c r="K646" s="4">
        <f>ROUND(K645+H646,8)</f>
        <v/>
      </c>
      <c r="L646" s="4">
        <f>ROUND(0.9*F646+0.05*G646+0.05*H646,8)</f>
        <v/>
      </c>
    </row>
    <row r="647">
      <c r="A647" s="2" t="n">
        <v>44718</v>
      </c>
      <c r="B647" s="8" t="n">
        <v>2257.76</v>
      </c>
      <c r="C647" s="8" t="n">
        <v>123.4136</v>
      </c>
      <c r="D647" s="8" t="n">
        <v>0.35</v>
      </c>
      <c r="E647">
        <f>A647-A646</f>
        <v/>
      </c>
      <c r="F647" s="4">
        <f>ROUND(B647/B646-1,8)</f>
        <v/>
      </c>
      <c r="G647" s="4">
        <f>ROUND(C647/C646-1,8)</f>
        <v/>
      </c>
      <c r="H647" s="4">
        <f>ROUND(D647/100/(DATE(YEAR(A647)+1,1,1)-DATE(YEAR(A647),1,1))*E647,8)</f>
        <v/>
      </c>
      <c r="I647" s="4">
        <f>ROUND(I646*(1+F647),8)</f>
        <v/>
      </c>
      <c r="J647" s="4">
        <f>ROUND(J646*(1+G647),8)</f>
        <v/>
      </c>
      <c r="K647" s="4">
        <f>ROUND(K646+H647,8)</f>
        <v/>
      </c>
      <c r="L647" s="4">
        <f>ROUND(0.9*F647+0.05*G647+0.05*H647,8)</f>
        <v/>
      </c>
    </row>
    <row r="648">
      <c r="A648" s="2" t="n">
        <v>44719</v>
      </c>
      <c r="B648" s="8" t="n">
        <v>2244.14</v>
      </c>
      <c r="C648" s="8" t="n">
        <v>123.3739</v>
      </c>
      <c r="D648" s="8" t="n">
        <v>0.35</v>
      </c>
      <c r="E648">
        <f>A648-A647</f>
        <v/>
      </c>
      <c r="F648" s="4">
        <f>ROUND(B648/B647-1,8)</f>
        <v/>
      </c>
      <c r="G648" s="4">
        <f>ROUND(C648/C647-1,8)</f>
        <v/>
      </c>
      <c r="H648" s="4">
        <f>ROUND(D648/100/(DATE(YEAR(A648)+1,1,1)-DATE(YEAR(A648),1,1))*E648,8)</f>
        <v/>
      </c>
      <c r="I648" s="4">
        <f>ROUND(I647*(1+F648),8)</f>
        <v/>
      </c>
      <c r="J648" s="4">
        <f>ROUND(J647*(1+G648),8)</f>
        <v/>
      </c>
      <c r="K648" s="4">
        <f>ROUND(K647+H648,8)</f>
        <v/>
      </c>
      <c r="L648" s="4">
        <f>ROUND(0.9*F648+0.05*G648+0.05*H648,8)</f>
        <v/>
      </c>
    </row>
    <row r="649">
      <c r="A649" s="2" t="n">
        <v>44720</v>
      </c>
      <c r="B649" s="8" t="n">
        <v>2239.54</v>
      </c>
      <c r="C649" s="8" t="n">
        <v>123.3851</v>
      </c>
      <c r="D649" s="8" t="n">
        <v>0.35</v>
      </c>
      <c r="E649">
        <f>A649-A648</f>
        <v/>
      </c>
      <c r="F649" s="4">
        <f>ROUND(B649/B648-1,8)</f>
        <v/>
      </c>
      <c r="G649" s="4">
        <f>ROUND(C649/C648-1,8)</f>
        <v/>
      </c>
      <c r="H649" s="4">
        <f>ROUND(D649/100/(DATE(YEAR(A649)+1,1,1)-DATE(YEAR(A649),1,1))*E649,8)</f>
        <v/>
      </c>
      <c r="I649" s="4">
        <f>ROUND(I648*(1+F649),8)</f>
        <v/>
      </c>
      <c r="J649" s="4">
        <f>ROUND(J648*(1+G649),8)</f>
        <v/>
      </c>
      <c r="K649" s="4">
        <f>ROUND(K648+H649,8)</f>
        <v/>
      </c>
      <c r="L649" s="4">
        <f>ROUND(0.9*F649+0.05*G649+0.05*H649,8)</f>
        <v/>
      </c>
    </row>
    <row r="650">
      <c r="A650" s="2" t="n">
        <v>44721</v>
      </c>
      <c r="B650" s="8" t="n">
        <v>2197.55</v>
      </c>
      <c r="C650" s="8" t="n">
        <v>123.4146</v>
      </c>
      <c r="D650" s="8" t="n">
        <v>0.35</v>
      </c>
      <c r="E650">
        <f>A650-A649</f>
        <v/>
      </c>
      <c r="F650" s="4">
        <f>ROUND(B650/B649-1,8)</f>
        <v/>
      </c>
      <c r="G650" s="4">
        <f>ROUND(C650/C649-1,8)</f>
        <v/>
      </c>
      <c r="H650" s="4">
        <f>ROUND(D650/100/(DATE(YEAR(A650)+1,1,1)-DATE(YEAR(A650),1,1))*E650,8)</f>
        <v/>
      </c>
      <c r="I650" s="4">
        <f>ROUND(I649*(1+F650),8)</f>
        <v/>
      </c>
      <c r="J650" s="4">
        <f>ROUND(J649*(1+G650),8)</f>
        <v/>
      </c>
      <c r="K650" s="4">
        <f>ROUND(K649+H650,8)</f>
        <v/>
      </c>
      <c r="L650" s="4">
        <f>ROUND(0.9*F650+0.05*G650+0.05*H650,8)</f>
        <v/>
      </c>
    </row>
    <row r="651">
      <c r="A651" s="2" t="n">
        <v>44722</v>
      </c>
      <c r="B651" s="8" t="n">
        <v>2244.72</v>
      </c>
      <c r="C651" s="8" t="n">
        <v>123.4289</v>
      </c>
      <c r="D651" s="8" t="n">
        <v>0.35</v>
      </c>
      <c r="E651">
        <f>A651-A650</f>
        <v/>
      </c>
      <c r="F651" s="4">
        <f>ROUND(B651/B650-1,8)</f>
        <v/>
      </c>
      <c r="G651" s="4">
        <f>ROUND(C651/C650-1,8)</f>
        <v/>
      </c>
      <c r="H651" s="4">
        <f>ROUND(D651/100/(DATE(YEAR(A651)+1,1,1)-DATE(YEAR(A651),1,1))*E651,8)</f>
        <v/>
      </c>
      <c r="I651" s="4">
        <f>ROUND(I650*(1+F651),8)</f>
        <v/>
      </c>
      <c r="J651" s="4">
        <f>ROUND(J650*(1+G651),8)</f>
        <v/>
      </c>
      <c r="K651" s="4">
        <f>ROUND(K650+H651,8)</f>
        <v/>
      </c>
      <c r="L651" s="4">
        <f>ROUND(0.9*F651+0.05*G651+0.05*H651,8)</f>
        <v/>
      </c>
    </row>
    <row r="652">
      <c r="A652" s="2" t="n">
        <v>44725</v>
      </c>
      <c r="B652" s="8" t="n">
        <v>2261.5</v>
      </c>
      <c r="C652" s="8" t="n">
        <v>123.4201</v>
      </c>
      <c r="D652" s="8" t="n">
        <v>0.35</v>
      </c>
      <c r="E652">
        <f>A652-A651</f>
        <v/>
      </c>
      <c r="F652" s="4">
        <f>ROUND(B652/B651-1,8)</f>
        <v/>
      </c>
      <c r="G652" s="4">
        <f>ROUND(C652/C651-1,8)</f>
        <v/>
      </c>
      <c r="H652" s="4">
        <f>ROUND(D652/100/(DATE(YEAR(A652)+1,1,1)-DATE(YEAR(A652),1,1))*E652,8)</f>
        <v/>
      </c>
      <c r="I652" s="4">
        <f>ROUND(I651*(1+F652),8)</f>
        <v/>
      </c>
      <c r="J652" s="4">
        <f>ROUND(J651*(1+G652),8)</f>
        <v/>
      </c>
      <c r="K652" s="4">
        <f>ROUND(K651+H652,8)</f>
        <v/>
      </c>
      <c r="L652" s="4">
        <f>ROUND(0.9*F652+0.05*G652+0.05*H652,8)</f>
        <v/>
      </c>
    </row>
    <row r="653">
      <c r="A653" s="2" t="n">
        <v>44726</v>
      </c>
      <c r="B653" s="8" t="n">
        <v>2262.74</v>
      </c>
      <c r="C653" s="8" t="n">
        <v>123.4136</v>
      </c>
      <c r="D653" s="8" t="n">
        <v>0.35</v>
      </c>
      <c r="E653">
        <f>A653-A652</f>
        <v/>
      </c>
      <c r="F653" s="4">
        <f>ROUND(B653/B652-1,8)</f>
        <v/>
      </c>
      <c r="G653" s="4">
        <f>ROUND(C653/C652-1,8)</f>
        <v/>
      </c>
      <c r="H653" s="4">
        <f>ROUND(D653/100/(DATE(YEAR(A653)+1,1,1)-DATE(YEAR(A653),1,1))*E653,8)</f>
        <v/>
      </c>
      <c r="I653" s="4">
        <f>ROUND(I652*(1+F653),8)</f>
        <v/>
      </c>
      <c r="J653" s="4">
        <f>ROUND(J652*(1+G653),8)</f>
        <v/>
      </c>
      <c r="K653" s="4">
        <f>ROUND(K652+H653,8)</f>
        <v/>
      </c>
      <c r="L653" s="4">
        <f>ROUND(0.9*F653+0.05*G653+0.05*H653,8)</f>
        <v/>
      </c>
    </row>
    <row r="654">
      <c r="A654" s="2" t="n">
        <v>44727</v>
      </c>
      <c r="B654" s="8" t="n">
        <v>2248.4</v>
      </c>
      <c r="C654" s="8" t="n">
        <v>123.3987</v>
      </c>
      <c r="D654" s="8" t="n">
        <v>0.35</v>
      </c>
      <c r="E654">
        <f>A654-A653</f>
        <v/>
      </c>
      <c r="F654" s="4">
        <f>ROUND(B654/B653-1,8)</f>
        <v/>
      </c>
      <c r="G654" s="4">
        <f>ROUND(C654/C653-1,8)</f>
        <v/>
      </c>
      <c r="H654" s="4">
        <f>ROUND(D654/100/(DATE(YEAR(A654)+1,1,1)-DATE(YEAR(A654),1,1))*E654,8)</f>
        <v/>
      </c>
      <c r="I654" s="4">
        <f>ROUND(I653*(1+F654),8)</f>
        <v/>
      </c>
      <c r="J654" s="4">
        <f>ROUND(J653*(1+G654),8)</f>
        <v/>
      </c>
      <c r="K654" s="4">
        <f>ROUND(K653+H654,8)</f>
        <v/>
      </c>
      <c r="L654" s="4">
        <f>ROUND(0.9*F654+0.05*G654+0.05*H654,8)</f>
        <v/>
      </c>
    </row>
    <row r="655">
      <c r="A655" s="2" t="n">
        <v>44728</v>
      </c>
      <c r="B655" s="8" t="n">
        <v>2270.81</v>
      </c>
      <c r="C655" s="8" t="n">
        <v>123.4067</v>
      </c>
      <c r="D655" s="8" t="n">
        <v>0.35</v>
      </c>
      <c r="E655">
        <f>A655-A654</f>
        <v/>
      </c>
      <c r="F655" s="4">
        <f>ROUND(B655/B654-1,8)</f>
        <v/>
      </c>
      <c r="G655" s="4">
        <f>ROUND(C655/C654-1,8)</f>
        <v/>
      </c>
      <c r="H655" s="4">
        <f>ROUND(D655/100/(DATE(YEAR(A655)+1,1,1)-DATE(YEAR(A655),1,1))*E655,8)</f>
        <v/>
      </c>
      <c r="I655" s="4">
        <f>ROUND(I654*(1+F655),8)</f>
        <v/>
      </c>
      <c r="J655" s="4">
        <f>ROUND(J654*(1+G655),8)</f>
        <v/>
      </c>
      <c r="K655" s="4">
        <f>ROUND(K654+H655,8)</f>
        <v/>
      </c>
      <c r="L655" s="4">
        <f>ROUND(0.9*F655+0.05*G655+0.05*H655,8)</f>
        <v/>
      </c>
    </row>
    <row r="656">
      <c r="A656" s="2" t="n">
        <v>44729</v>
      </c>
      <c r="B656" s="8" t="n">
        <v>2284.38</v>
      </c>
      <c r="C656" s="8" t="n">
        <v>123.4244</v>
      </c>
      <c r="D656" s="8" t="n">
        <v>0.35</v>
      </c>
      <c r="E656">
        <f>A656-A655</f>
        <v/>
      </c>
      <c r="F656" s="4">
        <f>ROUND(B656/B655-1,8)</f>
        <v/>
      </c>
      <c r="G656" s="4">
        <f>ROUND(C656/C655-1,8)</f>
        <v/>
      </c>
      <c r="H656" s="4">
        <f>ROUND(D656/100/(DATE(YEAR(A656)+1,1,1)-DATE(YEAR(A656),1,1))*E656,8)</f>
        <v/>
      </c>
      <c r="I656" s="4">
        <f>ROUND(I655*(1+F656),8)</f>
        <v/>
      </c>
      <c r="J656" s="4">
        <f>ROUND(J655*(1+G656),8)</f>
        <v/>
      </c>
      <c r="K656" s="4">
        <f>ROUND(K655+H656,8)</f>
        <v/>
      </c>
      <c r="L656" s="4">
        <f>ROUND(0.9*F656+0.05*G656+0.05*H656,8)</f>
        <v/>
      </c>
    </row>
    <row r="657">
      <c r="A657" s="2" t="n">
        <v>44732</v>
      </c>
      <c r="B657" s="8" t="n">
        <v>2311.65</v>
      </c>
      <c r="C657" s="8" t="n">
        <v>123.3586</v>
      </c>
      <c r="D657" s="8" t="n">
        <v>0.35</v>
      </c>
      <c r="E657">
        <f>A657-A656</f>
        <v/>
      </c>
      <c r="F657" s="4">
        <f>ROUND(B657/B656-1,8)</f>
        <v/>
      </c>
      <c r="G657" s="4">
        <f>ROUND(C657/C656-1,8)</f>
        <v/>
      </c>
      <c r="H657" s="4">
        <f>ROUND(D657/100/(DATE(YEAR(A657)+1,1,1)-DATE(YEAR(A657),1,1))*E657,8)</f>
        <v/>
      </c>
      <c r="I657" s="4">
        <f>ROUND(I656*(1+F657),8)</f>
        <v/>
      </c>
      <c r="J657" s="4">
        <f>ROUND(J656*(1+G657),8)</f>
        <v/>
      </c>
      <c r="K657" s="4">
        <f>ROUND(K656+H657,8)</f>
        <v/>
      </c>
      <c r="L657" s="4">
        <f>ROUND(0.9*F657+0.05*G657+0.05*H657,8)</f>
        <v/>
      </c>
    </row>
    <row r="658">
      <c r="A658" s="2" t="n">
        <v>44733</v>
      </c>
      <c r="B658" s="8" t="n">
        <v>2298.12</v>
      </c>
      <c r="C658" s="8" t="n">
        <v>123.3519</v>
      </c>
      <c r="D658" s="8" t="n">
        <v>0.35</v>
      </c>
      <c r="E658">
        <f>A658-A657</f>
        <v/>
      </c>
      <c r="F658" s="4">
        <f>ROUND(B658/B657-1,8)</f>
        <v/>
      </c>
      <c r="G658" s="4">
        <f>ROUND(C658/C657-1,8)</f>
        <v/>
      </c>
      <c r="H658" s="4">
        <f>ROUND(D658/100/(DATE(YEAR(A658)+1,1,1)-DATE(YEAR(A658),1,1))*E658,8)</f>
        <v/>
      </c>
      <c r="I658" s="4">
        <f>ROUND(I657*(1+F658),8)</f>
        <v/>
      </c>
      <c r="J658" s="4">
        <f>ROUND(J657*(1+G658),8)</f>
        <v/>
      </c>
      <c r="K658" s="4">
        <f>ROUND(K657+H658,8)</f>
        <v/>
      </c>
      <c r="L658" s="4">
        <f>ROUND(0.9*F658+0.05*G658+0.05*H658,8)</f>
        <v/>
      </c>
    </row>
    <row r="659">
      <c r="A659" s="2" t="n">
        <v>44734</v>
      </c>
      <c r="B659" s="8" t="n">
        <v>2276.62</v>
      </c>
      <c r="C659" s="8" t="n">
        <v>123.3552</v>
      </c>
      <c r="D659" s="8" t="n">
        <v>0.35</v>
      </c>
      <c r="E659">
        <f>A659-A658</f>
        <v/>
      </c>
      <c r="F659" s="4">
        <f>ROUND(B659/B658-1,8)</f>
        <v/>
      </c>
      <c r="G659" s="4">
        <f>ROUND(C659/C658-1,8)</f>
        <v/>
      </c>
      <c r="H659" s="4">
        <f>ROUND(D659/100/(DATE(YEAR(A659)+1,1,1)-DATE(YEAR(A659),1,1))*E659,8)</f>
        <v/>
      </c>
      <c r="I659" s="4">
        <f>ROUND(I658*(1+F659),8)</f>
        <v/>
      </c>
      <c r="J659" s="4">
        <f>ROUND(J658*(1+G659),8)</f>
        <v/>
      </c>
      <c r="K659" s="4">
        <f>ROUND(K658+H659,8)</f>
        <v/>
      </c>
      <c r="L659" s="4">
        <f>ROUND(0.9*F659+0.05*G659+0.05*H659,8)</f>
        <v/>
      </c>
    </row>
    <row r="660">
      <c r="A660" s="2" t="n">
        <v>44735</v>
      </c>
      <c r="B660" s="8" t="n">
        <v>2323.32</v>
      </c>
      <c r="C660" s="8" t="n">
        <v>123.3736</v>
      </c>
      <c r="D660" s="8" t="n">
        <v>0.35</v>
      </c>
      <c r="E660">
        <f>A660-A659</f>
        <v/>
      </c>
      <c r="F660" s="4">
        <f>ROUND(B660/B659-1,8)</f>
        <v/>
      </c>
      <c r="G660" s="4">
        <f>ROUND(C660/C659-1,8)</f>
        <v/>
      </c>
      <c r="H660" s="4">
        <f>ROUND(D660/100/(DATE(YEAR(A660)+1,1,1)-DATE(YEAR(A660),1,1))*E660,8)</f>
        <v/>
      </c>
      <c r="I660" s="4">
        <f>ROUND(I659*(1+F660),8)</f>
        <v/>
      </c>
      <c r="J660" s="4">
        <f>ROUND(J659*(1+G660),8)</f>
        <v/>
      </c>
      <c r="K660" s="4">
        <f>ROUND(K659+H660,8)</f>
        <v/>
      </c>
      <c r="L660" s="4">
        <f>ROUND(0.9*F660+0.05*G660+0.05*H660,8)</f>
        <v/>
      </c>
    </row>
    <row r="661">
      <c r="A661" s="2" t="n">
        <v>44736</v>
      </c>
      <c r="B661" s="8" t="n">
        <v>2349.38</v>
      </c>
      <c r="C661" s="8" t="n">
        <v>123.3367</v>
      </c>
      <c r="D661" s="8" t="n">
        <v>0.35</v>
      </c>
      <c r="E661">
        <f>A661-A660</f>
        <v/>
      </c>
      <c r="F661" s="4">
        <f>ROUND(B661/B660-1,8)</f>
        <v/>
      </c>
      <c r="G661" s="4">
        <f>ROUND(C661/C660-1,8)</f>
        <v/>
      </c>
      <c r="H661" s="4">
        <f>ROUND(D661/100/(DATE(YEAR(A661)+1,1,1)-DATE(YEAR(A661),1,1))*E661,8)</f>
        <v/>
      </c>
      <c r="I661" s="4">
        <f>ROUND(I660*(1+F661),8)</f>
        <v/>
      </c>
      <c r="J661" s="4">
        <f>ROUND(J660*(1+G661),8)</f>
        <v/>
      </c>
      <c r="K661" s="4">
        <f>ROUND(K660+H661,8)</f>
        <v/>
      </c>
      <c r="L661" s="4">
        <f>ROUND(0.9*F661+0.05*G661+0.05*H661,8)</f>
        <v/>
      </c>
    </row>
    <row r="662">
      <c r="A662" s="2" t="n">
        <v>44739</v>
      </c>
      <c r="B662" s="8" t="n">
        <v>2372.97</v>
      </c>
      <c r="C662" s="8" t="n">
        <v>123.264</v>
      </c>
      <c r="D662" s="8" t="n">
        <v>0.35</v>
      </c>
      <c r="E662">
        <f>A662-A661</f>
        <v/>
      </c>
      <c r="F662" s="4">
        <f>ROUND(B662/B661-1,8)</f>
        <v/>
      </c>
      <c r="G662" s="4">
        <f>ROUND(C662/C661-1,8)</f>
        <v/>
      </c>
      <c r="H662" s="4">
        <f>ROUND(D662/100/(DATE(YEAR(A662)+1,1,1)-DATE(YEAR(A662),1,1))*E662,8)</f>
        <v/>
      </c>
      <c r="I662" s="4">
        <f>ROUND(I661*(1+F662),8)</f>
        <v/>
      </c>
      <c r="J662" s="4">
        <f>ROUND(J661*(1+G662),8)</f>
        <v/>
      </c>
      <c r="K662" s="4">
        <f>ROUND(K661+H662,8)</f>
        <v/>
      </c>
      <c r="L662" s="4">
        <f>ROUND(0.9*F662+0.05*G662+0.05*H662,8)</f>
        <v/>
      </c>
    </row>
    <row r="663">
      <c r="A663" s="2" t="n">
        <v>44740</v>
      </c>
      <c r="B663" s="8" t="n">
        <v>2408.62</v>
      </c>
      <c r="C663" s="8" t="n">
        <v>123.2255</v>
      </c>
      <c r="D663" s="8" t="n">
        <v>0.35</v>
      </c>
      <c r="E663">
        <f>A663-A662</f>
        <v/>
      </c>
      <c r="F663" s="4">
        <f>ROUND(B663/B662-1,8)</f>
        <v/>
      </c>
      <c r="G663" s="4">
        <f>ROUND(C663/C662-1,8)</f>
        <v/>
      </c>
      <c r="H663" s="4">
        <f>ROUND(D663/100/(DATE(YEAR(A663)+1,1,1)-DATE(YEAR(A663),1,1))*E663,8)</f>
        <v/>
      </c>
      <c r="I663" s="4">
        <f>ROUND(I662*(1+F663),8)</f>
        <v/>
      </c>
      <c r="J663" s="4">
        <f>ROUND(J662*(1+G663),8)</f>
        <v/>
      </c>
      <c r="K663" s="4">
        <f>ROUND(K662+H663,8)</f>
        <v/>
      </c>
      <c r="L663" s="4">
        <f>ROUND(0.9*F663+0.05*G663+0.05*H663,8)</f>
        <v/>
      </c>
    </row>
    <row r="664">
      <c r="A664" s="2" t="n">
        <v>44741</v>
      </c>
      <c r="B664" s="8" t="n">
        <v>2344.89</v>
      </c>
      <c r="C664" s="8" t="n">
        <v>123.2375</v>
      </c>
      <c r="D664" s="8" t="n">
        <v>0.35</v>
      </c>
      <c r="E664">
        <f>A664-A663</f>
        <v/>
      </c>
      <c r="F664" s="4">
        <f>ROUND(B664/B663-1,8)</f>
        <v/>
      </c>
      <c r="G664" s="4">
        <f>ROUND(C664/C663-1,8)</f>
        <v/>
      </c>
      <c r="H664" s="4">
        <f>ROUND(D664/100/(DATE(YEAR(A664)+1,1,1)-DATE(YEAR(A664),1,1))*E664,8)</f>
        <v/>
      </c>
      <c r="I664" s="4">
        <f>ROUND(I663*(1+F664),8)</f>
        <v/>
      </c>
      <c r="J664" s="4">
        <f>ROUND(J663*(1+G664),8)</f>
        <v/>
      </c>
      <c r="K664" s="4">
        <f>ROUND(K663+H664,8)</f>
        <v/>
      </c>
      <c r="L664" s="4">
        <f>ROUND(0.9*F664+0.05*G664+0.05*H664,8)</f>
        <v/>
      </c>
    </row>
    <row r="665">
      <c r="A665" s="2" t="n">
        <v>44742</v>
      </c>
      <c r="B665" s="8" t="n">
        <v>2361.88</v>
      </c>
      <c r="C665" s="8" t="n">
        <v>123.2779</v>
      </c>
      <c r="D665" s="8" t="n">
        <v>0.35</v>
      </c>
      <c r="E665">
        <f>A665-A664</f>
        <v/>
      </c>
      <c r="F665" s="4">
        <f>ROUND(B665/B664-1,8)</f>
        <v/>
      </c>
      <c r="G665" s="4">
        <f>ROUND(C665/C664-1,8)</f>
        <v/>
      </c>
      <c r="H665" s="4">
        <f>ROUND(D665/100/(DATE(YEAR(A665)+1,1,1)-DATE(YEAR(A665),1,1))*E665,8)</f>
        <v/>
      </c>
      <c r="I665" s="4">
        <f>ROUND(I664*(1+F665),8)</f>
        <v/>
      </c>
      <c r="J665" s="4">
        <f>ROUND(J664*(1+G665),8)</f>
        <v/>
      </c>
      <c r="K665" s="4">
        <f>ROUND(K664+H665,8)</f>
        <v/>
      </c>
      <c r="L665" s="4">
        <f>ROUND(0.9*F665+0.05*G665+0.05*H665,8)</f>
        <v/>
      </c>
    </row>
    <row r="666">
      <c r="A666" s="2" t="n">
        <v>44743</v>
      </c>
      <c r="B666" s="8" t="n">
        <v>2361.28</v>
      </c>
      <c r="C666" s="8" t="n">
        <v>123.3092</v>
      </c>
      <c r="D666" s="8" t="n">
        <v>0.35</v>
      </c>
      <c r="E666">
        <f>A666-A665</f>
        <v/>
      </c>
      <c r="F666" s="4">
        <f>ROUND(B666/B665-1,8)</f>
        <v/>
      </c>
      <c r="G666" s="4">
        <f>ROUND(C666/C665-1,8)</f>
        <v/>
      </c>
      <c r="H666" s="4">
        <f>ROUND(D666/100/(DATE(YEAR(A666)+1,1,1)-DATE(YEAR(A666),1,1))*E666,8)</f>
        <v/>
      </c>
      <c r="I666" s="4">
        <f>ROUND(I665*(1+F666),8)</f>
        <v/>
      </c>
      <c r="J666" s="4">
        <f>ROUND(J665*(1+G666),8)</f>
        <v/>
      </c>
      <c r="K666" s="4">
        <f>ROUND(K665+H666,8)</f>
        <v/>
      </c>
      <c r="L666" s="4">
        <f>ROUND(0.9*F666+0.05*G666+0.05*H666,8)</f>
        <v/>
      </c>
    </row>
    <row r="667">
      <c r="A667" s="2" t="n">
        <v>44746</v>
      </c>
      <c r="B667" s="8" t="n">
        <v>2377.74</v>
      </c>
      <c r="C667" s="8" t="n">
        <v>123.2601</v>
      </c>
      <c r="D667" s="8" t="n">
        <v>0.35</v>
      </c>
      <c r="E667">
        <f>A667-A666</f>
        <v/>
      </c>
      <c r="F667" s="4">
        <f>ROUND(B667/B666-1,8)</f>
        <v/>
      </c>
      <c r="G667" s="4">
        <f>ROUND(C667/C666-1,8)</f>
        <v/>
      </c>
      <c r="H667" s="4">
        <f>ROUND(D667/100/(DATE(YEAR(A667)+1,1,1)-DATE(YEAR(A667),1,1))*E667,8)</f>
        <v/>
      </c>
      <c r="I667" s="4">
        <f>ROUND(I666*(1+F667),8)</f>
        <v/>
      </c>
      <c r="J667" s="4">
        <f>ROUND(J666*(1+G667),8)</f>
        <v/>
      </c>
      <c r="K667" s="4">
        <f>ROUND(K666+H667,8)</f>
        <v/>
      </c>
      <c r="L667" s="4">
        <f>ROUND(0.9*F667+0.05*G667+0.05*H667,8)</f>
        <v/>
      </c>
    </row>
    <row r="668">
      <c r="A668" s="2" t="n">
        <v>44747</v>
      </c>
      <c r="B668" s="8" t="n">
        <v>2357.27</v>
      </c>
      <c r="C668" s="8" t="n">
        <v>123.232</v>
      </c>
      <c r="D668" s="8" t="n">
        <v>0.35</v>
      </c>
      <c r="E668">
        <f>A668-A667</f>
        <v/>
      </c>
      <c r="F668" s="4">
        <f>ROUND(B668/B667-1,8)</f>
        <v/>
      </c>
      <c r="G668" s="4">
        <f>ROUND(C668/C667-1,8)</f>
        <v/>
      </c>
      <c r="H668" s="4">
        <f>ROUND(D668/100/(DATE(YEAR(A668)+1,1,1)-DATE(YEAR(A668),1,1))*E668,8)</f>
        <v/>
      </c>
      <c r="I668" s="4">
        <f>ROUND(I667*(1+F668),8)</f>
        <v/>
      </c>
      <c r="J668" s="4">
        <f>ROUND(J667*(1+G668),8)</f>
        <v/>
      </c>
      <c r="K668" s="4">
        <f>ROUND(K667+H668,8)</f>
        <v/>
      </c>
      <c r="L668" s="4">
        <f>ROUND(0.9*F668+0.05*G668+0.05*H668,8)</f>
        <v/>
      </c>
    </row>
    <row r="669">
      <c r="A669" s="2" t="n">
        <v>44748</v>
      </c>
      <c r="B669" s="8" t="n">
        <v>2341.34</v>
      </c>
      <c r="C669" s="8" t="n">
        <v>123.2502</v>
      </c>
      <c r="D669" s="8" t="n">
        <v>0.35</v>
      </c>
      <c r="E669">
        <f>A669-A668</f>
        <v/>
      </c>
      <c r="F669" s="4">
        <f>ROUND(B669/B668-1,8)</f>
        <v/>
      </c>
      <c r="G669" s="4">
        <f>ROUND(C669/C668-1,8)</f>
        <v/>
      </c>
      <c r="H669" s="4">
        <f>ROUND(D669/100/(DATE(YEAR(A669)+1,1,1)-DATE(YEAR(A669),1,1))*E669,8)</f>
        <v/>
      </c>
      <c r="I669" s="4">
        <f>ROUND(I668*(1+F669),8)</f>
        <v/>
      </c>
      <c r="J669" s="4">
        <f>ROUND(J668*(1+G669),8)</f>
        <v/>
      </c>
      <c r="K669" s="4">
        <f>ROUND(K668+H669,8)</f>
        <v/>
      </c>
      <c r="L669" s="4">
        <f>ROUND(0.9*F669+0.05*G669+0.05*H669,8)</f>
        <v/>
      </c>
    </row>
    <row r="670">
      <c r="A670" s="2" t="n">
        <v>44749</v>
      </c>
      <c r="B670" s="8" t="n">
        <v>2363.78</v>
      </c>
      <c r="C670" s="8" t="n">
        <v>123.2589</v>
      </c>
      <c r="D670" s="8" t="n">
        <v>0.35</v>
      </c>
      <c r="E670">
        <f>A670-A669</f>
        <v/>
      </c>
      <c r="F670" s="4">
        <f>ROUND(B670/B669-1,8)</f>
        <v/>
      </c>
      <c r="G670" s="4">
        <f>ROUND(C670/C669-1,8)</f>
        <v/>
      </c>
      <c r="H670" s="4">
        <f>ROUND(D670/100/(DATE(YEAR(A670)+1,1,1)-DATE(YEAR(A670),1,1))*E670,8)</f>
        <v/>
      </c>
      <c r="I670" s="4">
        <f>ROUND(I669*(1+F670),8)</f>
        <v/>
      </c>
      <c r="J670" s="4">
        <f>ROUND(J669*(1+G670),8)</f>
        <v/>
      </c>
      <c r="K670" s="4">
        <f>ROUND(K669+H670,8)</f>
        <v/>
      </c>
      <c r="L670" s="4">
        <f>ROUND(0.9*F670+0.05*G670+0.05*H670,8)</f>
        <v/>
      </c>
    </row>
    <row r="671">
      <c r="A671" s="2" t="n">
        <v>44750</v>
      </c>
      <c r="B671" s="8" t="n">
        <v>2364.96</v>
      </c>
      <c r="C671" s="8" t="n">
        <v>123.2612</v>
      </c>
      <c r="D671" s="8" t="n">
        <v>0.35</v>
      </c>
      <c r="E671">
        <f>A671-A670</f>
        <v/>
      </c>
      <c r="F671" s="4">
        <f>ROUND(B671/B670-1,8)</f>
        <v/>
      </c>
      <c r="G671" s="4">
        <f>ROUND(C671/C670-1,8)</f>
        <v/>
      </c>
      <c r="H671" s="4">
        <f>ROUND(D671/100/(DATE(YEAR(A671)+1,1,1)-DATE(YEAR(A671),1,1))*E671,8)</f>
        <v/>
      </c>
      <c r="I671" s="4">
        <f>ROUND(I670*(1+F671),8)</f>
        <v/>
      </c>
      <c r="J671" s="4">
        <f>ROUND(J670*(1+G671),8)</f>
        <v/>
      </c>
      <c r="K671" s="4">
        <f>ROUND(K670+H671,8)</f>
        <v/>
      </c>
      <c r="L671" s="4">
        <f>ROUND(0.9*F671+0.05*G671+0.05*H671,8)</f>
        <v/>
      </c>
    </row>
    <row r="672">
      <c r="A672" s="2" t="n">
        <v>44753</v>
      </c>
      <c r="B672" s="8" t="n">
        <v>2351.6</v>
      </c>
      <c r="C672" s="8" t="n">
        <v>123.3126</v>
      </c>
      <c r="D672" s="8" t="n">
        <v>0.35</v>
      </c>
      <c r="E672">
        <f>A672-A671</f>
        <v/>
      </c>
      <c r="F672" s="4">
        <f>ROUND(B672/B671-1,8)</f>
        <v/>
      </c>
      <c r="G672" s="4">
        <f>ROUND(C672/C671-1,8)</f>
        <v/>
      </c>
      <c r="H672" s="4">
        <f>ROUND(D672/100/(DATE(YEAR(A672)+1,1,1)-DATE(YEAR(A672),1,1))*E672,8)</f>
        <v/>
      </c>
      <c r="I672" s="4">
        <f>ROUND(I671*(1+F672),8)</f>
        <v/>
      </c>
      <c r="J672" s="4">
        <f>ROUND(J671*(1+G672),8)</f>
        <v/>
      </c>
      <c r="K672" s="4">
        <f>ROUND(K671+H672,8)</f>
        <v/>
      </c>
      <c r="L672" s="4">
        <f>ROUND(0.9*F672+0.05*G672+0.05*H672,8)</f>
        <v/>
      </c>
    </row>
    <row r="673">
      <c r="A673" s="2" t="n">
        <v>44754</v>
      </c>
      <c r="B673" s="8" t="n">
        <v>2310.1</v>
      </c>
      <c r="C673" s="8" t="n">
        <v>123.3659</v>
      </c>
      <c r="D673" s="8" t="n">
        <v>0.35</v>
      </c>
      <c r="E673">
        <f>A673-A672</f>
        <v/>
      </c>
      <c r="F673" s="4">
        <f>ROUND(B673/B672-1,8)</f>
        <v/>
      </c>
      <c r="G673" s="4">
        <f>ROUND(C673/C672-1,8)</f>
        <v/>
      </c>
      <c r="H673" s="4">
        <f>ROUND(D673/100/(DATE(YEAR(A673)+1,1,1)-DATE(YEAR(A673),1,1))*E673,8)</f>
        <v/>
      </c>
      <c r="I673" s="4">
        <f>ROUND(I672*(1+F673),8)</f>
        <v/>
      </c>
      <c r="J673" s="4">
        <f>ROUND(J672*(1+G673),8)</f>
        <v/>
      </c>
      <c r="K673" s="4">
        <f>ROUND(K672+H673,8)</f>
        <v/>
      </c>
      <c r="L673" s="4">
        <f>ROUND(0.9*F673+0.05*G673+0.05*H673,8)</f>
        <v/>
      </c>
    </row>
    <row r="674">
      <c r="A674" s="2" t="n">
        <v>44755</v>
      </c>
      <c r="B674" s="8" t="n">
        <v>2348.73</v>
      </c>
      <c r="C674" s="8" t="n">
        <v>123.413</v>
      </c>
      <c r="D674" s="8" t="n">
        <v>0.35</v>
      </c>
      <c r="E674">
        <f>A674-A673</f>
        <v/>
      </c>
      <c r="F674" s="4">
        <f>ROUND(B674/B673-1,8)</f>
        <v/>
      </c>
      <c r="G674" s="4">
        <f>ROUND(C674/C673-1,8)</f>
        <v/>
      </c>
      <c r="H674" s="4">
        <f>ROUND(D674/100/(DATE(YEAR(A674)+1,1,1)-DATE(YEAR(A674),1,1))*E674,8)</f>
        <v/>
      </c>
      <c r="I674" s="4">
        <f>ROUND(I673*(1+F674),8)</f>
        <v/>
      </c>
      <c r="J674" s="4">
        <f>ROUND(J673*(1+G674),8)</f>
        <v/>
      </c>
      <c r="K674" s="4">
        <f>ROUND(K673+H674,8)</f>
        <v/>
      </c>
      <c r="L674" s="4">
        <f>ROUND(0.9*F674+0.05*G674+0.05*H674,8)</f>
        <v/>
      </c>
    </row>
    <row r="675">
      <c r="A675" s="2" t="n">
        <v>44756</v>
      </c>
      <c r="B675" s="8" t="n">
        <v>2366.34</v>
      </c>
      <c r="C675" s="8" t="n">
        <v>123.4676</v>
      </c>
      <c r="D675" s="8" t="n">
        <v>0.35</v>
      </c>
      <c r="E675">
        <f>A675-A674</f>
        <v/>
      </c>
      <c r="F675" s="4">
        <f>ROUND(B675/B674-1,8)</f>
        <v/>
      </c>
      <c r="G675" s="4">
        <f>ROUND(C675/C674-1,8)</f>
        <v/>
      </c>
      <c r="H675" s="4">
        <f>ROUND(D675/100/(DATE(YEAR(A675)+1,1,1)-DATE(YEAR(A675),1,1))*E675,8)</f>
        <v/>
      </c>
      <c r="I675" s="4">
        <f>ROUND(I674*(1+F675),8)</f>
        <v/>
      </c>
      <c r="J675" s="4">
        <f>ROUND(J674*(1+G675),8)</f>
        <v/>
      </c>
      <c r="K675" s="4">
        <f>ROUND(K674+H675,8)</f>
        <v/>
      </c>
      <c r="L675" s="4">
        <f>ROUND(0.9*F675+0.05*G675+0.05*H675,8)</f>
        <v/>
      </c>
    </row>
    <row r="676">
      <c r="A676" s="2" t="n">
        <v>44757</v>
      </c>
      <c r="B676" s="8" t="n">
        <v>2325.5</v>
      </c>
      <c r="C676" s="8" t="n">
        <v>123.5185</v>
      </c>
      <c r="D676" s="8" t="n">
        <v>0.35</v>
      </c>
      <c r="E676">
        <f>A676-A675</f>
        <v/>
      </c>
      <c r="F676" s="4">
        <f>ROUND(B676/B675-1,8)</f>
        <v/>
      </c>
      <c r="G676" s="4">
        <f>ROUND(C676/C675-1,8)</f>
        <v/>
      </c>
      <c r="H676" s="4">
        <f>ROUND(D676/100/(DATE(YEAR(A676)+1,1,1)-DATE(YEAR(A676),1,1))*E676,8)</f>
        <v/>
      </c>
      <c r="I676" s="4">
        <f>ROUND(I675*(1+F676),8)</f>
        <v/>
      </c>
      <c r="J676" s="4">
        <f>ROUND(J675*(1+G676),8)</f>
        <v/>
      </c>
      <c r="K676" s="4">
        <f>ROUND(K675+H676,8)</f>
        <v/>
      </c>
      <c r="L676" s="4">
        <f>ROUND(0.9*F676+0.05*G676+0.05*H676,8)</f>
        <v/>
      </c>
    </row>
    <row r="677">
      <c r="A677" s="2" t="n">
        <v>44760</v>
      </c>
      <c r="B677" s="8" t="n">
        <v>2391.66</v>
      </c>
      <c r="C677" s="8" t="n">
        <v>123.5567</v>
      </c>
      <c r="D677" s="8" t="n">
        <v>0.35</v>
      </c>
      <c r="E677">
        <f>A677-A676</f>
        <v/>
      </c>
      <c r="F677" s="4">
        <f>ROUND(B677/B676-1,8)</f>
        <v/>
      </c>
      <c r="G677" s="4">
        <f>ROUND(C677/C676-1,8)</f>
        <v/>
      </c>
      <c r="H677" s="4">
        <f>ROUND(D677/100/(DATE(YEAR(A677)+1,1,1)-DATE(YEAR(A677),1,1))*E677,8)</f>
        <v/>
      </c>
      <c r="I677" s="4">
        <f>ROUND(I676*(1+F677),8)</f>
        <v/>
      </c>
      <c r="J677" s="4">
        <f>ROUND(J676*(1+G677),8)</f>
        <v/>
      </c>
      <c r="K677" s="4">
        <f>ROUND(K676+H677,8)</f>
        <v/>
      </c>
      <c r="L677" s="4">
        <f>ROUND(0.9*F677+0.05*G677+0.05*H677,8)</f>
        <v/>
      </c>
    </row>
    <row r="678">
      <c r="A678" s="2" t="n">
        <v>44761</v>
      </c>
      <c r="B678" s="8" t="n">
        <v>2418.86</v>
      </c>
      <c r="C678" s="8" t="n">
        <v>123.567</v>
      </c>
      <c r="D678" s="8" t="n">
        <v>0.35</v>
      </c>
      <c r="E678">
        <f>A678-A677</f>
        <v/>
      </c>
      <c r="F678" s="4">
        <f>ROUND(B678/B677-1,8)</f>
        <v/>
      </c>
      <c r="G678" s="4">
        <f>ROUND(C678/C677-1,8)</f>
        <v/>
      </c>
      <c r="H678" s="4">
        <f>ROUND(D678/100/(DATE(YEAR(A678)+1,1,1)-DATE(YEAR(A678),1,1))*E678,8)</f>
        <v/>
      </c>
      <c r="I678" s="4">
        <f>ROUND(I677*(1+F678),8)</f>
        <v/>
      </c>
      <c r="J678" s="4">
        <f>ROUND(J677*(1+G678),8)</f>
        <v/>
      </c>
      <c r="K678" s="4">
        <f>ROUND(K677+H678,8)</f>
        <v/>
      </c>
      <c r="L678" s="4">
        <f>ROUND(0.9*F678+0.05*G678+0.05*H678,8)</f>
        <v/>
      </c>
    </row>
    <row r="679">
      <c r="A679" s="2" t="n">
        <v>44762</v>
      </c>
      <c r="B679" s="8" t="n">
        <v>2440.54</v>
      </c>
      <c r="C679" s="8" t="n">
        <v>123.6143</v>
      </c>
      <c r="D679" s="8" t="n">
        <v>0.35</v>
      </c>
      <c r="E679">
        <f>A679-A678</f>
        <v/>
      </c>
      <c r="F679" s="4">
        <f>ROUND(B679/B678-1,8)</f>
        <v/>
      </c>
      <c r="G679" s="4">
        <f>ROUND(C679/C678-1,8)</f>
        <v/>
      </c>
      <c r="H679" s="4">
        <f>ROUND(D679/100/(DATE(YEAR(A679)+1,1,1)-DATE(YEAR(A679),1,1))*E679,8)</f>
        <v/>
      </c>
      <c r="I679" s="4">
        <f>ROUND(I678*(1+F679),8)</f>
        <v/>
      </c>
      <c r="J679" s="4">
        <f>ROUND(J678*(1+G679),8)</f>
        <v/>
      </c>
      <c r="K679" s="4">
        <f>ROUND(K678+H679,8)</f>
        <v/>
      </c>
      <c r="L679" s="4">
        <f>ROUND(0.9*F679+0.05*G679+0.05*H679,8)</f>
        <v/>
      </c>
    </row>
    <row r="680">
      <c r="A680" s="2" t="n">
        <v>44763</v>
      </c>
      <c r="B680" s="8" t="n">
        <v>2430.76</v>
      </c>
      <c r="C680" s="8" t="n">
        <v>123.674</v>
      </c>
      <c r="D680" s="8" t="n">
        <v>0.35</v>
      </c>
      <c r="E680">
        <f>A680-A679</f>
        <v/>
      </c>
      <c r="F680" s="4">
        <f>ROUND(B680/B679-1,8)</f>
        <v/>
      </c>
      <c r="G680" s="4">
        <f>ROUND(C680/C679-1,8)</f>
        <v/>
      </c>
      <c r="H680" s="4">
        <f>ROUND(D680/100/(DATE(YEAR(A680)+1,1,1)-DATE(YEAR(A680),1,1))*E680,8)</f>
        <v/>
      </c>
      <c r="I680" s="4">
        <f>ROUND(I679*(1+F680),8)</f>
        <v/>
      </c>
      <c r="J680" s="4">
        <f>ROUND(J679*(1+G680),8)</f>
        <v/>
      </c>
      <c r="K680" s="4">
        <f>ROUND(K679+H680,8)</f>
        <v/>
      </c>
      <c r="L680" s="4">
        <f>ROUND(0.9*F680+0.05*G680+0.05*H680,8)</f>
        <v/>
      </c>
    </row>
    <row r="681">
      <c r="A681" s="2" t="n">
        <v>44764</v>
      </c>
      <c r="B681" s="8" t="n">
        <v>2427.65</v>
      </c>
      <c r="C681" s="8" t="n">
        <v>123.6659</v>
      </c>
      <c r="D681" s="8" t="n">
        <v>0.35</v>
      </c>
      <c r="E681">
        <f>A681-A680</f>
        <v/>
      </c>
      <c r="F681" s="4">
        <f>ROUND(B681/B680-1,8)</f>
        <v/>
      </c>
      <c r="G681" s="4">
        <f>ROUND(C681/C680-1,8)</f>
        <v/>
      </c>
      <c r="H681" s="4">
        <f>ROUND(D681/100/(DATE(YEAR(A681)+1,1,1)-DATE(YEAR(A681),1,1))*E681,8)</f>
        <v/>
      </c>
      <c r="I681" s="4">
        <f>ROUND(I680*(1+F681),8)</f>
        <v/>
      </c>
      <c r="J681" s="4">
        <f>ROUND(J680*(1+G681),8)</f>
        <v/>
      </c>
      <c r="K681" s="4">
        <f>ROUND(K680+H681,8)</f>
        <v/>
      </c>
      <c r="L681" s="4">
        <f>ROUND(0.9*F681+0.05*G681+0.05*H681,8)</f>
        <v/>
      </c>
    </row>
    <row r="682">
      <c r="A682" s="2" t="n">
        <v>44767</v>
      </c>
      <c r="B682" s="8" t="n">
        <v>2398.31</v>
      </c>
      <c r="C682" s="8" t="n">
        <v>123.6941</v>
      </c>
      <c r="D682" s="8" t="n">
        <v>0.35</v>
      </c>
      <c r="E682">
        <f>A682-A681</f>
        <v/>
      </c>
      <c r="F682" s="4">
        <f>ROUND(B682/B681-1,8)</f>
        <v/>
      </c>
      <c r="G682" s="4">
        <f>ROUND(C682/C681-1,8)</f>
        <v/>
      </c>
      <c r="H682" s="4">
        <f>ROUND(D682/100/(DATE(YEAR(A682)+1,1,1)-DATE(YEAR(A682),1,1))*E682,8)</f>
        <v/>
      </c>
      <c r="I682" s="4">
        <f>ROUND(I681*(1+F682),8)</f>
        <v/>
      </c>
      <c r="J682" s="4">
        <f>ROUND(J681*(1+G682),8)</f>
        <v/>
      </c>
      <c r="K682" s="4">
        <f>ROUND(K681+H682,8)</f>
        <v/>
      </c>
      <c r="L682" s="4">
        <f>ROUND(0.9*F682+0.05*G682+0.05*H682,8)</f>
        <v/>
      </c>
    </row>
    <row r="683">
      <c r="A683" s="2" t="n">
        <v>44768</v>
      </c>
      <c r="B683" s="8" t="n">
        <v>2428.65</v>
      </c>
      <c r="C683" s="8" t="n">
        <v>123.7477</v>
      </c>
      <c r="D683" s="8" t="n">
        <v>0.35</v>
      </c>
      <c r="E683">
        <f>A683-A682</f>
        <v/>
      </c>
      <c r="F683" s="4">
        <f>ROUND(B683/B682-1,8)</f>
        <v/>
      </c>
      <c r="G683" s="4">
        <f>ROUND(C683/C682-1,8)</f>
        <v/>
      </c>
      <c r="H683" s="4">
        <f>ROUND(D683/100/(DATE(YEAR(A683)+1,1,1)-DATE(YEAR(A683),1,1))*E683,8)</f>
        <v/>
      </c>
      <c r="I683" s="4">
        <f>ROUND(I682*(1+F683),8)</f>
        <v/>
      </c>
      <c r="J683" s="4">
        <f>ROUND(J682*(1+G683),8)</f>
        <v/>
      </c>
      <c r="K683" s="4">
        <f>ROUND(K682+H683,8)</f>
        <v/>
      </c>
      <c r="L683" s="4">
        <f>ROUND(0.9*F683+0.05*G683+0.05*H683,8)</f>
        <v/>
      </c>
    </row>
    <row r="684">
      <c r="A684" s="2" t="n">
        <v>44769</v>
      </c>
      <c r="B684" s="8" t="n">
        <v>2459.01</v>
      </c>
      <c r="C684" s="8" t="n">
        <v>123.7826</v>
      </c>
      <c r="D684" s="8" t="n">
        <v>0.35</v>
      </c>
      <c r="E684">
        <f>A684-A683</f>
        <v/>
      </c>
      <c r="F684" s="4">
        <f>ROUND(B684/B683-1,8)</f>
        <v/>
      </c>
      <c r="G684" s="4">
        <f>ROUND(C684/C683-1,8)</f>
        <v/>
      </c>
      <c r="H684" s="4">
        <f>ROUND(D684/100/(DATE(YEAR(A684)+1,1,1)-DATE(YEAR(A684),1,1))*E684,8)</f>
        <v/>
      </c>
      <c r="I684" s="4">
        <f>ROUND(I683*(1+F684),8)</f>
        <v/>
      </c>
      <c r="J684" s="4">
        <f>ROUND(J683*(1+G684),8)</f>
        <v/>
      </c>
      <c r="K684" s="4">
        <f>ROUND(K683+H684,8)</f>
        <v/>
      </c>
      <c r="L684" s="4">
        <f>ROUND(0.9*F684+0.05*G684+0.05*H684,8)</f>
        <v/>
      </c>
    </row>
    <row r="685">
      <c r="A685" s="2" t="n">
        <v>44770</v>
      </c>
      <c r="B685" s="8" t="n">
        <v>2479.11</v>
      </c>
      <c r="C685" s="8" t="n">
        <v>123.7601</v>
      </c>
      <c r="D685" s="8" t="n">
        <v>0.35</v>
      </c>
      <c r="E685">
        <f>A685-A684</f>
        <v/>
      </c>
      <c r="F685" s="4">
        <f>ROUND(B685/B684-1,8)</f>
        <v/>
      </c>
      <c r="G685" s="4">
        <f>ROUND(C685/C684-1,8)</f>
        <v/>
      </c>
      <c r="H685" s="4">
        <f>ROUND(D685/100/(DATE(YEAR(A685)+1,1,1)-DATE(YEAR(A685),1,1))*E685,8)</f>
        <v/>
      </c>
      <c r="I685" s="4">
        <f>ROUND(I684*(1+F685),8)</f>
        <v/>
      </c>
      <c r="J685" s="4">
        <f>ROUND(J684*(1+G685),8)</f>
        <v/>
      </c>
      <c r="K685" s="4">
        <f>ROUND(K684+H685,8)</f>
        <v/>
      </c>
      <c r="L685" s="4">
        <f>ROUND(0.9*F685+0.05*G685+0.05*H685,8)</f>
        <v/>
      </c>
    </row>
    <row r="686">
      <c r="A686" s="2" t="n">
        <v>44771</v>
      </c>
      <c r="B686" s="8" t="n">
        <v>2473.74</v>
      </c>
      <c r="C686" s="8" t="n">
        <v>123.8588</v>
      </c>
      <c r="D686" s="8" t="n">
        <v>0.35</v>
      </c>
      <c r="E686">
        <f>A686-A685</f>
        <v/>
      </c>
      <c r="F686" s="4">
        <f>ROUND(B686/B685-1,8)</f>
        <v/>
      </c>
      <c r="G686" s="4">
        <f>ROUND(C686/C685-1,8)</f>
        <v/>
      </c>
      <c r="H686" s="4">
        <f>ROUND(D686/100/(DATE(YEAR(A686)+1,1,1)-DATE(YEAR(A686),1,1))*E686,8)</f>
        <v/>
      </c>
      <c r="I686" s="4">
        <f>ROUND(I685*(1+F686),8)</f>
        <v/>
      </c>
      <c r="J686" s="4">
        <f>ROUND(J685*(1+G686),8)</f>
        <v/>
      </c>
      <c r="K686" s="4">
        <f>ROUND(K685+H686,8)</f>
        <v/>
      </c>
      <c r="L686" s="4">
        <f>ROUND(0.9*F686+0.05*G686+0.05*H686,8)</f>
        <v/>
      </c>
    </row>
    <row r="687">
      <c r="A687" s="2" t="n">
        <v>44774</v>
      </c>
      <c r="B687" s="8" t="n">
        <v>2488.01</v>
      </c>
      <c r="C687" s="8" t="n">
        <v>123.9865</v>
      </c>
      <c r="D687" s="8" t="n">
        <v>0.35</v>
      </c>
      <c r="E687">
        <f>A687-A686</f>
        <v/>
      </c>
      <c r="F687" s="4">
        <f>ROUND(B687/B686-1,8)</f>
        <v/>
      </c>
      <c r="G687" s="4">
        <f>ROUND(C687/C686-1,8)</f>
        <v/>
      </c>
      <c r="H687" s="4">
        <f>ROUND(D687/100/(DATE(YEAR(A687)+1,1,1)-DATE(YEAR(A687),1,1))*E687,8)</f>
        <v/>
      </c>
      <c r="I687" s="4">
        <f>ROUND(I686*(1+F687),8)</f>
        <v/>
      </c>
      <c r="J687" s="4">
        <f>ROUND(J686*(1+G687),8)</f>
        <v/>
      </c>
      <c r="K687" s="4">
        <f>ROUND(K686+H687,8)</f>
        <v/>
      </c>
      <c r="L687" s="4">
        <f>ROUND(0.9*F687+0.05*G687+0.05*H687,8)</f>
        <v/>
      </c>
    </row>
    <row r="688">
      <c r="A688" s="2" t="n">
        <v>44775</v>
      </c>
      <c r="B688" s="8" t="n">
        <v>2380.89</v>
      </c>
      <c r="C688" s="8" t="n">
        <v>124.062</v>
      </c>
      <c r="D688" s="8" t="n">
        <v>0.35</v>
      </c>
      <c r="E688">
        <f>A688-A687</f>
        <v/>
      </c>
      <c r="F688" s="4">
        <f>ROUND(B688/B687-1,8)</f>
        <v/>
      </c>
      <c r="G688" s="4">
        <f>ROUND(C688/C687-1,8)</f>
        <v/>
      </c>
      <c r="H688" s="4">
        <f>ROUND(D688/100/(DATE(YEAR(A688)+1,1,1)-DATE(YEAR(A688),1,1))*E688,8)</f>
        <v/>
      </c>
      <c r="I688" s="4">
        <f>ROUND(I687*(1+F688),8)</f>
        <v/>
      </c>
      <c r="J688" s="4">
        <f>ROUND(J687*(1+G688),8)</f>
        <v/>
      </c>
      <c r="K688" s="4">
        <f>ROUND(K687+H688,8)</f>
        <v/>
      </c>
      <c r="L688" s="4">
        <f>ROUND(0.9*F688+0.05*G688+0.05*H688,8)</f>
        <v/>
      </c>
    </row>
    <row r="689">
      <c r="A689" s="2" t="n">
        <v>44776</v>
      </c>
      <c r="B689" s="8" t="n">
        <v>2362.88</v>
      </c>
      <c r="C689" s="8" t="n">
        <v>124.1128</v>
      </c>
      <c r="D689" s="8" t="n">
        <v>0.35</v>
      </c>
      <c r="E689">
        <f>A689-A688</f>
        <v/>
      </c>
      <c r="F689" s="4">
        <f>ROUND(B689/B688-1,8)</f>
        <v/>
      </c>
      <c r="G689" s="4">
        <f>ROUND(C689/C688-1,8)</f>
        <v/>
      </c>
      <c r="H689" s="4">
        <f>ROUND(D689/100/(DATE(YEAR(A689)+1,1,1)-DATE(YEAR(A689),1,1))*E689,8)</f>
        <v/>
      </c>
      <c r="I689" s="4">
        <f>ROUND(I688*(1+F689),8)</f>
        <v/>
      </c>
      <c r="J689" s="4">
        <f>ROUND(J688*(1+G689),8)</f>
        <v/>
      </c>
      <c r="K689" s="4">
        <f>ROUND(K688+H689,8)</f>
        <v/>
      </c>
      <c r="L689" s="4">
        <f>ROUND(0.9*F689+0.05*G689+0.05*H689,8)</f>
        <v/>
      </c>
    </row>
    <row r="690">
      <c r="A690" s="2" t="n">
        <v>44777</v>
      </c>
      <c r="B690" s="8" t="n">
        <v>2399.43</v>
      </c>
      <c r="C690" s="8" t="n">
        <v>124.1945</v>
      </c>
      <c r="D690" s="8" t="n">
        <v>0.35</v>
      </c>
      <c r="E690">
        <f>A690-A689</f>
        <v/>
      </c>
      <c r="F690" s="4">
        <f>ROUND(B690/B689-1,8)</f>
        <v/>
      </c>
      <c r="G690" s="4">
        <f>ROUND(C690/C689-1,8)</f>
        <v/>
      </c>
      <c r="H690" s="4">
        <f>ROUND(D690/100/(DATE(YEAR(A690)+1,1,1)-DATE(YEAR(A690),1,1))*E690,8)</f>
        <v/>
      </c>
      <c r="I690" s="4">
        <f>ROUND(I689*(1+F690),8)</f>
        <v/>
      </c>
      <c r="J690" s="4">
        <f>ROUND(J689*(1+G690),8)</f>
        <v/>
      </c>
      <c r="K690" s="4">
        <f>ROUND(K689+H690,8)</f>
        <v/>
      </c>
      <c r="L690" s="4">
        <f>ROUND(0.9*F690+0.05*G690+0.05*H690,8)</f>
        <v/>
      </c>
    </row>
    <row r="691">
      <c r="A691" s="2" t="n">
        <v>44778</v>
      </c>
      <c r="B691" s="8" t="n">
        <v>2416.01</v>
      </c>
      <c r="C691" s="8" t="n">
        <v>124.1592</v>
      </c>
      <c r="D691" s="8" t="n">
        <v>0.35</v>
      </c>
      <c r="E691">
        <f>A691-A690</f>
        <v/>
      </c>
      <c r="F691" s="4">
        <f>ROUND(B691/B690-1,8)</f>
        <v/>
      </c>
      <c r="G691" s="4">
        <f>ROUND(C691/C690-1,8)</f>
        <v/>
      </c>
      <c r="H691" s="4">
        <f>ROUND(D691/100/(DATE(YEAR(A691)+1,1,1)-DATE(YEAR(A691),1,1))*E691,8)</f>
        <v/>
      </c>
      <c r="I691" s="4">
        <f>ROUND(I690*(1+F691),8)</f>
        <v/>
      </c>
      <c r="J691" s="4">
        <f>ROUND(J690*(1+G691),8)</f>
        <v/>
      </c>
      <c r="K691" s="4">
        <f>ROUND(K690+H691,8)</f>
        <v/>
      </c>
      <c r="L691" s="4">
        <f>ROUND(0.9*F691+0.05*G691+0.05*H691,8)</f>
        <v/>
      </c>
    </row>
    <row r="692">
      <c r="A692" s="2" t="n">
        <v>44781</v>
      </c>
      <c r="B692" s="8" t="n">
        <v>2467.8</v>
      </c>
      <c r="C692" s="8" t="n">
        <v>124.1439</v>
      </c>
      <c r="D692" s="8" t="n">
        <v>0.35</v>
      </c>
      <c r="E692">
        <f>A692-A691</f>
        <v/>
      </c>
      <c r="F692" s="4">
        <f>ROUND(B692/B691-1,8)</f>
        <v/>
      </c>
      <c r="G692" s="4">
        <f>ROUND(C692/C691-1,8)</f>
        <v/>
      </c>
      <c r="H692" s="4">
        <f>ROUND(D692/100/(DATE(YEAR(A692)+1,1,1)-DATE(YEAR(A692),1,1))*E692,8)</f>
        <v/>
      </c>
      <c r="I692" s="4">
        <f>ROUND(I691*(1+F692),8)</f>
        <v/>
      </c>
      <c r="J692" s="4">
        <f>ROUND(J691*(1+G692),8)</f>
        <v/>
      </c>
      <c r="K692" s="4">
        <f>ROUND(K691+H692,8)</f>
        <v/>
      </c>
      <c r="L692" s="4">
        <f>ROUND(0.9*F692+0.05*G692+0.05*H692,8)</f>
        <v/>
      </c>
    </row>
    <row r="693">
      <c r="A693" s="2" t="n">
        <v>44782</v>
      </c>
      <c r="B693" s="8" t="n">
        <v>2478.4</v>
      </c>
      <c r="C693" s="8" t="n">
        <v>124.094</v>
      </c>
      <c r="D693" s="8" t="n">
        <v>0.35</v>
      </c>
      <c r="E693">
        <f>A693-A692</f>
        <v/>
      </c>
      <c r="F693" s="4">
        <f>ROUND(B693/B692-1,8)</f>
        <v/>
      </c>
      <c r="G693" s="4">
        <f>ROUND(C693/C692-1,8)</f>
        <v/>
      </c>
      <c r="H693" s="4">
        <f>ROUND(D693/100/(DATE(YEAR(A693)+1,1,1)-DATE(YEAR(A693),1,1))*E693,8)</f>
        <v/>
      </c>
      <c r="I693" s="4">
        <f>ROUND(I692*(1+F693),8)</f>
        <v/>
      </c>
      <c r="J693" s="4">
        <f>ROUND(J692*(1+G693),8)</f>
        <v/>
      </c>
      <c r="K693" s="4">
        <f>ROUND(K692+H693,8)</f>
        <v/>
      </c>
      <c r="L693" s="4">
        <f>ROUND(0.9*F693+0.05*G693+0.05*H693,8)</f>
        <v/>
      </c>
    </row>
    <row r="694">
      <c r="A694" s="2" t="n">
        <v>44783</v>
      </c>
      <c r="B694" s="8" t="n">
        <v>2500.34</v>
      </c>
      <c r="C694" s="8" t="n">
        <v>124.0953</v>
      </c>
      <c r="D694" s="8" t="n">
        <v>0.35</v>
      </c>
      <c r="E694">
        <f>A694-A693</f>
        <v/>
      </c>
      <c r="F694" s="4">
        <f>ROUND(B694/B693-1,8)</f>
        <v/>
      </c>
      <c r="G694" s="4">
        <f>ROUND(C694/C693-1,8)</f>
        <v/>
      </c>
      <c r="H694" s="4">
        <f>ROUND(D694/100/(DATE(YEAR(A694)+1,1,1)-DATE(YEAR(A694),1,1))*E694,8)</f>
        <v/>
      </c>
      <c r="I694" s="4">
        <f>ROUND(I693*(1+F694),8)</f>
        <v/>
      </c>
      <c r="J694" s="4">
        <f>ROUND(J693*(1+G694),8)</f>
        <v/>
      </c>
      <c r="K694" s="4">
        <f>ROUND(K693+H694,8)</f>
        <v/>
      </c>
      <c r="L694" s="4">
        <f>ROUND(0.9*F694+0.05*G694+0.05*H694,8)</f>
        <v/>
      </c>
    </row>
    <row r="695">
      <c r="A695" s="2" t="n">
        <v>44784</v>
      </c>
      <c r="B695" s="8" t="n">
        <v>2523.77</v>
      </c>
      <c r="C695" s="8" t="n">
        <v>124.0812</v>
      </c>
      <c r="D695" s="8" t="n">
        <v>0.35</v>
      </c>
      <c r="E695">
        <f>A695-A694</f>
        <v/>
      </c>
      <c r="F695" s="4">
        <f>ROUND(B695/B694-1,8)</f>
        <v/>
      </c>
      <c r="G695" s="4">
        <f>ROUND(C695/C694-1,8)</f>
        <v/>
      </c>
      <c r="H695" s="4">
        <f>ROUND(D695/100/(DATE(YEAR(A695)+1,1,1)-DATE(YEAR(A695),1,1))*E695,8)</f>
        <v/>
      </c>
      <c r="I695" s="4">
        <f>ROUND(I694*(1+F695),8)</f>
        <v/>
      </c>
      <c r="J695" s="4">
        <f>ROUND(J694*(1+G695),8)</f>
        <v/>
      </c>
      <c r="K695" s="4">
        <f>ROUND(K694+H695,8)</f>
        <v/>
      </c>
      <c r="L695" s="4">
        <f>ROUND(0.9*F695+0.05*G695+0.05*H695,8)</f>
        <v/>
      </c>
    </row>
    <row r="696">
      <c r="A696" s="2" t="n">
        <v>44785</v>
      </c>
      <c r="B696" s="8" t="n">
        <v>2508.31</v>
      </c>
      <c r="C696" s="8" t="n">
        <v>124.0713</v>
      </c>
      <c r="D696" s="8" t="n">
        <v>0.35</v>
      </c>
      <c r="E696">
        <f>A696-A695</f>
        <v/>
      </c>
      <c r="F696" s="4">
        <f>ROUND(B696/B695-1,8)</f>
        <v/>
      </c>
      <c r="G696" s="4">
        <f>ROUND(C696/C695-1,8)</f>
        <v/>
      </c>
      <c r="H696" s="4">
        <f>ROUND(D696/100/(DATE(YEAR(A696)+1,1,1)-DATE(YEAR(A696),1,1))*E696,8)</f>
        <v/>
      </c>
      <c r="I696" s="4">
        <f>ROUND(I695*(1+F696),8)</f>
        <v/>
      </c>
      <c r="J696" s="4">
        <f>ROUND(J695*(1+G696),8)</f>
        <v/>
      </c>
      <c r="K696" s="4">
        <f>ROUND(K695+H696,8)</f>
        <v/>
      </c>
      <c r="L696" s="4">
        <f>ROUND(0.9*F696+0.05*G696+0.05*H696,8)</f>
        <v/>
      </c>
    </row>
    <row r="697">
      <c r="A697" s="2" t="n">
        <v>44788</v>
      </c>
      <c r="B697" s="8" t="n">
        <v>2531.79</v>
      </c>
      <c r="C697" s="8" t="n">
        <v>124.3302</v>
      </c>
      <c r="D697" s="8" t="n">
        <v>0.35</v>
      </c>
      <c r="E697">
        <f>A697-A696</f>
        <v/>
      </c>
      <c r="F697" s="4">
        <f>ROUND(B697/B696-1,8)</f>
        <v/>
      </c>
      <c r="G697" s="4">
        <f>ROUND(C697/C696-1,8)</f>
        <v/>
      </c>
      <c r="H697" s="4">
        <f>ROUND(D697/100/(DATE(YEAR(A697)+1,1,1)-DATE(YEAR(A697),1,1))*E697,8)</f>
        <v/>
      </c>
      <c r="I697" s="4">
        <f>ROUND(I696*(1+F697),8)</f>
        <v/>
      </c>
      <c r="J697" s="4">
        <f>ROUND(J696*(1+G697),8)</f>
        <v/>
      </c>
      <c r="K697" s="4">
        <f>ROUND(K696+H697,8)</f>
        <v/>
      </c>
      <c r="L697" s="4">
        <f>ROUND(0.9*F697+0.05*G697+0.05*H697,8)</f>
        <v/>
      </c>
    </row>
    <row r="698">
      <c r="A698" s="2" t="n">
        <v>44789</v>
      </c>
      <c r="B698" s="8" t="n">
        <v>2562.88</v>
      </c>
      <c r="C698" s="8" t="n">
        <v>124.4678</v>
      </c>
      <c r="D698" s="8" t="n">
        <v>0.35</v>
      </c>
      <c r="E698">
        <f>A698-A697</f>
        <v/>
      </c>
      <c r="F698" s="4">
        <f>ROUND(B698/B697-1,8)</f>
        <v/>
      </c>
      <c r="G698" s="4">
        <f>ROUND(C698/C697-1,8)</f>
        <v/>
      </c>
      <c r="H698" s="4">
        <f>ROUND(D698/100/(DATE(YEAR(A698)+1,1,1)-DATE(YEAR(A698),1,1))*E698,8)</f>
        <v/>
      </c>
      <c r="I698" s="4">
        <f>ROUND(I697*(1+F698),8)</f>
        <v/>
      </c>
      <c r="J698" s="4">
        <f>ROUND(J697*(1+G698),8)</f>
        <v/>
      </c>
      <c r="K698" s="4">
        <f>ROUND(K697+H698,8)</f>
        <v/>
      </c>
      <c r="L698" s="4">
        <f>ROUND(0.9*F698+0.05*G698+0.05*H698,8)</f>
        <v/>
      </c>
    </row>
    <row r="699">
      <c r="A699" s="2" t="n">
        <v>44790</v>
      </c>
      <c r="B699" s="8" t="n">
        <v>2564.08</v>
      </c>
      <c r="C699" s="8" t="n">
        <v>124.4708</v>
      </c>
      <c r="D699" s="8" t="n">
        <v>0.35</v>
      </c>
      <c r="E699">
        <f>A699-A698</f>
        <v/>
      </c>
      <c r="F699" s="4">
        <f>ROUND(B699/B698-1,8)</f>
        <v/>
      </c>
      <c r="G699" s="4">
        <f>ROUND(C699/C698-1,8)</f>
        <v/>
      </c>
      <c r="H699" s="4">
        <f>ROUND(D699/100/(DATE(YEAR(A699)+1,1,1)-DATE(YEAR(A699),1,1))*E699,8)</f>
        <v/>
      </c>
      <c r="I699" s="4">
        <f>ROUND(I698*(1+F699),8)</f>
        <v/>
      </c>
      <c r="J699" s="4">
        <f>ROUND(J698*(1+G699),8)</f>
        <v/>
      </c>
      <c r="K699" s="4">
        <f>ROUND(K698+H699,8)</f>
        <v/>
      </c>
      <c r="L699" s="4">
        <f>ROUND(0.9*F699+0.05*G699+0.05*H699,8)</f>
        <v/>
      </c>
    </row>
    <row r="700">
      <c r="A700" s="2" t="n">
        <v>44791</v>
      </c>
      <c r="B700" s="8" t="n">
        <v>2582.72</v>
      </c>
      <c r="C700" s="8" t="n">
        <v>124.5611</v>
      </c>
      <c r="D700" s="8" t="n">
        <v>0.35</v>
      </c>
      <c r="E700">
        <f>A700-A699</f>
        <v/>
      </c>
      <c r="F700" s="4">
        <f>ROUND(B700/B699-1,8)</f>
        <v/>
      </c>
      <c r="G700" s="4">
        <f>ROUND(C700/C699-1,8)</f>
        <v/>
      </c>
      <c r="H700" s="4">
        <f>ROUND(D700/100/(DATE(YEAR(A700)+1,1,1)-DATE(YEAR(A700),1,1))*E700,8)</f>
        <v/>
      </c>
      <c r="I700" s="4">
        <f>ROUND(I699*(1+F700),8)</f>
        <v/>
      </c>
      <c r="J700" s="4">
        <f>ROUND(J699*(1+G700),8)</f>
        <v/>
      </c>
      <c r="K700" s="4">
        <f>ROUND(K699+H700,8)</f>
        <v/>
      </c>
      <c r="L700" s="4">
        <f>ROUND(0.9*F700+0.05*G700+0.05*H700,8)</f>
        <v/>
      </c>
    </row>
    <row r="701">
      <c r="A701" s="2" t="n">
        <v>44792</v>
      </c>
      <c r="B701" s="8" t="n">
        <v>2537.6</v>
      </c>
      <c r="C701" s="8" t="n">
        <v>124.61</v>
      </c>
      <c r="D701" s="8" t="n">
        <v>0.35</v>
      </c>
      <c r="E701">
        <f>A701-A700</f>
        <v/>
      </c>
      <c r="F701" s="4">
        <f>ROUND(B701/B700-1,8)</f>
        <v/>
      </c>
      <c r="G701" s="4">
        <f>ROUND(C701/C700-1,8)</f>
        <v/>
      </c>
      <c r="H701" s="4">
        <f>ROUND(D701/100/(DATE(YEAR(A701)+1,1,1)-DATE(YEAR(A701),1,1))*E701,8)</f>
        <v/>
      </c>
      <c r="I701" s="4">
        <f>ROUND(I700*(1+F701),8)</f>
        <v/>
      </c>
      <c r="J701" s="4">
        <f>ROUND(J700*(1+G701),8)</f>
        <v/>
      </c>
      <c r="K701" s="4">
        <f>ROUND(K700+H701,8)</f>
        <v/>
      </c>
      <c r="L701" s="4">
        <f>ROUND(0.9*F701+0.05*G701+0.05*H701,8)</f>
        <v/>
      </c>
    </row>
    <row r="702">
      <c r="A702" s="2" t="n">
        <v>44795</v>
      </c>
      <c r="B702" s="8" t="n">
        <v>2548.92</v>
      </c>
      <c r="C702" s="8" t="n">
        <v>124.6053</v>
      </c>
      <c r="D702" s="8" t="n">
        <v>0.35</v>
      </c>
      <c r="E702">
        <f>A702-A701</f>
        <v/>
      </c>
      <c r="F702" s="4">
        <f>ROUND(B702/B701-1,8)</f>
        <v/>
      </c>
      <c r="G702" s="4">
        <f>ROUND(C702/C701-1,8)</f>
        <v/>
      </c>
      <c r="H702" s="4">
        <f>ROUND(D702/100/(DATE(YEAR(A702)+1,1,1)-DATE(YEAR(A702),1,1))*E702,8)</f>
        <v/>
      </c>
      <c r="I702" s="4">
        <f>ROUND(I701*(1+F702),8)</f>
        <v/>
      </c>
      <c r="J702" s="4">
        <f>ROUND(J701*(1+G702),8)</f>
        <v/>
      </c>
      <c r="K702" s="4">
        <f>ROUND(K701+H702,8)</f>
        <v/>
      </c>
      <c r="L702" s="4">
        <f>ROUND(0.9*F702+0.05*G702+0.05*H702,8)</f>
        <v/>
      </c>
    </row>
    <row r="703">
      <c r="A703" s="2" t="n">
        <v>44796</v>
      </c>
      <c r="B703" s="8" t="n">
        <v>2571.55</v>
      </c>
      <c r="C703" s="8" t="n">
        <v>124.55</v>
      </c>
      <c r="D703" s="8" t="n">
        <v>0.35</v>
      </c>
      <c r="E703">
        <f>A703-A702</f>
        <v/>
      </c>
      <c r="F703" s="4">
        <f>ROUND(B703/B702-1,8)</f>
        <v/>
      </c>
      <c r="G703" s="4">
        <f>ROUND(C703/C702-1,8)</f>
        <v/>
      </c>
      <c r="H703" s="4">
        <f>ROUND(D703/100/(DATE(YEAR(A703)+1,1,1)-DATE(YEAR(A703),1,1))*E703,8)</f>
        <v/>
      </c>
      <c r="I703" s="4">
        <f>ROUND(I702*(1+F703),8)</f>
        <v/>
      </c>
      <c r="J703" s="4">
        <f>ROUND(J702*(1+G703),8)</f>
        <v/>
      </c>
      <c r="K703" s="4">
        <f>ROUND(K702+H703,8)</f>
        <v/>
      </c>
      <c r="L703" s="4">
        <f>ROUND(0.9*F703+0.05*G703+0.05*H703,8)</f>
        <v/>
      </c>
    </row>
    <row r="704">
      <c r="A704" s="2" t="n">
        <v>44797</v>
      </c>
      <c r="B704" s="8" t="n">
        <v>2484.04</v>
      </c>
      <c r="C704" s="8" t="n">
        <v>124.5273</v>
      </c>
      <c r="D704" s="8" t="n">
        <v>0.35</v>
      </c>
      <c r="E704">
        <f>A704-A703</f>
        <v/>
      </c>
      <c r="F704" s="4">
        <f>ROUND(B704/B703-1,8)</f>
        <v/>
      </c>
      <c r="G704" s="4">
        <f>ROUND(C704/C703-1,8)</f>
        <v/>
      </c>
      <c r="H704" s="4">
        <f>ROUND(D704/100/(DATE(YEAR(A704)+1,1,1)-DATE(YEAR(A704),1,1))*E704,8)</f>
        <v/>
      </c>
      <c r="I704" s="4">
        <f>ROUND(I703*(1+F704),8)</f>
        <v/>
      </c>
      <c r="J704" s="4">
        <f>ROUND(J703*(1+G704),8)</f>
        <v/>
      </c>
      <c r="K704" s="4">
        <f>ROUND(K703+H704,8)</f>
        <v/>
      </c>
      <c r="L704" s="4">
        <f>ROUND(0.9*F704+0.05*G704+0.05*H704,8)</f>
        <v/>
      </c>
    </row>
    <row r="705">
      <c r="A705" s="2" t="n">
        <v>44798</v>
      </c>
      <c r="B705" s="8" t="n">
        <v>2458.95</v>
      </c>
      <c r="C705" s="8" t="n">
        <v>124.4114</v>
      </c>
      <c r="D705" s="8" t="n">
        <v>0.35</v>
      </c>
      <c r="E705">
        <f>A705-A704</f>
        <v/>
      </c>
      <c r="F705" s="4">
        <f>ROUND(B705/B704-1,8)</f>
        <v/>
      </c>
      <c r="G705" s="4">
        <f>ROUND(C705/C704-1,8)</f>
        <v/>
      </c>
      <c r="H705" s="4">
        <f>ROUND(D705/100/(DATE(YEAR(A705)+1,1,1)-DATE(YEAR(A705),1,1))*E705,8)</f>
        <v/>
      </c>
      <c r="I705" s="4">
        <f>ROUND(I704*(1+F705),8)</f>
        <v/>
      </c>
      <c r="J705" s="4">
        <f>ROUND(J704*(1+G705),8)</f>
        <v/>
      </c>
      <c r="K705" s="4">
        <f>ROUND(K704+H705,8)</f>
        <v/>
      </c>
      <c r="L705" s="4">
        <f>ROUND(0.9*F705+0.05*G705+0.05*H705,8)</f>
        <v/>
      </c>
    </row>
    <row r="706">
      <c r="A706" s="2" t="n">
        <v>44799</v>
      </c>
      <c r="B706" s="8" t="n">
        <v>2442.45</v>
      </c>
      <c r="C706" s="8" t="n">
        <v>124.3744</v>
      </c>
      <c r="D706" s="8" t="n">
        <v>0.35</v>
      </c>
      <c r="E706">
        <f>A706-A705</f>
        <v/>
      </c>
      <c r="F706" s="4">
        <f>ROUND(B706/B705-1,8)</f>
        <v/>
      </c>
      <c r="G706" s="4">
        <f>ROUND(C706/C705-1,8)</f>
        <v/>
      </c>
      <c r="H706" s="4">
        <f>ROUND(D706/100/(DATE(YEAR(A706)+1,1,1)-DATE(YEAR(A706),1,1))*E706,8)</f>
        <v/>
      </c>
      <c r="I706" s="4">
        <f>ROUND(I705*(1+F706),8)</f>
        <v/>
      </c>
      <c r="J706" s="4">
        <f>ROUND(J705*(1+G706),8)</f>
        <v/>
      </c>
      <c r="K706" s="4">
        <f>ROUND(K705+H706,8)</f>
        <v/>
      </c>
      <c r="L706" s="4">
        <f>ROUND(0.9*F706+0.05*G706+0.05*H706,8)</f>
        <v/>
      </c>
    </row>
    <row r="707">
      <c r="A707" s="2" t="n">
        <v>44802</v>
      </c>
      <c r="B707" s="8" t="n">
        <v>2469.95</v>
      </c>
      <c r="C707" s="8" t="n">
        <v>124.4228</v>
      </c>
      <c r="D707" s="8" t="n">
        <v>0.35</v>
      </c>
      <c r="E707">
        <f>A707-A706</f>
        <v/>
      </c>
      <c r="F707" s="4">
        <f>ROUND(B707/B706-1,8)</f>
        <v/>
      </c>
      <c r="G707" s="4">
        <f>ROUND(C707/C706-1,8)</f>
        <v/>
      </c>
      <c r="H707" s="4">
        <f>ROUND(D707/100/(DATE(YEAR(A707)+1,1,1)-DATE(YEAR(A707),1,1))*E707,8)</f>
        <v/>
      </c>
      <c r="I707" s="4">
        <f>ROUND(I706*(1+F707),8)</f>
        <v/>
      </c>
      <c r="J707" s="4">
        <f>ROUND(J706*(1+G707),8)</f>
        <v/>
      </c>
      <c r="K707" s="4">
        <f>ROUND(K706+H707,8)</f>
        <v/>
      </c>
      <c r="L707" s="4">
        <f>ROUND(0.9*F707+0.05*G707+0.05*H707,8)</f>
        <v/>
      </c>
    </row>
    <row r="708">
      <c r="A708" s="2" t="n">
        <v>44803</v>
      </c>
      <c r="B708" s="8" t="n">
        <v>2447.45</v>
      </c>
      <c r="C708" s="8" t="n">
        <v>124.4757</v>
      </c>
      <c r="D708" s="8" t="n">
        <v>0.35</v>
      </c>
      <c r="E708">
        <f>A708-A707</f>
        <v/>
      </c>
      <c r="F708" s="4">
        <f>ROUND(B708/B707-1,8)</f>
        <v/>
      </c>
      <c r="G708" s="4">
        <f>ROUND(C708/C707-1,8)</f>
        <v/>
      </c>
      <c r="H708" s="4">
        <f>ROUND(D708/100/(DATE(YEAR(A708)+1,1,1)-DATE(YEAR(A708),1,1))*E708,8)</f>
        <v/>
      </c>
      <c r="I708" s="4">
        <f>ROUND(I707*(1+F708),8)</f>
        <v/>
      </c>
      <c r="J708" s="4">
        <f>ROUND(J707*(1+G708),8)</f>
        <v/>
      </c>
      <c r="K708" s="4">
        <f>ROUND(K707+H708,8)</f>
        <v/>
      </c>
      <c r="L708" s="4">
        <f>ROUND(0.9*F708+0.05*G708+0.05*H708,8)</f>
        <v/>
      </c>
    </row>
    <row r="709">
      <c r="A709" s="2" t="n">
        <v>44804</v>
      </c>
      <c r="B709" s="8" t="n">
        <v>2357.87</v>
      </c>
      <c r="C709" s="8" t="n">
        <v>124.4829</v>
      </c>
      <c r="D709" s="8" t="n">
        <v>0.35</v>
      </c>
      <c r="E709">
        <f>A709-A708</f>
        <v/>
      </c>
      <c r="F709" s="4">
        <f>ROUND(B709/B708-1,8)</f>
        <v/>
      </c>
      <c r="G709" s="4">
        <f>ROUND(C709/C708-1,8)</f>
        <v/>
      </c>
      <c r="H709" s="4">
        <f>ROUND(D709/100/(DATE(YEAR(A709)+1,1,1)-DATE(YEAR(A709),1,1))*E709,8)</f>
        <v/>
      </c>
      <c r="I709" s="4">
        <f>ROUND(I708*(1+F709),8)</f>
        <v/>
      </c>
      <c r="J709" s="4">
        <f>ROUND(J708*(1+G709),8)</f>
        <v/>
      </c>
      <c r="K709" s="4">
        <f>ROUND(K708+H709,8)</f>
        <v/>
      </c>
      <c r="L709" s="4">
        <f>ROUND(0.9*F709+0.05*G709+0.05*H709,8)</f>
        <v/>
      </c>
    </row>
    <row r="710">
      <c r="A710" s="2" t="n">
        <v>44805</v>
      </c>
      <c r="B710" s="8" t="n">
        <v>2349.39</v>
      </c>
      <c r="C710" s="8" t="n">
        <v>124.5334</v>
      </c>
      <c r="D710" s="8" t="n">
        <v>0.35</v>
      </c>
      <c r="E710">
        <f>A710-A709</f>
        <v/>
      </c>
      <c r="F710" s="4">
        <f>ROUND(B710/B709-1,8)</f>
        <v/>
      </c>
      <c r="G710" s="4">
        <f>ROUND(C710/C709-1,8)</f>
        <v/>
      </c>
      <c r="H710" s="4">
        <f>ROUND(D710/100/(DATE(YEAR(A710)+1,1,1)-DATE(YEAR(A710),1,1))*E710,8)</f>
        <v/>
      </c>
      <c r="I710" s="4">
        <f>ROUND(I709*(1+F710),8)</f>
        <v/>
      </c>
      <c r="J710" s="4">
        <f>ROUND(J709*(1+G710),8)</f>
        <v/>
      </c>
      <c r="K710" s="4">
        <f>ROUND(K709+H710,8)</f>
        <v/>
      </c>
      <c r="L710" s="4">
        <f>ROUND(0.9*F710+0.05*G710+0.05*H710,8)</f>
        <v/>
      </c>
    </row>
    <row r="711">
      <c r="A711" s="2" t="n">
        <v>44806</v>
      </c>
      <c r="B711" s="8" t="n">
        <v>2392.13</v>
      </c>
      <c r="C711" s="8" t="n">
        <v>124.5401</v>
      </c>
      <c r="D711" s="8" t="n">
        <v>0.35</v>
      </c>
      <c r="E711">
        <f>A711-A710</f>
        <v/>
      </c>
      <c r="F711" s="4">
        <f>ROUND(B711/B710-1,8)</f>
        <v/>
      </c>
      <c r="G711" s="4">
        <f>ROUND(C711/C710-1,8)</f>
        <v/>
      </c>
      <c r="H711" s="4">
        <f>ROUND(D711/100/(DATE(YEAR(A711)+1,1,1)-DATE(YEAR(A711),1,1))*E711,8)</f>
        <v/>
      </c>
      <c r="I711" s="4">
        <f>ROUND(I710*(1+F711),8)</f>
        <v/>
      </c>
      <c r="J711" s="4">
        <f>ROUND(J710*(1+G711),8)</f>
        <v/>
      </c>
      <c r="K711" s="4">
        <f>ROUND(K710+H711,8)</f>
        <v/>
      </c>
      <c r="L711" s="4">
        <f>ROUND(0.9*F711+0.05*G711+0.05*H711,8)</f>
        <v/>
      </c>
    </row>
    <row r="712">
      <c r="A712" s="2" t="n">
        <v>44809</v>
      </c>
      <c r="B712" s="8" t="n">
        <v>2403.85</v>
      </c>
      <c r="C712" s="8" t="n">
        <v>124.6016</v>
      </c>
      <c r="D712" s="8" t="n">
        <v>0.35</v>
      </c>
      <c r="E712">
        <f>A712-A711</f>
        <v/>
      </c>
      <c r="F712" s="4">
        <f>ROUND(B712/B711-1,8)</f>
        <v/>
      </c>
      <c r="G712" s="4">
        <f>ROUND(C712/C711-1,8)</f>
        <v/>
      </c>
      <c r="H712" s="4">
        <f>ROUND(D712/100/(DATE(YEAR(A712)+1,1,1)-DATE(YEAR(A712),1,1))*E712,8)</f>
        <v/>
      </c>
      <c r="I712" s="4">
        <f>ROUND(I711*(1+F712),8)</f>
        <v/>
      </c>
      <c r="J712" s="4">
        <f>ROUND(J711*(1+G712),8)</f>
        <v/>
      </c>
      <c r="K712" s="4">
        <f>ROUND(K711+H712,8)</f>
        <v/>
      </c>
      <c r="L712" s="4">
        <f>ROUND(0.9*F712+0.05*G712+0.05*H712,8)</f>
        <v/>
      </c>
    </row>
    <row r="713">
      <c r="A713" s="2" t="n">
        <v>44810</v>
      </c>
      <c r="B713" s="8" t="n">
        <v>2445.8</v>
      </c>
      <c r="C713" s="8" t="n">
        <v>124.6461</v>
      </c>
      <c r="D713" s="8" t="n">
        <v>0.35</v>
      </c>
      <c r="E713">
        <f>A713-A712</f>
        <v/>
      </c>
      <c r="F713" s="4">
        <f>ROUND(B713/B712-1,8)</f>
        <v/>
      </c>
      <c r="G713" s="4">
        <f>ROUND(C713/C712-1,8)</f>
        <v/>
      </c>
      <c r="H713" s="4">
        <f>ROUND(D713/100/(DATE(YEAR(A713)+1,1,1)-DATE(YEAR(A713),1,1))*E713,8)</f>
        <v/>
      </c>
      <c r="I713" s="4">
        <f>ROUND(I712*(1+F713),8)</f>
        <v/>
      </c>
      <c r="J713" s="4">
        <f>ROUND(J712*(1+G713),8)</f>
        <v/>
      </c>
      <c r="K713" s="4">
        <f>ROUND(K712+H713,8)</f>
        <v/>
      </c>
      <c r="L713" s="4">
        <f>ROUND(0.9*F713+0.05*G713+0.05*H713,8)</f>
        <v/>
      </c>
    </row>
    <row r="714">
      <c r="A714" s="2" t="n">
        <v>44811</v>
      </c>
      <c r="B714" s="8" t="n">
        <v>2463.76</v>
      </c>
      <c r="C714" s="8" t="n">
        <v>124.6464</v>
      </c>
      <c r="D714" s="8" t="n">
        <v>0.35</v>
      </c>
      <c r="E714">
        <f>A714-A713</f>
        <v/>
      </c>
      <c r="F714" s="4">
        <f>ROUND(B714/B713-1,8)</f>
        <v/>
      </c>
      <c r="G714" s="4">
        <f>ROUND(C714/C713-1,8)</f>
        <v/>
      </c>
      <c r="H714" s="4">
        <f>ROUND(D714/100/(DATE(YEAR(A714)+1,1,1)-DATE(YEAR(A714),1,1))*E714,8)</f>
        <v/>
      </c>
      <c r="I714" s="4">
        <f>ROUND(I713*(1+F714),8)</f>
        <v/>
      </c>
      <c r="J714" s="4">
        <f>ROUND(J713*(1+G714),8)</f>
        <v/>
      </c>
      <c r="K714" s="4">
        <f>ROUND(K713+H714,8)</f>
        <v/>
      </c>
      <c r="L714" s="4">
        <f>ROUND(0.9*F714+0.05*G714+0.05*H714,8)</f>
        <v/>
      </c>
    </row>
    <row r="715">
      <c r="A715" s="2" t="n">
        <v>44812</v>
      </c>
      <c r="B715" s="8" t="n">
        <v>2433.68</v>
      </c>
      <c r="C715" s="8" t="n">
        <v>124.631</v>
      </c>
      <c r="D715" s="8" t="n">
        <v>0.35</v>
      </c>
      <c r="E715">
        <f>A715-A714</f>
        <v/>
      </c>
      <c r="F715" s="4">
        <f>ROUND(B715/B714-1,8)</f>
        <v/>
      </c>
      <c r="G715" s="4">
        <f>ROUND(C715/C714-1,8)</f>
        <v/>
      </c>
      <c r="H715" s="4">
        <f>ROUND(D715/100/(DATE(YEAR(A715)+1,1,1)-DATE(YEAR(A715),1,1))*E715,8)</f>
        <v/>
      </c>
      <c r="I715" s="4">
        <f>ROUND(I714*(1+F715),8)</f>
        <v/>
      </c>
      <c r="J715" s="4">
        <f>ROUND(J714*(1+G715),8)</f>
        <v/>
      </c>
      <c r="K715" s="4">
        <f>ROUND(K714+H715,8)</f>
        <v/>
      </c>
      <c r="L715" s="4">
        <f>ROUND(0.9*F715+0.05*G715+0.05*H715,8)</f>
        <v/>
      </c>
    </row>
    <row r="716">
      <c r="A716" s="2" t="n">
        <v>44813</v>
      </c>
      <c r="B716" s="8" t="n">
        <v>2418.98</v>
      </c>
      <c r="C716" s="8" t="n">
        <v>124.6138</v>
      </c>
      <c r="D716" s="8" t="n">
        <v>0.35</v>
      </c>
      <c r="E716">
        <f>A716-A715</f>
        <v/>
      </c>
      <c r="F716" s="4">
        <f>ROUND(B716/B715-1,8)</f>
        <v/>
      </c>
      <c r="G716" s="4">
        <f>ROUND(C716/C715-1,8)</f>
        <v/>
      </c>
      <c r="H716" s="4">
        <f>ROUND(D716/100/(DATE(YEAR(A716)+1,1,1)-DATE(YEAR(A716),1,1))*E716,8)</f>
        <v/>
      </c>
      <c r="I716" s="4">
        <f>ROUND(I715*(1+F716),8)</f>
        <v/>
      </c>
      <c r="J716" s="4">
        <f>ROUND(J715*(1+G716),8)</f>
        <v/>
      </c>
      <c r="K716" s="4">
        <f>ROUND(K715+H716,8)</f>
        <v/>
      </c>
      <c r="L716" s="4">
        <f>ROUND(0.9*F716+0.05*G716+0.05*H716,8)</f>
        <v/>
      </c>
    </row>
    <row r="717">
      <c r="A717" s="2" t="n">
        <v>44817</v>
      </c>
      <c r="B717" s="8" t="n">
        <v>2423.36</v>
      </c>
      <c r="C717" s="8" t="n">
        <v>124.5802</v>
      </c>
      <c r="D717" s="8" t="n">
        <v>0.35</v>
      </c>
      <c r="E717">
        <f>A717-A716</f>
        <v/>
      </c>
      <c r="F717" s="4">
        <f>ROUND(B717/B716-1,8)</f>
        <v/>
      </c>
      <c r="G717" s="4">
        <f>ROUND(C717/C716-1,8)</f>
        <v/>
      </c>
      <c r="H717" s="4">
        <f>ROUND(D717/100/(DATE(YEAR(A717)+1,1,1)-DATE(YEAR(A717),1,1))*E717,8)</f>
        <v/>
      </c>
      <c r="I717" s="4">
        <f>ROUND(I716*(1+F717),8)</f>
        <v/>
      </c>
      <c r="J717" s="4">
        <f>ROUND(J716*(1+G717),8)</f>
        <v/>
      </c>
      <c r="K717" s="4">
        <f>ROUND(K716+H717,8)</f>
        <v/>
      </c>
      <c r="L717" s="4">
        <f>ROUND(0.9*F717+0.05*G717+0.05*H717,8)</f>
        <v/>
      </c>
    </row>
    <row r="718">
      <c r="A718" s="2" t="n">
        <v>44818</v>
      </c>
      <c r="B718" s="8" t="n">
        <v>2398.08</v>
      </c>
      <c r="C718" s="8" t="n">
        <v>124.5335</v>
      </c>
      <c r="D718" s="8" t="n">
        <v>0.35</v>
      </c>
      <c r="E718">
        <f>A718-A717</f>
        <v/>
      </c>
      <c r="F718" s="4">
        <f>ROUND(B718/B717-1,8)</f>
        <v/>
      </c>
      <c r="G718" s="4">
        <f>ROUND(C718/C717-1,8)</f>
        <v/>
      </c>
      <c r="H718" s="4">
        <f>ROUND(D718/100/(DATE(YEAR(A718)+1,1,1)-DATE(YEAR(A718),1,1))*E718,8)</f>
        <v/>
      </c>
      <c r="I718" s="4">
        <f>ROUND(I717*(1+F718),8)</f>
        <v/>
      </c>
      <c r="J718" s="4">
        <f>ROUND(J717*(1+G718),8)</f>
        <v/>
      </c>
      <c r="K718" s="4">
        <f>ROUND(K717+H718,8)</f>
        <v/>
      </c>
      <c r="L718" s="4">
        <f>ROUND(0.9*F718+0.05*G718+0.05*H718,8)</f>
        <v/>
      </c>
    </row>
    <row r="719">
      <c r="A719" s="2" t="n">
        <v>44819</v>
      </c>
      <c r="B719" s="8" t="n">
        <v>2326.28</v>
      </c>
      <c r="C719" s="8" t="n">
        <v>124.5445</v>
      </c>
      <c r="D719" s="8" t="n">
        <v>0.35</v>
      </c>
      <c r="E719">
        <f>A719-A718</f>
        <v/>
      </c>
      <c r="F719" s="4">
        <f>ROUND(B719/B718-1,8)</f>
        <v/>
      </c>
      <c r="G719" s="4">
        <f>ROUND(C719/C718-1,8)</f>
        <v/>
      </c>
      <c r="H719" s="4">
        <f>ROUND(D719/100/(DATE(YEAR(A719)+1,1,1)-DATE(YEAR(A719),1,1))*E719,8)</f>
        <v/>
      </c>
      <c r="I719" s="4">
        <f>ROUND(I718*(1+F719),8)</f>
        <v/>
      </c>
      <c r="J719" s="4">
        <f>ROUND(J718*(1+G719),8)</f>
        <v/>
      </c>
      <c r="K719" s="4">
        <f>ROUND(K718+H719,8)</f>
        <v/>
      </c>
      <c r="L719" s="4">
        <f>ROUND(0.9*F719+0.05*G719+0.05*H719,8)</f>
        <v/>
      </c>
    </row>
    <row r="720">
      <c r="A720" s="2" t="n">
        <v>44820</v>
      </c>
      <c r="B720" s="8" t="n">
        <v>2272.5</v>
      </c>
      <c r="C720" s="8" t="n">
        <v>124.4934</v>
      </c>
      <c r="D720" s="8" t="n">
        <v>0.35</v>
      </c>
      <c r="E720">
        <f>A720-A719</f>
        <v/>
      </c>
      <c r="F720" s="4">
        <f>ROUND(B720/B719-1,8)</f>
        <v/>
      </c>
      <c r="G720" s="4">
        <f>ROUND(C720/C719-1,8)</f>
        <v/>
      </c>
      <c r="H720" s="4">
        <f>ROUND(D720/100/(DATE(YEAR(A720)+1,1,1)-DATE(YEAR(A720),1,1))*E720,8)</f>
        <v/>
      </c>
      <c r="I720" s="4">
        <f>ROUND(I719*(1+F720),8)</f>
        <v/>
      </c>
      <c r="J720" s="4">
        <f>ROUND(J719*(1+G720),8)</f>
        <v/>
      </c>
      <c r="K720" s="4">
        <f>ROUND(K719+H720,8)</f>
        <v/>
      </c>
      <c r="L720" s="4">
        <f>ROUND(0.9*F720+0.05*G720+0.05*H720,8)</f>
        <v/>
      </c>
    </row>
    <row r="721">
      <c r="A721" s="2" t="n">
        <v>44823</v>
      </c>
      <c r="B721" s="8" t="n">
        <v>2244.76</v>
      </c>
      <c r="C721" s="8" t="n">
        <v>124.4835</v>
      </c>
      <c r="D721" s="8" t="n">
        <v>0.35</v>
      </c>
      <c r="E721">
        <f>A721-A720</f>
        <v/>
      </c>
      <c r="F721" s="4">
        <f>ROUND(B721/B720-1,8)</f>
        <v/>
      </c>
      <c r="G721" s="4">
        <f>ROUND(C721/C720-1,8)</f>
        <v/>
      </c>
      <c r="H721" s="4">
        <f>ROUND(D721/100/(DATE(YEAR(A721)+1,1,1)-DATE(YEAR(A721),1,1))*E721,8)</f>
        <v/>
      </c>
      <c r="I721" s="4">
        <f>ROUND(I720*(1+F721),8)</f>
        <v/>
      </c>
      <c r="J721" s="4">
        <f>ROUND(J720*(1+G721),8)</f>
        <v/>
      </c>
      <c r="K721" s="4">
        <f>ROUND(K720+H721,8)</f>
        <v/>
      </c>
      <c r="L721" s="4">
        <f>ROUND(0.9*F721+0.05*G721+0.05*H721,8)</f>
        <v/>
      </c>
    </row>
    <row r="722">
      <c r="A722" s="2" t="n">
        <v>44824</v>
      </c>
      <c r="B722" s="8" t="n">
        <v>2290.83</v>
      </c>
      <c r="C722" s="8" t="n">
        <v>124.5021</v>
      </c>
      <c r="D722" s="8" t="n">
        <v>0.35</v>
      </c>
      <c r="E722">
        <f>A722-A721</f>
        <v/>
      </c>
      <c r="F722" s="4">
        <f>ROUND(B722/B721-1,8)</f>
        <v/>
      </c>
      <c r="G722" s="4">
        <f>ROUND(C722/C721-1,8)</f>
        <v/>
      </c>
      <c r="H722" s="4">
        <f>ROUND(D722/100/(DATE(YEAR(A722)+1,1,1)-DATE(YEAR(A722),1,1))*E722,8)</f>
        <v/>
      </c>
      <c r="I722" s="4">
        <f>ROUND(I721*(1+F722),8)</f>
        <v/>
      </c>
      <c r="J722" s="4">
        <f>ROUND(J721*(1+G722),8)</f>
        <v/>
      </c>
      <c r="K722" s="4">
        <f>ROUND(K721+H722,8)</f>
        <v/>
      </c>
      <c r="L722" s="4">
        <f>ROUND(0.9*F722+0.05*G722+0.05*H722,8)</f>
        <v/>
      </c>
    </row>
    <row r="723">
      <c r="A723" s="2" t="n">
        <v>44825</v>
      </c>
      <c r="B723" s="8" t="n">
        <v>2297.16</v>
      </c>
      <c r="C723" s="8" t="n">
        <v>124.5346</v>
      </c>
      <c r="D723" s="8" t="n">
        <v>0.35</v>
      </c>
      <c r="E723">
        <f>A723-A722</f>
        <v/>
      </c>
      <c r="F723" s="4">
        <f>ROUND(B723/B722-1,8)</f>
        <v/>
      </c>
      <c r="G723" s="4">
        <f>ROUND(C723/C722-1,8)</f>
        <v/>
      </c>
      <c r="H723" s="4">
        <f>ROUND(D723/100/(DATE(YEAR(A723)+1,1,1)-DATE(YEAR(A723),1,1))*E723,8)</f>
        <v/>
      </c>
      <c r="I723" s="4">
        <f>ROUND(I722*(1+F723),8)</f>
        <v/>
      </c>
      <c r="J723" s="4">
        <f>ROUND(J722*(1+G723),8)</f>
        <v/>
      </c>
      <c r="K723" s="4">
        <f>ROUND(K722+H723,8)</f>
        <v/>
      </c>
      <c r="L723" s="4">
        <f>ROUND(0.9*F723+0.05*G723+0.05*H723,8)</f>
        <v/>
      </c>
    </row>
    <row r="724">
      <c r="A724" s="2" t="n">
        <v>44826</v>
      </c>
      <c r="B724" s="8" t="n">
        <v>2291.68</v>
      </c>
      <c r="C724" s="8" t="n">
        <v>124.5381</v>
      </c>
      <c r="D724" s="8" t="n">
        <v>0.35</v>
      </c>
      <c r="E724">
        <f>A724-A723</f>
        <v/>
      </c>
      <c r="F724" s="4">
        <f>ROUND(B724/B723-1,8)</f>
        <v/>
      </c>
      <c r="G724" s="4">
        <f>ROUND(C724/C723-1,8)</f>
        <v/>
      </c>
      <c r="H724" s="4">
        <f>ROUND(D724/100/(DATE(YEAR(A724)+1,1,1)-DATE(YEAR(A724),1,1))*E724,8)</f>
        <v/>
      </c>
      <c r="I724" s="4">
        <f>ROUND(I723*(1+F724),8)</f>
        <v/>
      </c>
      <c r="J724" s="4">
        <f>ROUND(J723*(1+G724),8)</f>
        <v/>
      </c>
      <c r="K724" s="4">
        <f>ROUND(K723+H724,8)</f>
        <v/>
      </c>
      <c r="L724" s="4">
        <f>ROUND(0.9*F724+0.05*G724+0.05*H724,8)</f>
        <v/>
      </c>
    </row>
    <row r="725">
      <c r="A725" s="2" t="n">
        <v>44827</v>
      </c>
      <c r="B725" s="8" t="n">
        <v>2234.27</v>
      </c>
      <c r="C725" s="8" t="n">
        <v>124.5058</v>
      </c>
      <c r="D725" s="8" t="n">
        <v>0.35</v>
      </c>
      <c r="E725">
        <f>A725-A724</f>
        <v/>
      </c>
      <c r="F725" s="4">
        <f>ROUND(B725/B724-1,8)</f>
        <v/>
      </c>
      <c r="G725" s="4">
        <f>ROUND(C725/C724-1,8)</f>
        <v/>
      </c>
      <c r="H725" s="4">
        <f>ROUND(D725/100/(DATE(YEAR(A725)+1,1,1)-DATE(YEAR(A725),1,1))*E725,8)</f>
        <v/>
      </c>
      <c r="I725" s="4">
        <f>ROUND(I724*(1+F725),8)</f>
        <v/>
      </c>
      <c r="J725" s="4">
        <f>ROUND(J724*(1+G725),8)</f>
        <v/>
      </c>
      <c r="K725" s="4">
        <f>ROUND(K724+H725,8)</f>
        <v/>
      </c>
      <c r="L725" s="4">
        <f>ROUND(0.9*F725+0.05*G725+0.05*H725,8)</f>
        <v/>
      </c>
    </row>
    <row r="726">
      <c r="A726" s="2" t="n">
        <v>44830</v>
      </c>
      <c r="B726" s="8" t="n">
        <v>2198.27</v>
      </c>
      <c r="C726" s="8" t="n">
        <v>124.3961</v>
      </c>
      <c r="D726" s="8" t="n">
        <v>0.35</v>
      </c>
      <c r="E726">
        <f>A726-A725</f>
        <v/>
      </c>
      <c r="F726" s="4">
        <f>ROUND(B726/B725-1,8)</f>
        <v/>
      </c>
      <c r="G726" s="4">
        <f>ROUND(C726/C725-1,8)</f>
        <v/>
      </c>
      <c r="H726" s="4">
        <f>ROUND(D726/100/(DATE(YEAR(A726)+1,1,1)-DATE(YEAR(A726),1,1))*E726,8)</f>
        <v/>
      </c>
      <c r="I726" s="4">
        <f>ROUND(I725*(1+F726),8)</f>
        <v/>
      </c>
      <c r="J726" s="4">
        <f>ROUND(J725*(1+G726),8)</f>
        <v/>
      </c>
      <c r="K726" s="4">
        <f>ROUND(K725+H726,8)</f>
        <v/>
      </c>
      <c r="L726" s="4">
        <f>ROUND(0.9*F726+0.05*G726+0.05*H726,8)</f>
        <v/>
      </c>
    </row>
    <row r="727">
      <c r="A727" s="2" t="n">
        <v>44831</v>
      </c>
      <c r="B727" s="8" t="n">
        <v>2252.39</v>
      </c>
      <c r="C727" s="8" t="n">
        <v>124.3734</v>
      </c>
      <c r="D727" s="8" t="n">
        <v>0.35</v>
      </c>
      <c r="E727">
        <f>A727-A726</f>
        <v/>
      </c>
      <c r="F727" s="4">
        <f>ROUND(B727/B726-1,8)</f>
        <v/>
      </c>
      <c r="G727" s="4">
        <f>ROUND(C727/C726-1,8)</f>
        <v/>
      </c>
      <c r="H727" s="4">
        <f>ROUND(D727/100/(DATE(YEAR(A727)+1,1,1)-DATE(YEAR(A727),1,1))*E727,8)</f>
        <v/>
      </c>
      <c r="I727" s="4">
        <f>ROUND(I726*(1+F727),8)</f>
        <v/>
      </c>
      <c r="J727" s="4">
        <f>ROUND(J726*(1+G727),8)</f>
        <v/>
      </c>
      <c r="K727" s="4">
        <f>ROUND(K726+H727,8)</f>
        <v/>
      </c>
      <c r="L727" s="4">
        <f>ROUND(0.9*F727+0.05*G727+0.05*H727,8)</f>
        <v/>
      </c>
    </row>
    <row r="728">
      <c r="A728" s="2" t="n">
        <v>44832</v>
      </c>
      <c r="B728" s="8" t="n">
        <v>2179.44</v>
      </c>
      <c r="C728" s="8" t="n">
        <v>124.3022</v>
      </c>
      <c r="D728" s="8" t="n">
        <v>0.35</v>
      </c>
      <c r="E728">
        <f>A728-A727</f>
        <v/>
      </c>
      <c r="F728" s="4">
        <f>ROUND(B728/B727-1,8)</f>
        <v/>
      </c>
      <c r="G728" s="4">
        <f>ROUND(C728/C727-1,8)</f>
        <v/>
      </c>
      <c r="H728" s="4">
        <f>ROUND(D728/100/(DATE(YEAR(A728)+1,1,1)-DATE(YEAR(A728),1,1))*E728,8)</f>
        <v/>
      </c>
      <c r="I728" s="4">
        <f>ROUND(I727*(1+F728),8)</f>
        <v/>
      </c>
      <c r="J728" s="4">
        <f>ROUND(J727*(1+G728),8)</f>
        <v/>
      </c>
      <c r="K728" s="4">
        <f>ROUND(K727+H728,8)</f>
        <v/>
      </c>
      <c r="L728" s="4">
        <f>ROUND(0.9*F728+0.05*G728+0.05*H728,8)</f>
        <v/>
      </c>
    </row>
    <row r="729">
      <c r="A729" s="2" t="n">
        <v>44833</v>
      </c>
      <c r="B729" s="8" t="n">
        <v>2167.99</v>
      </c>
      <c r="C729" s="8" t="n">
        <v>124.2475</v>
      </c>
      <c r="D729" s="8" t="n">
        <v>0.35</v>
      </c>
      <c r="E729">
        <f>A729-A728</f>
        <v/>
      </c>
      <c r="F729" s="4">
        <f>ROUND(B729/B728-1,8)</f>
        <v/>
      </c>
      <c r="G729" s="4">
        <f>ROUND(C729/C728-1,8)</f>
        <v/>
      </c>
      <c r="H729" s="4">
        <f>ROUND(D729/100/(DATE(YEAR(A729)+1,1,1)-DATE(YEAR(A729),1,1))*E729,8)</f>
        <v/>
      </c>
      <c r="I729" s="4">
        <f>ROUND(I728*(1+F729),8)</f>
        <v/>
      </c>
      <c r="J729" s="4">
        <f>ROUND(J728*(1+G729),8)</f>
        <v/>
      </c>
      <c r="K729" s="4">
        <f>ROUND(K728+H729,8)</f>
        <v/>
      </c>
      <c r="L729" s="4">
        <f>ROUND(0.9*F729+0.05*G729+0.05*H729,8)</f>
        <v/>
      </c>
    </row>
    <row r="730">
      <c r="A730" s="2" t="n">
        <v>44834</v>
      </c>
      <c r="B730" s="8" t="n">
        <v>2136.37</v>
      </c>
      <c r="C730" s="8" t="n">
        <v>124.177</v>
      </c>
      <c r="D730" s="8" t="n">
        <v>0.35</v>
      </c>
      <c r="E730">
        <f>A730-A729</f>
        <v/>
      </c>
      <c r="F730" s="4">
        <f>ROUND(B730/B729-1,8)</f>
        <v/>
      </c>
      <c r="G730" s="4">
        <f>ROUND(C730/C729-1,8)</f>
        <v/>
      </c>
      <c r="H730" s="4">
        <f>ROUND(D730/100/(DATE(YEAR(A730)+1,1,1)-DATE(YEAR(A730),1,1))*E730,8)</f>
        <v/>
      </c>
      <c r="I730" s="4">
        <f>ROUND(I729*(1+F730),8)</f>
        <v/>
      </c>
      <c r="J730" s="4">
        <f>ROUND(J729*(1+G730),8)</f>
        <v/>
      </c>
      <c r="K730" s="4">
        <f>ROUND(K729+H730,8)</f>
        <v/>
      </c>
      <c r="L730" s="4">
        <f>ROUND(0.9*F730+0.05*G730+0.05*H730,8)</f>
        <v/>
      </c>
    </row>
    <row r="731">
      <c r="A731" s="2" t="n">
        <v>44844</v>
      </c>
      <c r="B731" s="8" t="n">
        <v>2098.17</v>
      </c>
      <c r="C731" s="8" t="n">
        <v>124.3309</v>
      </c>
      <c r="D731" s="8" t="n">
        <v>0.35</v>
      </c>
      <c r="E731">
        <f>A731-A730</f>
        <v/>
      </c>
      <c r="F731" s="4">
        <f>ROUND(B731/B730-1,8)</f>
        <v/>
      </c>
      <c r="G731" s="4">
        <f>ROUND(C731/C730-1,8)</f>
        <v/>
      </c>
      <c r="H731" s="4">
        <f>ROUND(D731/100/(DATE(YEAR(A731)+1,1,1)-DATE(YEAR(A731),1,1))*E731,8)</f>
        <v/>
      </c>
      <c r="I731" s="4">
        <f>ROUND(I730*(1+F731),8)</f>
        <v/>
      </c>
      <c r="J731" s="4">
        <f>ROUND(J730*(1+G731),8)</f>
        <v/>
      </c>
      <c r="K731" s="4">
        <f>ROUND(K730+H731,8)</f>
        <v/>
      </c>
      <c r="L731" s="4">
        <f>ROUND(0.9*F731+0.05*G731+0.05*H731,8)</f>
        <v/>
      </c>
    </row>
    <row r="732">
      <c r="A732" s="2" t="n">
        <v>44845</v>
      </c>
      <c r="B732" s="8" t="n">
        <v>2122.43</v>
      </c>
      <c r="C732" s="8" t="n">
        <v>124.3759</v>
      </c>
      <c r="D732" s="8" t="n">
        <v>0.35</v>
      </c>
      <c r="E732">
        <f>A732-A731</f>
        <v/>
      </c>
      <c r="F732" s="4">
        <f>ROUND(B732/B731-1,8)</f>
        <v/>
      </c>
      <c r="G732" s="4">
        <f>ROUND(C732/C731-1,8)</f>
        <v/>
      </c>
      <c r="H732" s="4">
        <f>ROUND(D732/100/(DATE(YEAR(A732)+1,1,1)-DATE(YEAR(A732),1,1))*E732,8)</f>
        <v/>
      </c>
      <c r="I732" s="4">
        <f>ROUND(I731*(1+F732),8)</f>
        <v/>
      </c>
      <c r="J732" s="4">
        <f>ROUND(J731*(1+G732),8)</f>
        <v/>
      </c>
      <c r="K732" s="4">
        <f>ROUND(K731+H732,8)</f>
        <v/>
      </c>
      <c r="L732" s="4">
        <f>ROUND(0.9*F732+0.05*G732+0.05*H732,8)</f>
        <v/>
      </c>
    </row>
    <row r="733">
      <c r="A733" s="2" t="n">
        <v>44846</v>
      </c>
      <c r="B733" s="8" t="n">
        <v>2189.89</v>
      </c>
      <c r="C733" s="8" t="n">
        <v>124.3767</v>
      </c>
      <c r="D733" s="8" t="n">
        <v>0.35</v>
      </c>
      <c r="E733">
        <f>A733-A732</f>
        <v/>
      </c>
      <c r="F733" s="4">
        <f>ROUND(B733/B732-1,8)</f>
        <v/>
      </c>
      <c r="G733" s="4">
        <f>ROUND(C733/C732-1,8)</f>
        <v/>
      </c>
      <c r="H733" s="4">
        <f>ROUND(D733/100/(DATE(YEAR(A733)+1,1,1)-DATE(YEAR(A733),1,1))*E733,8)</f>
        <v/>
      </c>
      <c r="I733" s="4">
        <f>ROUND(I732*(1+F733),8)</f>
        <v/>
      </c>
      <c r="J733" s="4">
        <f>ROUND(J732*(1+G733),8)</f>
        <v/>
      </c>
      <c r="K733" s="4">
        <f>ROUND(K732+H733,8)</f>
        <v/>
      </c>
      <c r="L733" s="4">
        <f>ROUND(0.9*F733+0.05*G733+0.05*H733,8)</f>
        <v/>
      </c>
    </row>
    <row r="734">
      <c r="A734" s="2" t="n">
        <v>44847</v>
      </c>
      <c r="B734" s="8" t="n">
        <v>2210.78</v>
      </c>
      <c r="C734" s="8" t="n">
        <v>124.422</v>
      </c>
      <c r="D734" s="8" t="n">
        <v>0.35</v>
      </c>
      <c r="E734">
        <f>A734-A733</f>
        <v/>
      </c>
      <c r="F734" s="4">
        <f>ROUND(B734/B733-1,8)</f>
        <v/>
      </c>
      <c r="G734" s="4">
        <f>ROUND(C734/C733-1,8)</f>
        <v/>
      </c>
      <c r="H734" s="4">
        <f>ROUND(D734/100/(DATE(YEAR(A734)+1,1,1)-DATE(YEAR(A734),1,1))*E734,8)</f>
        <v/>
      </c>
      <c r="I734" s="4">
        <f>ROUND(I733*(1+F734),8)</f>
        <v/>
      </c>
      <c r="J734" s="4">
        <f>ROUND(J733*(1+G734),8)</f>
        <v/>
      </c>
      <c r="K734" s="4">
        <f>ROUND(K733+H734,8)</f>
        <v/>
      </c>
      <c r="L734" s="4">
        <f>ROUND(0.9*F734+0.05*G734+0.05*H734,8)</f>
        <v/>
      </c>
    </row>
    <row r="735">
      <c r="A735" s="2" t="n">
        <v>44848</v>
      </c>
      <c r="B735" s="8" t="n">
        <v>2259.8</v>
      </c>
      <c r="C735" s="8" t="n">
        <v>124.498</v>
      </c>
      <c r="D735" s="8" t="n">
        <v>0.35</v>
      </c>
      <c r="E735">
        <f>A735-A734</f>
        <v/>
      </c>
      <c r="F735" s="4">
        <f>ROUND(B735/B734-1,8)</f>
        <v/>
      </c>
      <c r="G735" s="4">
        <f>ROUND(C735/C734-1,8)</f>
        <v/>
      </c>
      <c r="H735" s="4">
        <f>ROUND(D735/100/(DATE(YEAR(A735)+1,1,1)-DATE(YEAR(A735),1,1))*E735,8)</f>
        <v/>
      </c>
      <c r="I735" s="4">
        <f>ROUND(I734*(1+F735),8)</f>
        <v/>
      </c>
      <c r="J735" s="4">
        <f>ROUND(J734*(1+G735),8)</f>
        <v/>
      </c>
      <c r="K735" s="4">
        <f>ROUND(K734+H735,8)</f>
        <v/>
      </c>
      <c r="L735" s="4">
        <f>ROUND(0.9*F735+0.05*G735+0.05*H735,8)</f>
        <v/>
      </c>
    </row>
    <row r="736">
      <c r="A736" s="2" t="n">
        <v>44851</v>
      </c>
      <c r="B736" s="8" t="n">
        <v>2296.57</v>
      </c>
      <c r="C736" s="8" t="n">
        <v>124.5221</v>
      </c>
      <c r="D736" s="8" t="n">
        <v>0.35</v>
      </c>
      <c r="E736">
        <f>A736-A735</f>
        <v/>
      </c>
      <c r="F736" s="4">
        <f>ROUND(B736/B735-1,8)</f>
        <v/>
      </c>
      <c r="G736" s="4">
        <f>ROUND(C736/C735-1,8)</f>
        <v/>
      </c>
      <c r="H736" s="4">
        <f>ROUND(D736/100/(DATE(YEAR(A736)+1,1,1)-DATE(YEAR(A736),1,1))*E736,8)</f>
        <v/>
      </c>
      <c r="I736" s="4">
        <f>ROUND(I735*(1+F736),8)</f>
        <v/>
      </c>
      <c r="J736" s="4">
        <f>ROUND(J735*(1+G736),8)</f>
        <v/>
      </c>
      <c r="K736" s="4">
        <f>ROUND(K735+H736,8)</f>
        <v/>
      </c>
      <c r="L736" s="4">
        <f>ROUND(0.9*F736+0.05*G736+0.05*H736,8)</f>
        <v/>
      </c>
    </row>
    <row r="737">
      <c r="A737" s="2" t="n">
        <v>44852</v>
      </c>
      <c r="B737" s="8" t="n">
        <v>2308.03</v>
      </c>
      <c r="C737" s="8" t="n">
        <v>124.5294</v>
      </c>
      <c r="D737" s="8" t="n">
        <v>0.35</v>
      </c>
      <c r="E737">
        <f>A737-A736</f>
        <v/>
      </c>
      <c r="F737" s="4">
        <f>ROUND(B737/B736-1,8)</f>
        <v/>
      </c>
      <c r="G737" s="4">
        <f>ROUND(C737/C736-1,8)</f>
        <v/>
      </c>
      <c r="H737" s="4">
        <f>ROUND(D737/100/(DATE(YEAR(A737)+1,1,1)-DATE(YEAR(A737),1,1))*E737,8)</f>
        <v/>
      </c>
      <c r="I737" s="4">
        <f>ROUND(I736*(1+F737),8)</f>
        <v/>
      </c>
      <c r="J737" s="4">
        <f>ROUND(J736*(1+G737),8)</f>
        <v/>
      </c>
      <c r="K737" s="4">
        <f>ROUND(K736+H737,8)</f>
        <v/>
      </c>
      <c r="L737" s="4">
        <f>ROUND(0.9*F737+0.05*G737+0.05*H737,8)</f>
        <v/>
      </c>
    </row>
    <row r="738">
      <c r="A738" s="2" t="n">
        <v>44853</v>
      </c>
      <c r="B738" s="8" t="n">
        <v>2291.06</v>
      </c>
      <c r="C738" s="8" t="n">
        <v>124.5453</v>
      </c>
      <c r="D738" s="8" t="n">
        <v>0.35</v>
      </c>
      <c r="E738">
        <f>A738-A737</f>
        <v/>
      </c>
      <c r="F738" s="4">
        <f>ROUND(B738/B737-1,8)</f>
        <v/>
      </c>
      <c r="G738" s="4">
        <f>ROUND(C738/C737-1,8)</f>
        <v/>
      </c>
      <c r="H738" s="4">
        <f>ROUND(D738/100/(DATE(YEAR(A738)+1,1,1)-DATE(YEAR(A738),1,1))*E738,8)</f>
        <v/>
      </c>
      <c r="I738" s="4">
        <f>ROUND(I737*(1+F738),8)</f>
        <v/>
      </c>
      <c r="J738" s="4">
        <f>ROUND(J737*(1+G738),8)</f>
        <v/>
      </c>
      <c r="K738" s="4">
        <f>ROUND(K737+H738,8)</f>
        <v/>
      </c>
      <c r="L738" s="4">
        <f>ROUND(0.9*F738+0.05*G738+0.05*H738,8)</f>
        <v/>
      </c>
    </row>
    <row r="739">
      <c r="A739" s="2" t="n">
        <v>44854</v>
      </c>
      <c r="B739" s="8" t="n">
        <v>2277.51</v>
      </c>
      <c r="C739" s="8" t="n">
        <v>124.505</v>
      </c>
      <c r="D739" s="8" t="n">
        <v>0.35</v>
      </c>
      <c r="E739">
        <f>A739-A738</f>
        <v/>
      </c>
      <c r="F739" s="4">
        <f>ROUND(B739/B738-1,8)</f>
        <v/>
      </c>
      <c r="G739" s="4">
        <f>ROUND(C739/C738-1,8)</f>
        <v/>
      </c>
      <c r="H739" s="4">
        <f>ROUND(D739/100/(DATE(YEAR(A739)+1,1,1)-DATE(YEAR(A739),1,1))*E739,8)</f>
        <v/>
      </c>
      <c r="I739" s="4">
        <f>ROUND(I738*(1+F739),8)</f>
        <v/>
      </c>
      <c r="J739" s="4">
        <f>ROUND(J738*(1+G739),8)</f>
        <v/>
      </c>
      <c r="K739" s="4">
        <f>ROUND(K738+H739,8)</f>
        <v/>
      </c>
      <c r="L739" s="4">
        <f>ROUND(0.9*F739+0.05*G739+0.05*H739,8)</f>
        <v/>
      </c>
    </row>
    <row r="740">
      <c r="A740" s="2" t="n">
        <v>44855</v>
      </c>
      <c r="B740" s="8" t="n">
        <v>2283.28</v>
      </c>
      <c r="C740" s="8" t="n">
        <v>124.4888</v>
      </c>
      <c r="D740" s="8" t="n">
        <v>0.35</v>
      </c>
      <c r="E740">
        <f>A740-A739</f>
        <v/>
      </c>
      <c r="F740" s="4">
        <f>ROUND(B740/B739-1,8)</f>
        <v/>
      </c>
      <c r="G740" s="4">
        <f>ROUND(C740/C739-1,8)</f>
        <v/>
      </c>
      <c r="H740" s="4">
        <f>ROUND(D740/100/(DATE(YEAR(A740)+1,1,1)-DATE(YEAR(A740),1,1))*E740,8)</f>
        <v/>
      </c>
      <c r="I740" s="4">
        <f>ROUND(I739*(1+F740),8)</f>
        <v/>
      </c>
      <c r="J740" s="4">
        <f>ROUND(J739*(1+G740),8)</f>
        <v/>
      </c>
      <c r="K740" s="4">
        <f>ROUND(K739+H740,8)</f>
        <v/>
      </c>
      <c r="L740" s="4">
        <f>ROUND(0.9*F740+0.05*G740+0.05*H740,8)</f>
        <v/>
      </c>
    </row>
    <row r="741">
      <c r="A741" s="2" t="n">
        <v>44858</v>
      </c>
      <c r="B741" s="8" t="n">
        <v>2258.1</v>
      </c>
      <c r="C741" s="8" t="n">
        <v>124.4971</v>
      </c>
      <c r="D741" s="8" t="n">
        <v>0.35</v>
      </c>
      <c r="E741">
        <f>A741-A740</f>
        <v/>
      </c>
      <c r="F741" s="4">
        <f>ROUND(B741/B740-1,8)</f>
        <v/>
      </c>
      <c r="G741" s="4">
        <f>ROUND(C741/C740-1,8)</f>
        <v/>
      </c>
      <c r="H741" s="4">
        <f>ROUND(D741/100/(DATE(YEAR(A741)+1,1,1)-DATE(YEAR(A741),1,1))*E741,8)</f>
        <v/>
      </c>
      <c r="I741" s="4">
        <f>ROUND(I740*(1+F741),8)</f>
        <v/>
      </c>
      <c r="J741" s="4">
        <f>ROUND(J740*(1+G741),8)</f>
        <v/>
      </c>
      <c r="K741" s="4">
        <f>ROUND(K740+H741,8)</f>
        <v/>
      </c>
      <c r="L741" s="4">
        <f>ROUND(0.9*F741+0.05*G741+0.05*H741,8)</f>
        <v/>
      </c>
    </row>
    <row r="742">
      <c r="A742" s="2" t="n">
        <v>44859</v>
      </c>
      <c r="B742" s="8" t="n">
        <v>2259</v>
      </c>
      <c r="C742" s="8" t="n">
        <v>124.4654</v>
      </c>
      <c r="D742" s="8" t="n">
        <v>0.35</v>
      </c>
      <c r="E742">
        <f>A742-A741</f>
        <v/>
      </c>
      <c r="F742" s="4">
        <f>ROUND(B742/B741-1,8)</f>
        <v/>
      </c>
      <c r="G742" s="4">
        <f>ROUND(C742/C741-1,8)</f>
        <v/>
      </c>
      <c r="H742" s="4">
        <f>ROUND(D742/100/(DATE(YEAR(A742)+1,1,1)-DATE(YEAR(A742),1,1))*E742,8)</f>
        <v/>
      </c>
      <c r="I742" s="4">
        <f>ROUND(I741*(1+F742),8)</f>
        <v/>
      </c>
      <c r="J742" s="4">
        <f>ROUND(J741*(1+G742),8)</f>
        <v/>
      </c>
      <c r="K742" s="4">
        <f>ROUND(K741+H742,8)</f>
        <v/>
      </c>
      <c r="L742" s="4">
        <f>ROUND(0.9*F742+0.05*G742+0.05*H742,8)</f>
        <v/>
      </c>
    </row>
    <row r="743">
      <c r="A743" s="2" t="n">
        <v>44860</v>
      </c>
      <c r="B743" s="8" t="n">
        <v>2301.67</v>
      </c>
      <c r="C743" s="8" t="n">
        <v>124.4744</v>
      </c>
      <c r="D743" s="8" t="n">
        <v>0.35</v>
      </c>
      <c r="E743">
        <f>A743-A742</f>
        <v/>
      </c>
      <c r="F743" s="4">
        <f>ROUND(B743/B742-1,8)</f>
        <v/>
      </c>
      <c r="G743" s="4">
        <f>ROUND(C743/C742-1,8)</f>
        <v/>
      </c>
      <c r="H743" s="4">
        <f>ROUND(D743/100/(DATE(YEAR(A743)+1,1,1)-DATE(YEAR(A743),1,1))*E743,8)</f>
        <v/>
      </c>
      <c r="I743" s="4">
        <f>ROUND(I742*(1+F743),8)</f>
        <v/>
      </c>
      <c r="J743" s="4">
        <f>ROUND(J742*(1+G743),8)</f>
        <v/>
      </c>
      <c r="K743" s="4">
        <f>ROUND(K742+H743,8)</f>
        <v/>
      </c>
      <c r="L743" s="4">
        <f>ROUND(0.9*F743+0.05*G743+0.05*H743,8)</f>
        <v/>
      </c>
    </row>
    <row r="744">
      <c r="A744" s="2" t="n">
        <v>44861</v>
      </c>
      <c r="B744" s="8" t="n">
        <v>2287.35</v>
      </c>
      <c r="C744" s="8" t="n">
        <v>124.5219</v>
      </c>
      <c r="D744" s="8" t="n">
        <v>0.35</v>
      </c>
      <c r="E744">
        <f>A744-A743</f>
        <v/>
      </c>
      <c r="F744" s="4">
        <f>ROUND(B744/B743-1,8)</f>
        <v/>
      </c>
      <c r="G744" s="4">
        <f>ROUND(C744/C743-1,8)</f>
        <v/>
      </c>
      <c r="H744" s="4">
        <f>ROUND(D744/100/(DATE(YEAR(A744)+1,1,1)-DATE(YEAR(A744),1,1))*E744,8)</f>
        <v/>
      </c>
      <c r="I744" s="4">
        <f>ROUND(I743*(1+F744),8)</f>
        <v/>
      </c>
      <c r="J744" s="4">
        <f>ROUND(J743*(1+G744),8)</f>
        <v/>
      </c>
      <c r="K744" s="4">
        <f>ROUND(K743+H744,8)</f>
        <v/>
      </c>
      <c r="L744" s="4">
        <f>ROUND(0.9*F744+0.05*G744+0.05*H744,8)</f>
        <v/>
      </c>
    </row>
    <row r="745">
      <c r="A745" s="2" t="n">
        <v>44862</v>
      </c>
      <c r="B745" s="8" t="n">
        <v>2198.39</v>
      </c>
      <c r="C745" s="8" t="n">
        <v>124.5604</v>
      </c>
      <c r="D745" s="8" t="n">
        <v>0.35</v>
      </c>
      <c r="E745">
        <f>A745-A744</f>
        <v/>
      </c>
      <c r="F745" s="4">
        <f>ROUND(B745/B744-1,8)</f>
        <v/>
      </c>
      <c r="G745" s="4">
        <f>ROUND(C745/C744-1,8)</f>
        <v/>
      </c>
      <c r="H745" s="4">
        <f>ROUND(D745/100/(DATE(YEAR(A745)+1,1,1)-DATE(YEAR(A745),1,1))*E745,8)</f>
        <v/>
      </c>
      <c r="I745" s="4">
        <f>ROUND(I744*(1+F745),8)</f>
        <v/>
      </c>
      <c r="J745" s="4">
        <f>ROUND(J744*(1+G745),8)</f>
        <v/>
      </c>
      <c r="K745" s="4">
        <f>ROUND(K744+H745,8)</f>
        <v/>
      </c>
      <c r="L745" s="4">
        <f>ROUND(0.9*F745+0.05*G745+0.05*H745,8)</f>
        <v/>
      </c>
    </row>
    <row r="746">
      <c r="A746" s="2" t="n">
        <v>44865</v>
      </c>
      <c r="B746" s="8" t="n">
        <v>2226.29</v>
      </c>
      <c r="C746" s="8" t="n">
        <v>124.6363</v>
      </c>
      <c r="D746" s="8" t="n">
        <v>0.35</v>
      </c>
      <c r="E746">
        <f>A746-A745</f>
        <v/>
      </c>
      <c r="F746" s="4">
        <f>ROUND(B746/B745-1,8)</f>
        <v/>
      </c>
      <c r="G746" s="4">
        <f>ROUND(C746/C745-1,8)</f>
        <v/>
      </c>
      <c r="H746" s="4">
        <f>ROUND(D746/100/(DATE(YEAR(A746)+1,1,1)-DATE(YEAR(A746),1,1))*E746,8)</f>
        <v/>
      </c>
      <c r="I746" s="4">
        <f>ROUND(I745*(1+F746),8)</f>
        <v/>
      </c>
      <c r="J746" s="4">
        <f>ROUND(J745*(1+G746),8)</f>
        <v/>
      </c>
      <c r="K746" s="4">
        <f>ROUND(K745+H746,8)</f>
        <v/>
      </c>
      <c r="L746" s="4">
        <f>ROUND(0.9*F746+0.05*G746+0.05*H746,8)</f>
        <v/>
      </c>
    </row>
    <row r="747">
      <c r="A747" s="2" t="n">
        <v>44866</v>
      </c>
      <c r="B747" s="8" t="n">
        <v>2284.91</v>
      </c>
      <c r="C747" s="8" t="n">
        <v>124.5709</v>
      </c>
      <c r="D747" s="8" t="n">
        <v>0.35</v>
      </c>
      <c r="E747">
        <f>A747-A746</f>
        <v/>
      </c>
      <c r="F747" s="4">
        <f>ROUND(B747/B746-1,8)</f>
        <v/>
      </c>
      <c r="G747" s="4">
        <f>ROUND(C747/C746-1,8)</f>
        <v/>
      </c>
      <c r="H747" s="4">
        <f>ROUND(D747/100/(DATE(YEAR(A747)+1,1,1)-DATE(YEAR(A747),1,1))*E747,8)</f>
        <v/>
      </c>
      <c r="I747" s="4">
        <f>ROUND(I746*(1+F747),8)</f>
        <v/>
      </c>
      <c r="J747" s="4">
        <f>ROUND(J746*(1+G747),8)</f>
        <v/>
      </c>
      <c r="K747" s="4">
        <f>ROUND(K746+H747,8)</f>
        <v/>
      </c>
      <c r="L747" s="4">
        <f>ROUND(0.9*F747+0.05*G747+0.05*H747,8)</f>
        <v/>
      </c>
    </row>
    <row r="748">
      <c r="A748" s="2" t="n">
        <v>44867</v>
      </c>
      <c r="B748" s="8" t="n">
        <v>2317.53</v>
      </c>
      <c r="C748" s="8" t="n">
        <v>124.5182</v>
      </c>
      <c r="D748" s="8" t="n">
        <v>0.35</v>
      </c>
      <c r="E748">
        <f>A748-A747</f>
        <v/>
      </c>
      <c r="F748" s="4">
        <f>ROUND(B748/B747-1,8)</f>
        <v/>
      </c>
      <c r="G748" s="4">
        <f>ROUND(C748/C747-1,8)</f>
        <v/>
      </c>
      <c r="H748" s="4">
        <f>ROUND(D748/100/(DATE(YEAR(A748)+1,1,1)-DATE(YEAR(A748),1,1))*E748,8)</f>
        <v/>
      </c>
      <c r="I748" s="4">
        <f>ROUND(I747*(1+F748),8)</f>
        <v/>
      </c>
      <c r="J748" s="4">
        <f>ROUND(J747*(1+G748),8)</f>
        <v/>
      </c>
      <c r="K748" s="4">
        <f>ROUND(K747+H748,8)</f>
        <v/>
      </c>
      <c r="L748" s="4">
        <f>ROUND(0.9*F748+0.05*G748+0.05*H748,8)</f>
        <v/>
      </c>
    </row>
    <row r="749">
      <c r="A749" s="2" t="n">
        <v>44868</v>
      </c>
      <c r="B749" s="8" t="n">
        <v>2331.72</v>
      </c>
      <c r="C749" s="8" t="n">
        <v>124.5277</v>
      </c>
      <c r="D749" s="8" t="n">
        <v>0.35</v>
      </c>
      <c r="E749">
        <f>A749-A748</f>
        <v/>
      </c>
      <c r="F749" s="4">
        <f>ROUND(B749/B748-1,8)</f>
        <v/>
      </c>
      <c r="G749" s="4">
        <f>ROUND(C749/C748-1,8)</f>
        <v/>
      </c>
      <c r="H749" s="4">
        <f>ROUND(D749/100/(DATE(YEAR(A749)+1,1,1)-DATE(YEAR(A749),1,1))*E749,8)</f>
        <v/>
      </c>
      <c r="I749" s="4">
        <f>ROUND(I748*(1+F749),8)</f>
        <v/>
      </c>
      <c r="J749" s="4">
        <f>ROUND(J748*(1+G749),8)</f>
        <v/>
      </c>
      <c r="K749" s="4">
        <f>ROUND(K748+H749,8)</f>
        <v/>
      </c>
      <c r="L749" s="4">
        <f>ROUND(0.9*F749+0.05*G749+0.05*H749,8)</f>
        <v/>
      </c>
    </row>
    <row r="750">
      <c r="A750" s="2" t="n">
        <v>44869</v>
      </c>
      <c r="B750" s="8" t="n">
        <v>2372.47</v>
      </c>
      <c r="C750" s="8" t="n">
        <v>124.4597</v>
      </c>
      <c r="D750" s="8" t="n">
        <v>0.35</v>
      </c>
      <c r="E750">
        <f>A750-A749</f>
        <v/>
      </c>
      <c r="F750" s="4">
        <f>ROUND(B750/B749-1,8)</f>
        <v/>
      </c>
      <c r="G750" s="4">
        <f>ROUND(C750/C749-1,8)</f>
        <v/>
      </c>
      <c r="H750" s="4">
        <f>ROUND(D750/100/(DATE(YEAR(A750)+1,1,1)-DATE(YEAR(A750),1,1))*E750,8)</f>
        <v/>
      </c>
      <c r="I750" s="4">
        <f>ROUND(I749*(1+F750),8)</f>
        <v/>
      </c>
      <c r="J750" s="4">
        <f>ROUND(J749*(1+G750),8)</f>
        <v/>
      </c>
      <c r="K750" s="4">
        <f>ROUND(K749+H750,8)</f>
        <v/>
      </c>
      <c r="L750" s="4">
        <f>ROUND(0.9*F750+0.05*G750+0.05*H750,8)</f>
        <v/>
      </c>
    </row>
    <row r="751">
      <c r="A751" s="2" t="n">
        <v>44872</v>
      </c>
      <c r="B751" s="8" t="n">
        <v>2390.46</v>
      </c>
      <c r="C751" s="8" t="n">
        <v>124.4424</v>
      </c>
      <c r="D751" s="8" t="n">
        <v>0.35</v>
      </c>
      <c r="E751">
        <f>A751-A750</f>
        <v/>
      </c>
      <c r="F751" s="4">
        <f>ROUND(B751/B750-1,8)</f>
        <v/>
      </c>
      <c r="G751" s="4">
        <f>ROUND(C751/C750-1,8)</f>
        <v/>
      </c>
      <c r="H751" s="4">
        <f>ROUND(D751/100/(DATE(YEAR(A751)+1,1,1)-DATE(YEAR(A751),1,1))*E751,8)</f>
        <v/>
      </c>
      <c r="I751" s="4">
        <f>ROUND(I750*(1+F751),8)</f>
        <v/>
      </c>
      <c r="J751" s="4">
        <f>ROUND(J750*(1+G751),8)</f>
        <v/>
      </c>
      <c r="K751" s="4">
        <f>ROUND(K750+H751,8)</f>
        <v/>
      </c>
      <c r="L751" s="4">
        <f>ROUND(0.9*F751+0.05*G751+0.05*H751,8)</f>
        <v/>
      </c>
    </row>
    <row r="752">
      <c r="A752" s="2" t="n">
        <v>44873</v>
      </c>
      <c r="B752" s="8" t="n">
        <v>2389.03</v>
      </c>
      <c r="C752" s="8" t="n">
        <v>124.408</v>
      </c>
      <c r="D752" s="8" t="n">
        <v>0.35</v>
      </c>
      <c r="E752">
        <f>A752-A751</f>
        <v/>
      </c>
      <c r="F752" s="4">
        <f>ROUND(B752/B751-1,8)</f>
        <v/>
      </c>
      <c r="G752" s="4">
        <f>ROUND(C752/C751-1,8)</f>
        <v/>
      </c>
      <c r="H752" s="4">
        <f>ROUND(D752/100/(DATE(YEAR(A752)+1,1,1)-DATE(YEAR(A752),1,1))*E752,8)</f>
        <v/>
      </c>
      <c r="I752" s="4">
        <f>ROUND(I751*(1+F752),8)</f>
        <v/>
      </c>
      <c r="J752" s="4">
        <f>ROUND(J751*(1+G752),8)</f>
        <v/>
      </c>
      <c r="K752" s="4">
        <f>ROUND(K751+H752,8)</f>
        <v/>
      </c>
      <c r="L752" s="4">
        <f>ROUND(0.9*F752+0.05*G752+0.05*H752,8)</f>
        <v/>
      </c>
    </row>
    <row r="753">
      <c r="A753" s="2" t="n">
        <v>44874</v>
      </c>
      <c r="B753" s="8" t="n">
        <v>2394.06</v>
      </c>
      <c r="C753" s="8" t="n">
        <v>124.3904</v>
      </c>
      <c r="D753" s="8" t="n">
        <v>0.35</v>
      </c>
      <c r="E753">
        <f>A753-A752</f>
        <v/>
      </c>
      <c r="F753" s="4">
        <f>ROUND(B753/B752-1,8)</f>
        <v/>
      </c>
      <c r="G753" s="4">
        <f>ROUND(C753/C752-1,8)</f>
        <v/>
      </c>
      <c r="H753" s="4">
        <f>ROUND(D753/100/(DATE(YEAR(A753)+1,1,1)-DATE(YEAR(A753),1,1))*E753,8)</f>
        <v/>
      </c>
      <c r="I753" s="4">
        <f>ROUND(I752*(1+F753),8)</f>
        <v/>
      </c>
      <c r="J753" s="4">
        <f>ROUND(J752*(1+G753),8)</f>
        <v/>
      </c>
      <c r="K753" s="4">
        <f>ROUND(K752+H753,8)</f>
        <v/>
      </c>
      <c r="L753" s="4">
        <f>ROUND(0.9*F753+0.05*G753+0.05*H753,8)</f>
        <v/>
      </c>
    </row>
    <row r="754">
      <c r="A754" s="2" t="n">
        <v>44875</v>
      </c>
      <c r="B754" s="8" t="n">
        <v>2383.68</v>
      </c>
      <c r="C754" s="8" t="n">
        <v>124.3575</v>
      </c>
      <c r="D754" s="8" t="n">
        <v>0.35</v>
      </c>
      <c r="E754">
        <f>A754-A753</f>
        <v/>
      </c>
      <c r="F754" s="4">
        <f>ROUND(B754/B753-1,8)</f>
        <v/>
      </c>
      <c r="G754" s="4">
        <f>ROUND(C754/C753-1,8)</f>
        <v/>
      </c>
      <c r="H754" s="4">
        <f>ROUND(D754/100/(DATE(YEAR(A754)+1,1,1)-DATE(YEAR(A754),1,1))*E754,8)</f>
        <v/>
      </c>
      <c r="I754" s="4">
        <f>ROUND(I753*(1+F754),8)</f>
        <v/>
      </c>
      <c r="J754" s="4">
        <f>ROUND(J753*(1+G754),8)</f>
        <v/>
      </c>
      <c r="K754" s="4">
        <f>ROUND(K753+H754,8)</f>
        <v/>
      </c>
      <c r="L754" s="4">
        <f>ROUND(0.9*F754+0.05*G754+0.05*H754,8)</f>
        <v/>
      </c>
    </row>
    <row r="755">
      <c r="A755" s="2" t="n">
        <v>44876</v>
      </c>
      <c r="B755" s="8" t="n">
        <v>2382.56</v>
      </c>
      <c r="C755" s="8" t="n">
        <v>124.2244</v>
      </c>
      <c r="D755" s="8" t="n">
        <v>0.35</v>
      </c>
      <c r="E755">
        <f>A755-A754</f>
        <v/>
      </c>
      <c r="F755" s="4">
        <f>ROUND(B755/B754-1,8)</f>
        <v/>
      </c>
      <c r="G755" s="4">
        <f>ROUND(C755/C754-1,8)</f>
        <v/>
      </c>
      <c r="H755" s="4">
        <f>ROUND(D755/100/(DATE(YEAR(A755)+1,1,1)-DATE(YEAR(A755),1,1))*E755,8)</f>
        <v/>
      </c>
      <c r="I755" s="4">
        <f>ROUND(I754*(1+F755),8)</f>
        <v/>
      </c>
      <c r="J755" s="4">
        <f>ROUND(J754*(1+G755),8)</f>
        <v/>
      </c>
      <c r="K755" s="4">
        <f>ROUND(K754+H755,8)</f>
        <v/>
      </c>
      <c r="L755" s="4">
        <f>ROUND(0.9*F755+0.05*G755+0.05*H755,8)</f>
        <v/>
      </c>
    </row>
    <row r="756">
      <c r="A756" s="2" t="n">
        <v>44879</v>
      </c>
      <c r="B756" s="8" t="n">
        <v>2374.5</v>
      </c>
      <c r="C756" s="8" t="n">
        <v>123.6856</v>
      </c>
      <c r="D756" s="8" t="n">
        <v>0.35</v>
      </c>
      <c r="E756">
        <f>A756-A755</f>
        <v/>
      </c>
      <c r="F756" s="4">
        <f>ROUND(B756/B755-1,8)</f>
        <v/>
      </c>
      <c r="G756" s="4">
        <f>ROUND(C756/C755-1,8)</f>
        <v/>
      </c>
      <c r="H756" s="4">
        <f>ROUND(D756/100/(DATE(YEAR(A756)+1,1,1)-DATE(YEAR(A756),1,1))*E756,8)</f>
        <v/>
      </c>
      <c r="I756" s="4">
        <f>ROUND(I755*(1+F756),8)</f>
        <v/>
      </c>
      <c r="J756" s="4">
        <f>ROUND(J755*(1+G756),8)</f>
        <v/>
      </c>
      <c r="K756" s="4">
        <f>ROUND(K755+H756,8)</f>
        <v/>
      </c>
      <c r="L756" s="4">
        <f>ROUND(0.9*F756+0.05*G756+0.05*H756,8)</f>
        <v/>
      </c>
    </row>
    <row r="757">
      <c r="A757" s="2" t="n">
        <v>44880</v>
      </c>
      <c r="B757" s="8" t="n">
        <v>2423.47</v>
      </c>
      <c r="C757" s="8" t="n">
        <v>123.6342</v>
      </c>
      <c r="D757" s="8" t="n">
        <v>0.35</v>
      </c>
      <c r="E757">
        <f>A757-A756</f>
        <v/>
      </c>
      <c r="F757" s="4">
        <f>ROUND(B757/B756-1,8)</f>
        <v/>
      </c>
      <c r="G757" s="4">
        <f>ROUND(C757/C756-1,8)</f>
        <v/>
      </c>
      <c r="H757" s="4">
        <f>ROUND(D757/100/(DATE(YEAR(A757)+1,1,1)-DATE(YEAR(A757),1,1))*E757,8)</f>
        <v/>
      </c>
      <c r="I757" s="4">
        <f>ROUND(I756*(1+F757),8)</f>
        <v/>
      </c>
      <c r="J757" s="4">
        <f>ROUND(J756*(1+G757),8)</f>
        <v/>
      </c>
      <c r="K757" s="4">
        <f>ROUND(K756+H757,8)</f>
        <v/>
      </c>
      <c r="L757" s="4">
        <f>ROUND(0.9*F757+0.05*G757+0.05*H757,8)</f>
        <v/>
      </c>
    </row>
    <row r="758">
      <c r="A758" s="2" t="n">
        <v>44881</v>
      </c>
      <c r="B758" s="8" t="n">
        <v>2414.14</v>
      </c>
      <c r="C758" s="8" t="n">
        <v>123.4988</v>
      </c>
      <c r="D758" s="8" t="n">
        <v>0.35</v>
      </c>
      <c r="E758">
        <f>A758-A757</f>
        <v/>
      </c>
      <c r="F758" s="4">
        <f>ROUND(B758/B757-1,8)</f>
        <v/>
      </c>
      <c r="G758" s="4">
        <f>ROUND(C758/C757-1,8)</f>
        <v/>
      </c>
      <c r="H758" s="4">
        <f>ROUND(D758/100/(DATE(YEAR(A758)+1,1,1)-DATE(YEAR(A758),1,1))*E758,8)</f>
        <v/>
      </c>
      <c r="I758" s="4">
        <f>ROUND(I757*(1+F758),8)</f>
        <v/>
      </c>
      <c r="J758" s="4">
        <f>ROUND(J757*(1+G758),8)</f>
        <v/>
      </c>
      <c r="K758" s="4">
        <f>ROUND(K757+H758,8)</f>
        <v/>
      </c>
      <c r="L758" s="4">
        <f>ROUND(0.9*F758+0.05*G758+0.05*H758,8)</f>
        <v/>
      </c>
    </row>
    <row r="759">
      <c r="A759" s="2" t="n">
        <v>44882</v>
      </c>
      <c r="B759" s="8" t="n">
        <v>2426.25</v>
      </c>
      <c r="C759" s="8" t="n">
        <v>123.5182</v>
      </c>
      <c r="D759" s="8" t="n">
        <v>0.35</v>
      </c>
      <c r="E759">
        <f>A759-A758</f>
        <v/>
      </c>
      <c r="F759" s="4">
        <f>ROUND(B759/B758-1,8)</f>
        <v/>
      </c>
      <c r="G759" s="4">
        <f>ROUND(C759/C758-1,8)</f>
        <v/>
      </c>
      <c r="H759" s="4">
        <f>ROUND(D759/100/(DATE(YEAR(A759)+1,1,1)-DATE(YEAR(A759),1,1))*E759,8)</f>
        <v/>
      </c>
      <c r="I759" s="4">
        <f>ROUND(I758*(1+F759),8)</f>
        <v/>
      </c>
      <c r="J759" s="4">
        <f>ROUND(J758*(1+G759),8)</f>
        <v/>
      </c>
      <c r="K759" s="4">
        <f>ROUND(K758+H759,8)</f>
        <v/>
      </c>
      <c r="L759" s="4">
        <f>ROUND(0.9*F759+0.05*G759+0.05*H759,8)</f>
        <v/>
      </c>
    </row>
    <row r="760">
      <c r="A760" s="2" t="n">
        <v>44883</v>
      </c>
      <c r="B760" s="8" t="n">
        <v>2409.35</v>
      </c>
      <c r="C760" s="8" t="n">
        <v>123.5341</v>
      </c>
      <c r="D760" s="8" t="n">
        <v>0.35</v>
      </c>
      <c r="E760">
        <f>A760-A759</f>
        <v/>
      </c>
      <c r="F760" s="4">
        <f>ROUND(B760/B759-1,8)</f>
        <v/>
      </c>
      <c r="G760" s="4">
        <f>ROUND(C760/C759-1,8)</f>
        <v/>
      </c>
      <c r="H760" s="4">
        <f>ROUND(D760/100/(DATE(YEAR(A760)+1,1,1)-DATE(YEAR(A760),1,1))*E760,8)</f>
        <v/>
      </c>
      <c r="I760" s="4">
        <f>ROUND(I759*(1+F760),8)</f>
        <v/>
      </c>
      <c r="J760" s="4">
        <f>ROUND(J759*(1+G760),8)</f>
        <v/>
      </c>
      <c r="K760" s="4">
        <f>ROUND(K759+H760,8)</f>
        <v/>
      </c>
      <c r="L760" s="4">
        <f>ROUND(0.9*F760+0.05*G760+0.05*H760,8)</f>
        <v/>
      </c>
    </row>
    <row r="761">
      <c r="A761" s="2" t="n">
        <v>44886</v>
      </c>
      <c r="B761" s="8" t="n">
        <v>2426.9</v>
      </c>
      <c r="C761" s="8" t="n">
        <v>123.5904</v>
      </c>
      <c r="D761" s="8" t="n">
        <v>0.35</v>
      </c>
      <c r="E761">
        <f>A761-A760</f>
        <v/>
      </c>
      <c r="F761" s="4">
        <f>ROUND(B761/B760-1,8)</f>
        <v/>
      </c>
      <c r="G761" s="4">
        <f>ROUND(C761/C760-1,8)</f>
        <v/>
      </c>
      <c r="H761" s="4">
        <f>ROUND(D761/100/(DATE(YEAR(A761)+1,1,1)-DATE(YEAR(A761),1,1))*E761,8)</f>
        <v/>
      </c>
      <c r="I761" s="4">
        <f>ROUND(I760*(1+F761),8)</f>
        <v/>
      </c>
      <c r="J761" s="4">
        <f>ROUND(J760*(1+G761),8)</f>
        <v/>
      </c>
      <c r="K761" s="4">
        <f>ROUND(K760+H761,8)</f>
        <v/>
      </c>
      <c r="L761" s="4">
        <f>ROUND(0.9*F761+0.05*G761+0.05*H761,8)</f>
        <v/>
      </c>
    </row>
    <row r="762">
      <c r="A762" s="2" t="n">
        <v>44887</v>
      </c>
      <c r="B762" s="8" t="n">
        <v>2389.18</v>
      </c>
      <c r="C762" s="8" t="n">
        <v>123.5806</v>
      </c>
      <c r="D762" s="8" t="n">
        <v>0.35</v>
      </c>
      <c r="E762">
        <f>A762-A761</f>
        <v/>
      </c>
      <c r="F762" s="4">
        <f>ROUND(B762/B761-1,8)</f>
        <v/>
      </c>
      <c r="G762" s="4">
        <f>ROUND(C762/C761-1,8)</f>
        <v/>
      </c>
      <c r="H762" s="4">
        <f>ROUND(D762/100/(DATE(YEAR(A762)+1,1,1)-DATE(YEAR(A762),1,1))*E762,8)</f>
        <v/>
      </c>
      <c r="I762" s="4">
        <f>ROUND(I761*(1+F762),8)</f>
        <v/>
      </c>
      <c r="J762" s="4">
        <f>ROUND(J761*(1+G762),8)</f>
        <v/>
      </c>
      <c r="K762" s="4">
        <f>ROUND(K761+H762,8)</f>
        <v/>
      </c>
      <c r="L762" s="4">
        <f>ROUND(0.9*F762+0.05*G762+0.05*H762,8)</f>
        <v/>
      </c>
    </row>
    <row r="763">
      <c r="A763" s="2" t="n">
        <v>44888</v>
      </c>
      <c r="B763" s="8" t="n">
        <v>2373.31</v>
      </c>
      <c r="C763" s="8" t="n">
        <v>123.6618</v>
      </c>
      <c r="D763" s="8" t="n">
        <v>0.35</v>
      </c>
      <c r="E763">
        <f>A763-A762</f>
        <v/>
      </c>
      <c r="F763" s="4">
        <f>ROUND(B763/B762-1,8)</f>
        <v/>
      </c>
      <c r="G763" s="4">
        <f>ROUND(C763/C762-1,8)</f>
        <v/>
      </c>
      <c r="H763" s="4">
        <f>ROUND(D763/100/(DATE(YEAR(A763)+1,1,1)-DATE(YEAR(A763),1,1))*E763,8)</f>
        <v/>
      </c>
      <c r="I763" s="4">
        <f>ROUND(I762*(1+F763),8)</f>
        <v/>
      </c>
      <c r="J763" s="4">
        <f>ROUND(J762*(1+G763),8)</f>
        <v/>
      </c>
      <c r="K763" s="4">
        <f>ROUND(K762+H763,8)</f>
        <v/>
      </c>
      <c r="L763" s="4">
        <f>ROUND(0.9*F763+0.05*G763+0.05*H763,8)</f>
        <v/>
      </c>
    </row>
    <row r="764">
      <c r="A764" s="2" t="n">
        <v>44889</v>
      </c>
      <c r="B764" s="8" t="n">
        <v>2386.09</v>
      </c>
      <c r="C764" s="8" t="n">
        <v>123.7858</v>
      </c>
      <c r="D764" s="8" t="n">
        <v>0.35</v>
      </c>
      <c r="E764">
        <f>A764-A763</f>
        <v/>
      </c>
      <c r="F764" s="4">
        <f>ROUND(B764/B763-1,8)</f>
        <v/>
      </c>
      <c r="G764" s="4">
        <f>ROUND(C764/C763-1,8)</f>
        <v/>
      </c>
      <c r="H764" s="4">
        <f>ROUND(D764/100/(DATE(YEAR(A764)+1,1,1)-DATE(YEAR(A764),1,1))*E764,8)</f>
        <v/>
      </c>
      <c r="I764" s="4">
        <f>ROUND(I763*(1+F764),8)</f>
        <v/>
      </c>
      <c r="J764" s="4">
        <f>ROUND(J763*(1+G764),8)</f>
        <v/>
      </c>
      <c r="K764" s="4">
        <f>ROUND(K763+H764,8)</f>
        <v/>
      </c>
      <c r="L764" s="4">
        <f>ROUND(0.9*F764+0.05*G764+0.05*H764,8)</f>
        <v/>
      </c>
    </row>
    <row r="765">
      <c r="A765" s="2" t="n">
        <v>44890</v>
      </c>
      <c r="B765" s="8" t="n">
        <v>2354.02</v>
      </c>
      <c r="C765" s="8" t="n">
        <v>123.6931</v>
      </c>
      <c r="D765" s="8" t="n">
        <v>0.35</v>
      </c>
      <c r="E765">
        <f>A765-A764</f>
        <v/>
      </c>
      <c r="F765" s="4">
        <f>ROUND(B765/B764-1,8)</f>
        <v/>
      </c>
      <c r="G765" s="4">
        <f>ROUND(C765/C764-1,8)</f>
        <v/>
      </c>
      <c r="H765" s="4">
        <f>ROUND(D765/100/(DATE(YEAR(A765)+1,1,1)-DATE(YEAR(A765),1,1))*E765,8)</f>
        <v/>
      </c>
      <c r="I765" s="4">
        <f>ROUND(I764*(1+F765),8)</f>
        <v/>
      </c>
      <c r="J765" s="4">
        <f>ROUND(J764*(1+G765),8)</f>
        <v/>
      </c>
      <c r="K765" s="4">
        <f>ROUND(K764+H765,8)</f>
        <v/>
      </c>
      <c r="L765" s="4">
        <f>ROUND(0.9*F765+0.05*G765+0.05*H765,8)</f>
        <v/>
      </c>
    </row>
    <row r="766">
      <c r="A766" s="2" t="n">
        <v>44893</v>
      </c>
      <c r="B766" s="8" t="n">
        <v>2346.78</v>
      </c>
      <c r="C766" s="8" t="n">
        <v>123.6041</v>
      </c>
      <c r="D766" s="8" t="n">
        <v>0.35</v>
      </c>
      <c r="E766">
        <f>A766-A765</f>
        <v/>
      </c>
      <c r="F766" s="4">
        <f>ROUND(B766/B765-1,8)</f>
        <v/>
      </c>
      <c r="G766" s="4">
        <f>ROUND(C766/C765-1,8)</f>
        <v/>
      </c>
      <c r="H766" s="4">
        <f>ROUND(D766/100/(DATE(YEAR(A766)+1,1,1)-DATE(YEAR(A766),1,1))*E766,8)</f>
        <v/>
      </c>
      <c r="I766" s="4">
        <f>ROUND(I765*(1+F766),8)</f>
        <v/>
      </c>
      <c r="J766" s="4">
        <f>ROUND(J765*(1+G766),8)</f>
        <v/>
      </c>
      <c r="K766" s="4">
        <f>ROUND(K765+H766,8)</f>
        <v/>
      </c>
      <c r="L766" s="4">
        <f>ROUND(0.9*F766+0.05*G766+0.05*H766,8)</f>
        <v/>
      </c>
    </row>
    <row r="767">
      <c r="A767" s="2" t="n">
        <v>44894</v>
      </c>
      <c r="B767" s="8" t="n">
        <v>2387.71</v>
      </c>
      <c r="C767" s="8" t="n">
        <v>123.3953</v>
      </c>
      <c r="D767" s="8" t="n">
        <v>0.35</v>
      </c>
      <c r="E767">
        <f>A767-A766</f>
        <v/>
      </c>
      <c r="F767" s="4">
        <f>ROUND(B767/B766-1,8)</f>
        <v/>
      </c>
      <c r="G767" s="4">
        <f>ROUND(C767/C766-1,8)</f>
        <v/>
      </c>
      <c r="H767" s="4">
        <f>ROUND(D767/100/(DATE(YEAR(A767)+1,1,1)-DATE(YEAR(A767),1,1))*E767,8)</f>
        <v/>
      </c>
      <c r="I767" s="4">
        <f>ROUND(I766*(1+F767),8)</f>
        <v/>
      </c>
      <c r="J767" s="4">
        <f>ROUND(J766*(1+G767),8)</f>
        <v/>
      </c>
      <c r="K767" s="4">
        <f>ROUND(K766+H767,8)</f>
        <v/>
      </c>
      <c r="L767" s="4">
        <f>ROUND(0.9*F767+0.05*G767+0.05*H767,8)</f>
        <v/>
      </c>
    </row>
    <row r="768">
      <c r="A768" s="2" t="n">
        <v>44895</v>
      </c>
      <c r="B768" s="8" t="n">
        <v>2389.46</v>
      </c>
      <c r="C768" s="8" t="n">
        <v>123.347</v>
      </c>
      <c r="D768" s="8" t="n">
        <v>0.35</v>
      </c>
      <c r="E768">
        <f>A768-A767</f>
        <v/>
      </c>
      <c r="F768" s="4">
        <f>ROUND(B768/B767-1,8)</f>
        <v/>
      </c>
      <c r="G768" s="4">
        <f>ROUND(C768/C767-1,8)</f>
        <v/>
      </c>
      <c r="H768" s="4">
        <f>ROUND(D768/100/(DATE(YEAR(A768)+1,1,1)-DATE(YEAR(A768),1,1))*E768,8)</f>
        <v/>
      </c>
      <c r="I768" s="4">
        <f>ROUND(I767*(1+F768),8)</f>
        <v/>
      </c>
      <c r="J768" s="4">
        <f>ROUND(J767*(1+G768),8)</f>
        <v/>
      </c>
      <c r="K768" s="4">
        <f>ROUND(K767+H768,8)</f>
        <v/>
      </c>
      <c r="L768" s="4">
        <f>ROUND(0.9*F768+0.05*G768+0.05*H768,8)</f>
        <v/>
      </c>
    </row>
    <row r="769">
      <c r="A769" s="2" t="n">
        <v>44896</v>
      </c>
      <c r="B769" s="8" t="n">
        <v>2405.45</v>
      </c>
      <c r="C769" s="8" t="n">
        <v>123.3506</v>
      </c>
      <c r="D769" s="8" t="n">
        <v>0.35</v>
      </c>
      <c r="E769">
        <f>A769-A768</f>
        <v/>
      </c>
      <c r="F769" s="4">
        <f>ROUND(B769/B768-1,8)</f>
        <v/>
      </c>
      <c r="G769" s="4">
        <f>ROUND(C769/C768-1,8)</f>
        <v/>
      </c>
      <c r="H769" s="4">
        <f>ROUND(D769/100/(DATE(YEAR(A769)+1,1,1)-DATE(YEAR(A769),1,1))*E769,8)</f>
        <v/>
      </c>
      <c r="I769" s="4">
        <f>ROUND(I768*(1+F769),8)</f>
        <v/>
      </c>
      <c r="J769" s="4">
        <f>ROUND(J768*(1+G769),8)</f>
        <v/>
      </c>
      <c r="K769" s="4">
        <f>ROUND(K768+H769,8)</f>
        <v/>
      </c>
      <c r="L769" s="4">
        <f>ROUND(0.9*F769+0.05*G769+0.05*H769,8)</f>
        <v/>
      </c>
    </row>
    <row r="770">
      <c r="A770" s="2" t="n">
        <v>44897</v>
      </c>
      <c r="B770" s="8" t="n">
        <v>2424.3</v>
      </c>
      <c r="C770" s="8" t="n">
        <v>123.3755</v>
      </c>
      <c r="D770" s="8" t="n">
        <v>0.35</v>
      </c>
      <c r="E770">
        <f>A770-A769</f>
        <v/>
      </c>
      <c r="F770" s="4">
        <f>ROUND(B770/B769-1,8)</f>
        <v/>
      </c>
      <c r="G770" s="4">
        <f>ROUND(C770/C769-1,8)</f>
        <v/>
      </c>
      <c r="H770" s="4">
        <f>ROUND(D770/100/(DATE(YEAR(A770)+1,1,1)-DATE(YEAR(A770),1,1))*E770,8)</f>
        <v/>
      </c>
      <c r="I770" s="4">
        <f>ROUND(I769*(1+F770),8)</f>
        <v/>
      </c>
      <c r="J770" s="4">
        <f>ROUND(J769*(1+G770),8)</f>
        <v/>
      </c>
      <c r="K770" s="4">
        <f>ROUND(K769+H770,8)</f>
        <v/>
      </c>
      <c r="L770" s="4">
        <f>ROUND(0.9*F770+0.05*G770+0.05*H770,8)</f>
        <v/>
      </c>
    </row>
    <row r="771">
      <c r="A771" s="2" t="n">
        <v>44900</v>
      </c>
      <c r="B771" s="8" t="n">
        <v>2435.68</v>
      </c>
      <c r="C771" s="8" t="n">
        <v>123.3305</v>
      </c>
      <c r="D771" s="8" t="n">
        <v>0.35</v>
      </c>
      <c r="E771">
        <f>A771-A770</f>
        <v/>
      </c>
      <c r="F771" s="4">
        <f>ROUND(B771/B770-1,8)</f>
        <v/>
      </c>
      <c r="G771" s="4">
        <f>ROUND(C771/C770-1,8)</f>
        <v/>
      </c>
      <c r="H771" s="4">
        <f>ROUND(D771/100/(DATE(YEAR(A771)+1,1,1)-DATE(YEAR(A771),1,1))*E771,8)</f>
        <v/>
      </c>
      <c r="I771" s="4">
        <f>ROUND(I770*(1+F771),8)</f>
        <v/>
      </c>
      <c r="J771" s="4">
        <f>ROUND(J770*(1+G771),8)</f>
        <v/>
      </c>
      <c r="K771" s="4">
        <f>ROUND(K770+H771,8)</f>
        <v/>
      </c>
      <c r="L771" s="4">
        <f>ROUND(0.9*F771+0.05*G771+0.05*H771,8)</f>
        <v/>
      </c>
    </row>
    <row r="772">
      <c r="A772" s="2" t="n">
        <v>44901</v>
      </c>
      <c r="B772" s="8" t="n">
        <v>2418.07</v>
      </c>
      <c r="C772" s="8" t="n">
        <v>123.2275</v>
      </c>
      <c r="D772" s="8" t="n">
        <v>0.35</v>
      </c>
      <c r="E772">
        <f>A772-A771</f>
        <v/>
      </c>
      <c r="F772" s="4">
        <f>ROUND(B772/B771-1,8)</f>
        <v/>
      </c>
      <c r="G772" s="4">
        <f>ROUND(C772/C771-1,8)</f>
        <v/>
      </c>
      <c r="H772" s="4">
        <f>ROUND(D772/100/(DATE(YEAR(A772)+1,1,1)-DATE(YEAR(A772),1,1))*E772,8)</f>
        <v/>
      </c>
      <c r="I772" s="4">
        <f>ROUND(I771*(1+F772),8)</f>
        <v/>
      </c>
      <c r="J772" s="4">
        <f>ROUND(J771*(1+G772),8)</f>
        <v/>
      </c>
      <c r="K772" s="4">
        <f>ROUND(K771+H772,8)</f>
        <v/>
      </c>
      <c r="L772" s="4">
        <f>ROUND(0.9*F772+0.05*G772+0.05*H772,8)</f>
        <v/>
      </c>
    </row>
    <row r="773">
      <c r="A773" s="2" t="n">
        <v>44902</v>
      </c>
      <c r="B773" s="8" t="n">
        <v>2420.31</v>
      </c>
      <c r="C773" s="8" t="n">
        <v>123.1774</v>
      </c>
      <c r="D773" s="8" t="n">
        <v>0.35</v>
      </c>
      <c r="E773">
        <f>A773-A772</f>
        <v/>
      </c>
      <c r="F773" s="4">
        <f>ROUND(B773/B772-1,8)</f>
        <v/>
      </c>
      <c r="G773" s="4">
        <f>ROUND(C773/C772-1,8)</f>
        <v/>
      </c>
      <c r="H773" s="4">
        <f>ROUND(D773/100/(DATE(YEAR(A773)+1,1,1)-DATE(YEAR(A773),1,1))*E773,8)</f>
        <v/>
      </c>
      <c r="I773" s="4">
        <f>ROUND(I772*(1+F773),8)</f>
        <v/>
      </c>
      <c r="J773" s="4">
        <f>ROUND(J772*(1+G773),8)</f>
        <v/>
      </c>
      <c r="K773" s="4">
        <f>ROUND(K772+H773,8)</f>
        <v/>
      </c>
      <c r="L773" s="4">
        <f>ROUND(0.9*F773+0.05*G773+0.05*H773,8)</f>
        <v/>
      </c>
    </row>
    <row r="774">
      <c r="A774" s="2" t="n">
        <v>44903</v>
      </c>
      <c r="B774" s="8" t="n">
        <v>2411.03</v>
      </c>
      <c r="C774" s="8" t="n">
        <v>123.2027</v>
      </c>
      <c r="D774" s="8" t="n">
        <v>0.35</v>
      </c>
      <c r="E774">
        <f>A774-A773</f>
        <v/>
      </c>
      <c r="F774" s="4">
        <f>ROUND(B774/B773-1,8)</f>
        <v/>
      </c>
      <c r="G774" s="4">
        <f>ROUND(C774/C773-1,8)</f>
        <v/>
      </c>
      <c r="H774" s="4">
        <f>ROUND(D774/100/(DATE(YEAR(A774)+1,1,1)-DATE(YEAR(A774),1,1))*E774,8)</f>
        <v/>
      </c>
      <c r="I774" s="4">
        <f>ROUND(I773*(1+F774),8)</f>
        <v/>
      </c>
      <c r="J774" s="4">
        <f>ROUND(J773*(1+G774),8)</f>
        <v/>
      </c>
      <c r="K774" s="4">
        <f>ROUND(K773+H774,8)</f>
        <v/>
      </c>
      <c r="L774" s="4">
        <f>ROUND(0.9*F774+0.05*G774+0.05*H774,8)</f>
        <v/>
      </c>
    </row>
    <row r="775">
      <c r="A775" s="2" t="n">
        <v>44904</v>
      </c>
      <c r="B775" s="8" t="n">
        <v>2404</v>
      </c>
      <c r="C775" s="8" t="n">
        <v>123.1426</v>
      </c>
      <c r="D775" s="8" t="n">
        <v>0.35</v>
      </c>
      <c r="E775">
        <f>A775-A774</f>
        <v/>
      </c>
      <c r="F775" s="4">
        <f>ROUND(B775/B774-1,8)</f>
        <v/>
      </c>
      <c r="G775" s="4">
        <f>ROUND(C775/C774-1,8)</f>
        <v/>
      </c>
      <c r="H775" s="4">
        <f>ROUND(D775/100/(DATE(YEAR(A775)+1,1,1)-DATE(YEAR(A775),1,1))*E775,8)</f>
        <v/>
      </c>
      <c r="I775" s="4">
        <f>ROUND(I774*(1+F775),8)</f>
        <v/>
      </c>
      <c r="J775" s="4">
        <f>ROUND(J774*(1+G775),8)</f>
        <v/>
      </c>
      <c r="K775" s="4">
        <f>ROUND(K774+H775,8)</f>
        <v/>
      </c>
      <c r="L775" s="4">
        <f>ROUND(0.9*F775+0.05*G775+0.05*H775,8)</f>
        <v/>
      </c>
    </row>
    <row r="776">
      <c r="A776" s="2" t="n">
        <v>44907</v>
      </c>
      <c r="B776" s="8" t="n">
        <v>2402.21</v>
      </c>
      <c r="C776" s="8" t="n">
        <v>123.1117</v>
      </c>
      <c r="D776" s="8" t="n">
        <v>0.35</v>
      </c>
      <c r="E776">
        <f>A776-A775</f>
        <v/>
      </c>
      <c r="F776" s="4">
        <f>ROUND(B776/B775-1,8)</f>
        <v/>
      </c>
      <c r="G776" s="4">
        <f>ROUND(C776/C775-1,8)</f>
        <v/>
      </c>
      <c r="H776" s="4">
        <f>ROUND(D776/100/(DATE(YEAR(A776)+1,1,1)-DATE(YEAR(A776),1,1))*E776,8)</f>
        <v/>
      </c>
      <c r="I776" s="4">
        <f>ROUND(I775*(1+F776),8)</f>
        <v/>
      </c>
      <c r="J776" s="4">
        <f>ROUND(J775*(1+G776),8)</f>
        <v/>
      </c>
      <c r="K776" s="4">
        <f>ROUND(K775+H776,8)</f>
        <v/>
      </c>
      <c r="L776" s="4">
        <f>ROUND(0.9*F776+0.05*G776+0.05*H776,8)</f>
        <v/>
      </c>
    </row>
    <row r="777">
      <c r="A777" s="2" t="n">
        <v>44908</v>
      </c>
      <c r="B777" s="8" t="n">
        <v>2391.29</v>
      </c>
      <c r="C777" s="8" t="n">
        <v>122.9764</v>
      </c>
      <c r="D777" s="8" t="n">
        <v>0.35</v>
      </c>
      <c r="E777">
        <f>A777-A776</f>
        <v/>
      </c>
      <c r="F777" s="4">
        <f>ROUND(B777/B776-1,8)</f>
        <v/>
      </c>
      <c r="G777" s="4">
        <f>ROUND(C777/C776-1,8)</f>
        <v/>
      </c>
      <c r="H777" s="4">
        <f>ROUND(D777/100/(DATE(YEAR(A777)+1,1,1)-DATE(YEAR(A777),1,1))*E777,8)</f>
        <v/>
      </c>
      <c r="I777" s="4">
        <f>ROUND(I776*(1+F777),8)</f>
        <v/>
      </c>
      <c r="J777" s="4">
        <f>ROUND(J776*(1+G777),8)</f>
        <v/>
      </c>
      <c r="K777" s="4">
        <f>ROUND(K776+H777,8)</f>
        <v/>
      </c>
      <c r="L777" s="4">
        <f>ROUND(0.9*F777+0.05*G777+0.05*H777,8)</f>
        <v/>
      </c>
    </row>
    <row r="778">
      <c r="A778" s="2" t="n">
        <v>44909</v>
      </c>
      <c r="B778" s="8" t="n">
        <v>2382.54</v>
      </c>
      <c r="C778" s="8" t="n">
        <v>123.0607</v>
      </c>
      <c r="D778" s="8" t="n">
        <v>0.35</v>
      </c>
      <c r="E778">
        <f>A778-A777</f>
        <v/>
      </c>
      <c r="F778" s="4">
        <f>ROUND(B778/B777-1,8)</f>
        <v/>
      </c>
      <c r="G778" s="4">
        <f>ROUND(C778/C777-1,8)</f>
        <v/>
      </c>
      <c r="H778" s="4">
        <f>ROUND(D778/100/(DATE(YEAR(A778)+1,1,1)-DATE(YEAR(A778),1,1))*E778,8)</f>
        <v/>
      </c>
      <c r="I778" s="4">
        <f>ROUND(I777*(1+F778),8)</f>
        <v/>
      </c>
      <c r="J778" s="4">
        <f>ROUND(J777*(1+G778),8)</f>
        <v/>
      </c>
      <c r="K778" s="4">
        <f>ROUND(K777+H778,8)</f>
        <v/>
      </c>
      <c r="L778" s="4">
        <f>ROUND(0.9*F778+0.05*G778+0.05*H778,8)</f>
        <v/>
      </c>
    </row>
    <row r="779">
      <c r="A779" s="2" t="n">
        <v>44910</v>
      </c>
      <c r="B779" s="8" t="n">
        <v>2397.62</v>
      </c>
      <c r="C779" s="8" t="n">
        <v>123.0639</v>
      </c>
      <c r="D779" s="8" t="n">
        <v>0.35</v>
      </c>
      <c r="E779">
        <f>A779-A778</f>
        <v/>
      </c>
      <c r="F779" s="4">
        <f>ROUND(B779/B778-1,8)</f>
        <v/>
      </c>
      <c r="G779" s="4">
        <f>ROUND(C779/C778-1,8)</f>
        <v/>
      </c>
      <c r="H779" s="4">
        <f>ROUND(D779/100/(DATE(YEAR(A779)+1,1,1)-DATE(YEAR(A779),1,1))*E779,8)</f>
        <v/>
      </c>
      <c r="I779" s="4">
        <f>ROUND(I778*(1+F779),8)</f>
        <v/>
      </c>
      <c r="J779" s="4">
        <f>ROUND(J778*(1+G779),8)</f>
        <v/>
      </c>
      <c r="K779" s="4">
        <f>ROUND(K778+H779,8)</f>
        <v/>
      </c>
      <c r="L779" s="4">
        <f>ROUND(0.9*F779+0.05*G779+0.05*H779,8)</f>
        <v/>
      </c>
    </row>
    <row r="780">
      <c r="A780" s="2" t="n">
        <v>44911</v>
      </c>
      <c r="B780" s="8" t="n">
        <v>2367.36</v>
      </c>
      <c r="C780" s="8" t="n">
        <v>123.0426</v>
      </c>
      <c r="D780" s="8" t="n">
        <v>0.35</v>
      </c>
      <c r="E780">
        <f>A780-A779</f>
        <v/>
      </c>
      <c r="F780" s="4">
        <f>ROUND(B780/B779-1,8)</f>
        <v/>
      </c>
      <c r="G780" s="4">
        <f>ROUND(C780/C779-1,8)</f>
        <v/>
      </c>
      <c r="H780" s="4">
        <f>ROUND(D780/100/(DATE(YEAR(A780)+1,1,1)-DATE(YEAR(A780),1,1))*E780,8)</f>
        <v/>
      </c>
      <c r="I780" s="4">
        <f>ROUND(I779*(1+F780),8)</f>
        <v/>
      </c>
      <c r="J780" s="4">
        <f>ROUND(J779*(1+G780),8)</f>
        <v/>
      </c>
      <c r="K780" s="4">
        <f>ROUND(K779+H780,8)</f>
        <v/>
      </c>
      <c r="L780" s="4">
        <f>ROUND(0.9*F780+0.05*G780+0.05*H780,8)</f>
        <v/>
      </c>
    </row>
    <row r="781">
      <c r="A781" s="2" t="n">
        <v>44914</v>
      </c>
      <c r="B781" s="8" t="n">
        <v>2315.25</v>
      </c>
      <c r="C781" s="8" t="n">
        <v>123.141</v>
      </c>
      <c r="D781" s="8" t="n">
        <v>0.35</v>
      </c>
      <c r="E781">
        <f>A781-A780</f>
        <v/>
      </c>
      <c r="F781" s="4">
        <f>ROUND(B781/B780-1,8)</f>
        <v/>
      </c>
      <c r="G781" s="4">
        <f>ROUND(C781/C780-1,8)</f>
        <v/>
      </c>
      <c r="H781" s="4">
        <f>ROUND(D781/100/(DATE(YEAR(A781)+1,1,1)-DATE(YEAR(A781),1,1))*E781,8)</f>
        <v/>
      </c>
      <c r="I781" s="4">
        <f>ROUND(I780*(1+F781),8)</f>
        <v/>
      </c>
      <c r="J781" s="4">
        <f>ROUND(J780*(1+G781),8)</f>
        <v/>
      </c>
      <c r="K781" s="4">
        <f>ROUND(K780+H781,8)</f>
        <v/>
      </c>
      <c r="L781" s="4">
        <f>ROUND(0.9*F781+0.05*G781+0.05*H781,8)</f>
        <v/>
      </c>
    </row>
    <row r="782">
      <c r="A782" s="2" t="n">
        <v>44915</v>
      </c>
      <c r="B782" s="8" t="n">
        <v>2307.08</v>
      </c>
      <c r="C782" s="8" t="n">
        <v>123.1491</v>
      </c>
      <c r="D782" s="8" t="n">
        <v>0.35</v>
      </c>
      <c r="E782">
        <f>A782-A781</f>
        <v/>
      </c>
      <c r="F782" s="4">
        <f>ROUND(B782/B781-1,8)</f>
        <v/>
      </c>
      <c r="G782" s="4">
        <f>ROUND(C782/C781-1,8)</f>
        <v/>
      </c>
      <c r="H782" s="4">
        <f>ROUND(D782/100/(DATE(YEAR(A782)+1,1,1)-DATE(YEAR(A782),1,1))*E782,8)</f>
        <v/>
      </c>
      <c r="I782" s="4">
        <f>ROUND(I781*(1+F782),8)</f>
        <v/>
      </c>
      <c r="J782" s="4">
        <f>ROUND(J781*(1+G782),8)</f>
        <v/>
      </c>
      <c r="K782" s="4">
        <f>ROUND(K781+H782,8)</f>
        <v/>
      </c>
      <c r="L782" s="4">
        <f>ROUND(0.9*F782+0.05*G782+0.05*H782,8)</f>
        <v/>
      </c>
    </row>
    <row r="783">
      <c r="A783" s="2" t="n">
        <v>44916</v>
      </c>
      <c r="B783" s="8" t="n">
        <v>2287.2</v>
      </c>
      <c r="C783" s="8" t="n">
        <v>123.1339</v>
      </c>
      <c r="D783" s="8" t="n">
        <v>0.35</v>
      </c>
      <c r="E783">
        <f>A783-A782</f>
        <v/>
      </c>
      <c r="F783" s="4">
        <f>ROUND(B783/B782-1,8)</f>
        <v/>
      </c>
      <c r="G783" s="4">
        <f>ROUND(C783/C782-1,8)</f>
        <v/>
      </c>
      <c r="H783" s="4">
        <f>ROUND(D783/100/(DATE(YEAR(A783)+1,1,1)-DATE(YEAR(A783),1,1))*E783,8)</f>
        <v/>
      </c>
      <c r="I783" s="4">
        <f>ROUND(I782*(1+F783),8)</f>
        <v/>
      </c>
      <c r="J783" s="4">
        <f>ROUND(J782*(1+G783),8)</f>
        <v/>
      </c>
      <c r="K783" s="4">
        <f>ROUND(K782+H783,8)</f>
        <v/>
      </c>
      <c r="L783" s="4">
        <f>ROUND(0.9*F783+0.05*G783+0.05*H783,8)</f>
        <v/>
      </c>
    </row>
    <row r="784">
      <c r="A784" s="2" t="n">
        <v>44917</v>
      </c>
      <c r="B784" s="8" t="n">
        <v>2248.98</v>
      </c>
      <c r="C784" s="8" t="n">
        <v>123.1964</v>
      </c>
      <c r="D784" s="8" t="n">
        <v>0.35</v>
      </c>
      <c r="E784">
        <f>A784-A783</f>
        <v/>
      </c>
      <c r="F784" s="4">
        <f>ROUND(B784/B783-1,8)</f>
        <v/>
      </c>
      <c r="G784" s="4">
        <f>ROUND(C784/C783-1,8)</f>
        <v/>
      </c>
      <c r="H784" s="4">
        <f>ROUND(D784/100/(DATE(YEAR(A784)+1,1,1)-DATE(YEAR(A784),1,1))*E784,8)</f>
        <v/>
      </c>
      <c r="I784" s="4">
        <f>ROUND(I783*(1+F784),8)</f>
        <v/>
      </c>
      <c r="J784" s="4">
        <f>ROUND(J783*(1+G784),8)</f>
        <v/>
      </c>
      <c r="K784" s="4">
        <f>ROUND(K783+H784,8)</f>
        <v/>
      </c>
      <c r="L784" s="4">
        <f>ROUND(0.9*F784+0.05*G784+0.05*H784,8)</f>
        <v/>
      </c>
    </row>
    <row r="785">
      <c r="A785" s="2" t="n">
        <v>44918</v>
      </c>
      <c r="B785" s="8" t="n">
        <v>2238.47</v>
      </c>
      <c r="C785" s="8" t="n">
        <v>123.2881</v>
      </c>
      <c r="D785" s="8" t="n">
        <v>0.35</v>
      </c>
      <c r="E785">
        <f>A785-A784</f>
        <v/>
      </c>
      <c r="F785" s="4">
        <f>ROUND(B785/B784-1,8)</f>
        <v/>
      </c>
      <c r="G785" s="4">
        <f>ROUND(C785/C784-1,8)</f>
        <v/>
      </c>
      <c r="H785" s="4">
        <f>ROUND(D785/100/(DATE(YEAR(A785)+1,1,1)-DATE(YEAR(A785),1,1))*E785,8)</f>
        <v/>
      </c>
      <c r="I785" s="4">
        <f>ROUND(I784*(1+F785),8)</f>
        <v/>
      </c>
      <c r="J785" s="4">
        <f>ROUND(J784*(1+G785),8)</f>
        <v/>
      </c>
      <c r="K785" s="4">
        <f>ROUND(K784+H785,8)</f>
        <v/>
      </c>
      <c r="L785" s="4">
        <f>ROUND(0.9*F785+0.05*G785+0.05*H785,8)</f>
        <v/>
      </c>
    </row>
    <row r="786">
      <c r="A786" s="2" t="n">
        <v>44921</v>
      </c>
      <c r="B786" s="8" t="n">
        <v>2285.55</v>
      </c>
      <c r="C786" s="8" t="n">
        <v>123.2971</v>
      </c>
      <c r="D786" s="8" t="n">
        <v>0.35</v>
      </c>
      <c r="E786">
        <f>A786-A785</f>
        <v/>
      </c>
      <c r="F786" s="4">
        <f>ROUND(B786/B785-1,8)</f>
        <v/>
      </c>
      <c r="G786" s="4">
        <f>ROUND(C786/C785-1,8)</f>
        <v/>
      </c>
      <c r="H786" s="4">
        <f>ROUND(D786/100/(DATE(YEAR(A786)+1,1,1)-DATE(YEAR(A786),1,1))*E786,8)</f>
        <v/>
      </c>
      <c r="I786" s="4">
        <f>ROUND(I785*(1+F786),8)</f>
        <v/>
      </c>
      <c r="J786" s="4">
        <f>ROUND(J785*(1+G786),8)</f>
        <v/>
      </c>
      <c r="K786" s="4">
        <f>ROUND(K785+H786,8)</f>
        <v/>
      </c>
      <c r="L786" s="4">
        <f>ROUND(0.9*F786+0.05*G786+0.05*H786,8)</f>
        <v/>
      </c>
    </row>
    <row r="787">
      <c r="A787" s="2" t="n">
        <v>44922</v>
      </c>
      <c r="B787" s="8" t="n">
        <v>2295.58</v>
      </c>
      <c r="C787" s="8" t="n">
        <v>123.2649</v>
      </c>
      <c r="D787" s="8" t="n">
        <v>0.35</v>
      </c>
      <c r="E787">
        <f>A787-A786</f>
        <v/>
      </c>
      <c r="F787" s="4">
        <f>ROUND(B787/B786-1,8)</f>
        <v/>
      </c>
      <c r="G787" s="4">
        <f>ROUND(C787/C786-1,8)</f>
        <v/>
      </c>
      <c r="H787" s="4">
        <f>ROUND(D787/100/(DATE(YEAR(A787)+1,1,1)-DATE(YEAR(A787),1,1))*E787,8)</f>
        <v/>
      </c>
      <c r="I787" s="4">
        <f>ROUND(I786*(1+F787),8)</f>
        <v/>
      </c>
      <c r="J787" s="4">
        <f>ROUND(J786*(1+G787),8)</f>
        <v/>
      </c>
      <c r="K787" s="4">
        <f>ROUND(K786+H787,8)</f>
        <v/>
      </c>
      <c r="L787" s="4">
        <f>ROUND(0.9*F787+0.05*G787+0.05*H787,8)</f>
        <v/>
      </c>
    </row>
    <row r="788">
      <c r="A788" s="2" t="n">
        <v>44923</v>
      </c>
      <c r="B788" s="8" t="n">
        <v>2265.7</v>
      </c>
      <c r="C788" s="8" t="n">
        <v>123.2664</v>
      </c>
      <c r="D788" s="8" t="n">
        <v>0.35</v>
      </c>
      <c r="E788">
        <f>A788-A787</f>
        <v/>
      </c>
      <c r="F788" s="4">
        <f>ROUND(B788/B787-1,8)</f>
        <v/>
      </c>
      <c r="G788" s="4">
        <f>ROUND(C788/C787-1,8)</f>
        <v/>
      </c>
      <c r="H788" s="4">
        <f>ROUND(D788/100/(DATE(YEAR(A788)+1,1,1)-DATE(YEAR(A788),1,1))*E788,8)</f>
        <v/>
      </c>
      <c r="I788" s="4">
        <f>ROUND(I787*(1+F788),8)</f>
        <v/>
      </c>
      <c r="J788" s="4">
        <f>ROUND(J787*(1+G788),8)</f>
        <v/>
      </c>
      <c r="K788" s="4">
        <f>ROUND(K787+H788,8)</f>
        <v/>
      </c>
      <c r="L788" s="4">
        <f>ROUND(0.9*F788+0.05*G788+0.05*H788,8)</f>
        <v/>
      </c>
    </row>
    <row r="789">
      <c r="A789" s="2" t="n">
        <v>44924</v>
      </c>
      <c r="B789" s="8" t="n">
        <v>2253.98</v>
      </c>
      <c r="C789" s="8" t="n">
        <v>123.3636</v>
      </c>
      <c r="D789" s="8" t="n">
        <v>0.35</v>
      </c>
      <c r="E789">
        <f>A789-A788</f>
        <v/>
      </c>
      <c r="F789" s="4">
        <f>ROUND(B789/B788-1,8)</f>
        <v/>
      </c>
      <c r="G789" s="4">
        <f>ROUND(C789/C788-1,8)</f>
        <v/>
      </c>
      <c r="H789" s="4">
        <f>ROUND(D789/100/(DATE(YEAR(A789)+1,1,1)-DATE(YEAR(A789),1,1))*E789,8)</f>
        <v/>
      </c>
      <c r="I789" s="4">
        <f>ROUND(I788*(1+F789),8)</f>
        <v/>
      </c>
      <c r="J789" s="4">
        <f>ROUND(J788*(1+G789),8)</f>
        <v/>
      </c>
      <c r="K789" s="4">
        <f>ROUND(K788+H789,8)</f>
        <v/>
      </c>
      <c r="L789" s="4">
        <f>ROUND(0.9*F789+0.05*G789+0.05*H789,8)</f>
        <v/>
      </c>
    </row>
    <row r="790">
      <c r="A790" s="2" t="n">
        <v>44925</v>
      </c>
      <c r="B790" s="8" t="n">
        <v>2272.93</v>
      </c>
      <c r="C790" s="8" t="n">
        <v>123.4172</v>
      </c>
      <c r="D790" s="8" t="n">
        <v>0.35</v>
      </c>
      <c r="E790">
        <f>A790-A789</f>
        <v/>
      </c>
      <c r="F790" s="4">
        <f>ROUND(B790/B789-1,8)</f>
        <v/>
      </c>
      <c r="G790" s="4">
        <f>ROUND(C790/C789-1,8)</f>
        <v/>
      </c>
      <c r="H790" s="4">
        <f>ROUND(D790/100/(DATE(YEAR(A790)+1,1,1)-DATE(YEAR(A790),1,1))*E790,8)</f>
        <v/>
      </c>
      <c r="I790" s="4">
        <f>ROUND(I789*(1+F790),8)</f>
        <v/>
      </c>
      <c r="J790" s="4">
        <f>ROUND(J789*(1+G790),8)</f>
        <v/>
      </c>
      <c r="K790" s="4">
        <f>ROUND(K789+H790,8)</f>
        <v/>
      </c>
      <c r="L790" s="4">
        <f>ROUND(0.9*F790+0.05*G790+0.05*H790,8)</f>
        <v/>
      </c>
    </row>
    <row r="791">
      <c r="A791" s="2" t="n">
        <v>44929</v>
      </c>
      <c r="B791" s="8" t="n">
        <v>2332.36</v>
      </c>
      <c r="C791" s="8" t="n">
        <v>123.5305</v>
      </c>
      <c r="D791" s="8" t="n">
        <v>0.35</v>
      </c>
      <c r="E791">
        <f>A791-A790</f>
        <v/>
      </c>
      <c r="F791" s="4">
        <f>ROUND(B791/B790-1,8)</f>
        <v/>
      </c>
      <c r="G791" s="4">
        <f>ROUND(C791/C790-1,8)</f>
        <v/>
      </c>
      <c r="H791" s="4">
        <f>ROUND(D791/100/(DATE(YEAR(A791)+1,1,1)-DATE(YEAR(A791),1,1))*E791,8)</f>
        <v/>
      </c>
      <c r="I791" s="4">
        <f>ROUND(I790*(1+F791),8)</f>
        <v/>
      </c>
      <c r="J791" s="4">
        <f>ROUND(J790*(1+G791),8)</f>
        <v/>
      </c>
      <c r="K791" s="4">
        <f>ROUND(K790+H791,8)</f>
        <v/>
      </c>
      <c r="L791" s="4">
        <f>ROUND(0.9*F791+0.05*G791+0.05*H791,8)</f>
        <v/>
      </c>
    </row>
    <row r="792">
      <c r="A792" s="2" t="n">
        <v>44930</v>
      </c>
      <c r="B792" s="8" t="n">
        <v>2343.98</v>
      </c>
      <c r="C792" s="8" t="n">
        <v>123.6435</v>
      </c>
      <c r="D792" s="8" t="n">
        <v>0.35</v>
      </c>
      <c r="E792">
        <f>A792-A791</f>
        <v/>
      </c>
      <c r="F792" s="4">
        <f>ROUND(B792/B791-1,8)</f>
        <v/>
      </c>
      <c r="G792" s="4">
        <f>ROUND(C792/C791-1,8)</f>
        <v/>
      </c>
      <c r="H792" s="4">
        <f>ROUND(D792/100/(DATE(YEAR(A792)+1,1,1)-DATE(YEAR(A792),1,1))*E792,8)</f>
        <v/>
      </c>
      <c r="I792" s="4">
        <f>ROUND(I791*(1+F792),8)</f>
        <v/>
      </c>
      <c r="J792" s="4">
        <f>ROUND(J791*(1+G792),8)</f>
        <v/>
      </c>
      <c r="K792" s="4">
        <f>ROUND(K791+H792,8)</f>
        <v/>
      </c>
      <c r="L792" s="4">
        <f>ROUND(0.9*F792+0.05*G792+0.05*H792,8)</f>
        <v/>
      </c>
    </row>
    <row r="793">
      <c r="A793" s="2" t="n">
        <v>44931</v>
      </c>
      <c r="B793" s="8" t="n">
        <v>2355.26</v>
      </c>
      <c r="C793" s="8" t="n">
        <v>123.7017</v>
      </c>
      <c r="D793" s="8" t="n">
        <v>0.35</v>
      </c>
      <c r="E793">
        <f>A793-A792</f>
        <v/>
      </c>
      <c r="F793" s="4">
        <f>ROUND(B793/B792-1,8)</f>
        <v/>
      </c>
      <c r="G793" s="4">
        <f>ROUND(C793/C792-1,8)</f>
        <v/>
      </c>
      <c r="H793" s="4">
        <f>ROUND(D793/100/(DATE(YEAR(A793)+1,1,1)-DATE(YEAR(A793),1,1))*E793,8)</f>
        <v/>
      </c>
      <c r="I793" s="4">
        <f>ROUND(I792*(1+F793),8)</f>
        <v/>
      </c>
      <c r="J793" s="4">
        <f>ROUND(J792*(1+G793),8)</f>
        <v/>
      </c>
      <c r="K793" s="4">
        <f>ROUND(K792+H793,8)</f>
        <v/>
      </c>
      <c r="L793" s="4">
        <f>ROUND(0.9*F793+0.05*G793+0.05*H793,8)</f>
        <v/>
      </c>
    </row>
    <row r="794">
      <c r="A794" s="2" t="n">
        <v>44932</v>
      </c>
      <c r="B794" s="8" t="n">
        <v>2351.44</v>
      </c>
      <c r="C794" s="8" t="n">
        <v>123.6538</v>
      </c>
      <c r="D794" s="8" t="n">
        <v>0.35</v>
      </c>
      <c r="E794">
        <f>A794-A793</f>
        <v/>
      </c>
      <c r="F794" s="4">
        <f>ROUND(B794/B793-1,8)</f>
        <v/>
      </c>
      <c r="G794" s="4">
        <f>ROUND(C794/C793-1,8)</f>
        <v/>
      </c>
      <c r="H794" s="4">
        <f>ROUND(D794/100/(DATE(YEAR(A794)+1,1,1)-DATE(YEAR(A794),1,1))*E794,8)</f>
        <v/>
      </c>
      <c r="I794" s="4">
        <f>ROUND(I793*(1+F794),8)</f>
        <v/>
      </c>
      <c r="J794" s="4">
        <f>ROUND(J793*(1+G794),8)</f>
        <v/>
      </c>
      <c r="K794" s="4">
        <f>ROUND(K793+H794,8)</f>
        <v/>
      </c>
      <c r="L794" s="4">
        <f>ROUND(0.9*F794+0.05*G794+0.05*H794,8)</f>
        <v/>
      </c>
    </row>
    <row r="795">
      <c r="A795" s="2" t="n">
        <v>44935</v>
      </c>
      <c r="B795" s="8" t="n">
        <v>2366.96</v>
      </c>
      <c r="C795" s="8" t="n">
        <v>123.6433</v>
      </c>
      <c r="D795" s="8" t="n">
        <v>0.35</v>
      </c>
      <c r="E795">
        <f>A795-A794</f>
        <v/>
      </c>
      <c r="F795" s="4">
        <f>ROUND(B795/B794-1,8)</f>
        <v/>
      </c>
      <c r="G795" s="4">
        <f>ROUND(C795/C794-1,8)</f>
        <v/>
      </c>
      <c r="H795" s="4">
        <f>ROUND(D795/100/(DATE(YEAR(A795)+1,1,1)-DATE(YEAR(A795),1,1))*E795,8)</f>
        <v/>
      </c>
      <c r="I795" s="4">
        <f>ROUND(I794*(1+F795),8)</f>
        <v/>
      </c>
      <c r="J795" s="4">
        <f>ROUND(J794*(1+G795),8)</f>
        <v/>
      </c>
      <c r="K795" s="4">
        <f>ROUND(K794+H795,8)</f>
        <v/>
      </c>
      <c r="L795" s="4">
        <f>ROUND(0.9*F795+0.05*G795+0.05*H795,8)</f>
        <v/>
      </c>
    </row>
    <row r="796">
      <c r="A796" s="2" t="n">
        <v>44936</v>
      </c>
      <c r="B796" s="8" t="n">
        <v>2363.76</v>
      </c>
      <c r="C796" s="8" t="n">
        <v>123.5421</v>
      </c>
      <c r="D796" s="8" t="n">
        <v>0.35</v>
      </c>
      <c r="E796">
        <f>A796-A795</f>
        <v/>
      </c>
      <c r="F796" s="4">
        <f>ROUND(B796/B795-1,8)</f>
        <v/>
      </c>
      <c r="G796" s="4">
        <f>ROUND(C796/C795-1,8)</f>
        <v/>
      </c>
      <c r="H796" s="4">
        <f>ROUND(D796/100/(DATE(YEAR(A796)+1,1,1)-DATE(YEAR(A796),1,1))*E796,8)</f>
        <v/>
      </c>
      <c r="I796" s="4">
        <f>ROUND(I795*(1+F796),8)</f>
        <v/>
      </c>
      <c r="J796" s="4">
        <f>ROUND(J795*(1+G796),8)</f>
        <v/>
      </c>
      <c r="K796" s="4">
        <f>ROUND(K795+H796,8)</f>
        <v/>
      </c>
      <c r="L796" s="4">
        <f>ROUND(0.9*F796+0.05*G796+0.05*H796,8)</f>
        <v/>
      </c>
    </row>
    <row r="797">
      <c r="A797" s="2" t="n">
        <v>44937</v>
      </c>
      <c r="B797" s="8" t="n">
        <v>2343.67</v>
      </c>
      <c r="C797" s="8" t="n">
        <v>123.514</v>
      </c>
      <c r="D797" s="8" t="n">
        <v>0.35</v>
      </c>
      <c r="E797">
        <f>A797-A796</f>
        <v/>
      </c>
      <c r="F797" s="4">
        <f>ROUND(B797/B796-1,8)</f>
        <v/>
      </c>
      <c r="G797" s="4">
        <f>ROUND(C797/C796-1,8)</f>
        <v/>
      </c>
      <c r="H797" s="4">
        <f>ROUND(D797/100/(DATE(YEAR(A797)+1,1,1)-DATE(YEAR(A797),1,1))*E797,8)</f>
        <v/>
      </c>
      <c r="I797" s="4">
        <f>ROUND(I796*(1+F797),8)</f>
        <v/>
      </c>
      <c r="J797" s="4">
        <f>ROUND(J796*(1+G797),8)</f>
        <v/>
      </c>
      <c r="K797" s="4">
        <f>ROUND(K796+H797,8)</f>
        <v/>
      </c>
      <c r="L797" s="4">
        <f>ROUND(0.9*F797+0.05*G797+0.05*H797,8)</f>
        <v/>
      </c>
    </row>
    <row r="798">
      <c r="A798" s="2" t="n">
        <v>44938</v>
      </c>
      <c r="B798" s="8" t="n">
        <v>2344.4</v>
      </c>
      <c r="C798" s="8" t="n">
        <v>123.5336</v>
      </c>
      <c r="D798" s="8" t="n">
        <v>0.35</v>
      </c>
      <c r="E798">
        <f>A798-A797</f>
        <v/>
      </c>
      <c r="F798" s="4">
        <f>ROUND(B798/B797-1,8)</f>
        <v/>
      </c>
      <c r="G798" s="4">
        <f>ROUND(C798/C797-1,8)</f>
        <v/>
      </c>
      <c r="H798" s="4">
        <f>ROUND(D798/100/(DATE(YEAR(A798)+1,1,1)-DATE(YEAR(A798),1,1))*E798,8)</f>
        <v/>
      </c>
      <c r="I798" s="4">
        <f>ROUND(I797*(1+F798),8)</f>
        <v/>
      </c>
      <c r="J798" s="4">
        <f>ROUND(J797*(1+G798),8)</f>
        <v/>
      </c>
      <c r="K798" s="4">
        <f>ROUND(K797+H798,8)</f>
        <v/>
      </c>
      <c r="L798" s="4">
        <f>ROUND(0.9*F798+0.05*G798+0.05*H798,8)</f>
        <v/>
      </c>
    </row>
    <row r="799">
      <c r="A799" s="2" t="n">
        <v>44939</v>
      </c>
      <c r="B799" s="8" t="n">
        <v>2345.6</v>
      </c>
      <c r="C799" s="8" t="n">
        <v>123.4926</v>
      </c>
      <c r="D799" s="8" t="n">
        <v>0.35</v>
      </c>
      <c r="E799">
        <f>A799-A798</f>
        <v/>
      </c>
      <c r="F799" s="4">
        <f>ROUND(B799/B798-1,8)</f>
        <v/>
      </c>
      <c r="G799" s="4">
        <f>ROUND(C799/C798-1,8)</f>
        <v/>
      </c>
      <c r="H799" s="4">
        <f>ROUND(D799/100/(DATE(YEAR(A799)+1,1,1)-DATE(YEAR(A799),1,1))*E799,8)</f>
        <v/>
      </c>
      <c r="I799" s="4">
        <f>ROUND(I798*(1+F799),8)</f>
        <v/>
      </c>
      <c r="J799" s="4">
        <f>ROUND(J798*(1+G799),8)</f>
        <v/>
      </c>
      <c r="K799" s="4">
        <f>ROUND(K798+H799,8)</f>
        <v/>
      </c>
      <c r="L799" s="4">
        <f>ROUND(0.9*F799+0.05*G799+0.05*H799,8)</f>
        <v/>
      </c>
    </row>
    <row r="800">
      <c r="A800" s="2" t="n">
        <v>44942</v>
      </c>
      <c r="B800" s="8" t="n">
        <v>2365.38</v>
      </c>
      <c r="C800" s="8" t="n">
        <v>123.3913</v>
      </c>
      <c r="D800" s="8" t="n">
        <v>0.35</v>
      </c>
      <c r="E800">
        <f>A800-A799</f>
        <v/>
      </c>
      <c r="F800" s="4">
        <f>ROUND(B800/B799-1,8)</f>
        <v/>
      </c>
      <c r="G800" s="4">
        <f>ROUND(C800/C799-1,8)</f>
        <v/>
      </c>
      <c r="H800" s="4">
        <f>ROUND(D800/100/(DATE(YEAR(A800)+1,1,1)-DATE(YEAR(A800),1,1))*E800,8)</f>
        <v/>
      </c>
      <c r="I800" s="4">
        <f>ROUND(I799*(1+F800),8)</f>
        <v/>
      </c>
      <c r="J800" s="4">
        <f>ROUND(J799*(1+G800),8)</f>
        <v/>
      </c>
      <c r="K800" s="4">
        <f>ROUND(K799+H800,8)</f>
        <v/>
      </c>
      <c r="L800" s="4">
        <f>ROUND(0.9*F800+0.05*G800+0.05*H800,8)</f>
        <v/>
      </c>
    </row>
    <row r="801">
      <c r="A801" s="2" t="n">
        <v>44943</v>
      </c>
      <c r="B801" s="8" t="n">
        <v>2359.73</v>
      </c>
      <c r="C801" s="8" t="n">
        <v>123.3713</v>
      </c>
      <c r="D801" s="8" t="n">
        <v>0.35</v>
      </c>
      <c r="E801">
        <f>A801-A800</f>
        <v/>
      </c>
      <c r="F801" s="4">
        <f>ROUND(B801/B800-1,8)</f>
        <v/>
      </c>
      <c r="G801" s="4">
        <f>ROUND(C801/C800-1,8)</f>
        <v/>
      </c>
      <c r="H801" s="4">
        <f>ROUND(D801/100/(DATE(YEAR(A801)+1,1,1)-DATE(YEAR(A801),1,1))*E801,8)</f>
        <v/>
      </c>
      <c r="I801" s="4">
        <f>ROUND(I800*(1+F801),8)</f>
        <v/>
      </c>
      <c r="J801" s="4">
        <f>ROUND(J800*(1+G801),8)</f>
        <v/>
      </c>
      <c r="K801" s="4">
        <f>ROUND(K800+H801,8)</f>
        <v/>
      </c>
      <c r="L801" s="4">
        <f>ROUND(0.9*F801+0.05*G801+0.05*H801,8)</f>
        <v/>
      </c>
    </row>
    <row r="802">
      <c r="A802" s="2" t="n">
        <v>44944</v>
      </c>
      <c r="B802" s="8" t="n">
        <v>2370.3</v>
      </c>
      <c r="C802" s="8" t="n">
        <v>123.3296</v>
      </c>
      <c r="D802" s="8" t="n">
        <v>0.35</v>
      </c>
      <c r="E802">
        <f>A802-A801</f>
        <v/>
      </c>
      <c r="F802" s="4">
        <f>ROUND(B802/B801-1,8)</f>
        <v/>
      </c>
      <c r="G802" s="4">
        <f>ROUND(C802/C801-1,8)</f>
        <v/>
      </c>
      <c r="H802" s="4">
        <f>ROUND(D802/100/(DATE(YEAR(A802)+1,1,1)-DATE(YEAR(A802),1,1))*E802,8)</f>
        <v/>
      </c>
      <c r="I802" s="4">
        <f>ROUND(I801*(1+F802),8)</f>
        <v/>
      </c>
      <c r="J802" s="4">
        <f>ROUND(J801*(1+G802),8)</f>
        <v/>
      </c>
      <c r="K802" s="4">
        <f>ROUND(K801+H802,8)</f>
        <v/>
      </c>
      <c r="L802" s="4">
        <f>ROUND(0.9*F802+0.05*G802+0.05*H802,8)</f>
        <v/>
      </c>
    </row>
    <row r="803">
      <c r="A803" s="2" t="n">
        <v>44945</v>
      </c>
      <c r="B803" s="8" t="n">
        <v>2380.55</v>
      </c>
      <c r="C803" s="8" t="n">
        <v>123.3416</v>
      </c>
      <c r="D803" s="8" t="n">
        <v>0.35</v>
      </c>
      <c r="E803">
        <f>A803-A802</f>
        <v/>
      </c>
      <c r="F803" s="4">
        <f>ROUND(B803/B802-1,8)</f>
        <v/>
      </c>
      <c r="G803" s="4">
        <f>ROUND(C803/C802-1,8)</f>
        <v/>
      </c>
      <c r="H803" s="4">
        <f>ROUND(D803/100/(DATE(YEAR(A803)+1,1,1)-DATE(YEAR(A803),1,1))*E803,8)</f>
        <v/>
      </c>
      <c r="I803" s="4">
        <f>ROUND(I802*(1+F803),8)</f>
        <v/>
      </c>
      <c r="J803" s="4">
        <f>ROUND(J802*(1+G803),8)</f>
        <v/>
      </c>
      <c r="K803" s="4">
        <f>ROUND(K802+H803,8)</f>
        <v/>
      </c>
      <c r="L803" s="4">
        <f>ROUND(0.9*F803+0.05*G803+0.05*H803,8)</f>
        <v/>
      </c>
    </row>
    <row r="804">
      <c r="A804" s="2" t="n">
        <v>44946</v>
      </c>
      <c r="B804" s="8" t="n">
        <v>2403</v>
      </c>
      <c r="C804" s="8" t="n">
        <v>123.2964</v>
      </c>
      <c r="D804" s="8" t="n">
        <v>0.35</v>
      </c>
      <c r="E804">
        <f>A804-A803</f>
        <v/>
      </c>
      <c r="F804" s="4">
        <f>ROUND(B804/B803-1,8)</f>
        <v/>
      </c>
      <c r="G804" s="4">
        <f>ROUND(C804/C803-1,8)</f>
        <v/>
      </c>
      <c r="H804" s="4">
        <f>ROUND(D804/100/(DATE(YEAR(A804)+1,1,1)-DATE(YEAR(A804),1,1))*E804,8)</f>
        <v/>
      </c>
      <c r="I804" s="4">
        <f>ROUND(I803*(1+F804),8)</f>
        <v/>
      </c>
      <c r="J804" s="4">
        <f>ROUND(J803*(1+G804),8)</f>
        <v/>
      </c>
      <c r="K804" s="4">
        <f>ROUND(K803+H804,8)</f>
        <v/>
      </c>
      <c r="L804" s="4">
        <f>ROUND(0.9*F804+0.05*G804+0.05*H804,8)</f>
        <v/>
      </c>
    </row>
    <row r="805">
      <c r="A805" s="2" t="n">
        <v>44956</v>
      </c>
      <c r="B805" s="8" t="n">
        <v>2444.71</v>
      </c>
      <c r="C805" s="8" t="n">
        <v>123.3412</v>
      </c>
      <c r="D805" s="8" t="n">
        <v>0.35</v>
      </c>
      <c r="E805">
        <f>A805-A804</f>
        <v/>
      </c>
      <c r="F805" s="4">
        <f>ROUND(B805/B804-1,8)</f>
        <v/>
      </c>
      <c r="G805" s="4">
        <f>ROUND(C805/C804-1,8)</f>
        <v/>
      </c>
      <c r="H805" s="4">
        <f>ROUND(D805/100/(DATE(YEAR(A805)+1,1,1)-DATE(YEAR(A805),1,1))*E805,8)</f>
        <v/>
      </c>
      <c r="I805" s="4">
        <f>ROUND(I804*(1+F805),8)</f>
        <v/>
      </c>
      <c r="J805" s="4">
        <f>ROUND(J804*(1+G805),8)</f>
        <v/>
      </c>
      <c r="K805" s="4">
        <f>ROUND(K804+H805,8)</f>
        <v/>
      </c>
      <c r="L805" s="4">
        <f>ROUND(0.9*F805+0.05*G805+0.05*H805,8)</f>
        <v/>
      </c>
    </row>
    <row r="806">
      <c r="A806" s="2" t="n">
        <v>44957</v>
      </c>
      <c r="B806" s="8" t="n">
        <v>2458.57</v>
      </c>
      <c r="C806" s="8" t="n">
        <v>123.379</v>
      </c>
      <c r="D806" s="8" t="n">
        <v>0.35</v>
      </c>
      <c r="E806">
        <f>A806-A805</f>
        <v/>
      </c>
      <c r="F806" s="4">
        <f>ROUND(B806/B805-1,8)</f>
        <v/>
      </c>
      <c r="G806" s="4">
        <f>ROUND(C806/C805-1,8)</f>
        <v/>
      </c>
      <c r="H806" s="4">
        <f>ROUND(D806/100/(DATE(YEAR(A806)+1,1,1)-DATE(YEAR(A806),1,1))*E806,8)</f>
        <v/>
      </c>
      <c r="I806" s="4">
        <f>ROUND(I805*(1+F806),8)</f>
        <v/>
      </c>
      <c r="J806" s="4">
        <f>ROUND(J805*(1+G806),8)</f>
        <v/>
      </c>
      <c r="K806" s="4">
        <f>ROUND(K805+H806,8)</f>
        <v/>
      </c>
      <c r="L806" s="4">
        <f>ROUND(0.9*F806+0.05*G806+0.05*H806,8)</f>
        <v/>
      </c>
    </row>
    <row r="807">
      <c r="A807" s="2" t="n">
        <v>44958</v>
      </c>
      <c r="B807" s="8" t="n">
        <v>2503.16</v>
      </c>
      <c r="C807" s="8" t="n">
        <v>123.3573</v>
      </c>
      <c r="D807" s="8" t="n">
        <v>0.35</v>
      </c>
      <c r="E807">
        <f>A807-A806</f>
        <v/>
      </c>
      <c r="F807" s="4">
        <f>ROUND(B807/B806-1,8)</f>
        <v/>
      </c>
      <c r="G807" s="4">
        <f>ROUND(C807/C806-1,8)</f>
        <v/>
      </c>
      <c r="H807" s="4">
        <f>ROUND(D807/100/(DATE(YEAR(A807)+1,1,1)-DATE(YEAR(A807),1,1))*E807,8)</f>
        <v/>
      </c>
      <c r="I807" s="4">
        <f>ROUND(I806*(1+F807),8)</f>
        <v/>
      </c>
      <c r="J807" s="4">
        <f>ROUND(J806*(1+G807),8)</f>
        <v/>
      </c>
      <c r="K807" s="4">
        <f>ROUND(K806+H807,8)</f>
        <v/>
      </c>
      <c r="L807" s="4">
        <f>ROUND(0.9*F807+0.05*G807+0.05*H807,8)</f>
        <v/>
      </c>
    </row>
    <row r="808">
      <c r="A808" s="2" t="n">
        <v>44959</v>
      </c>
      <c r="B808" s="8" t="n">
        <v>2510.53</v>
      </c>
      <c r="C808" s="8" t="n">
        <v>123.355</v>
      </c>
      <c r="D808" s="8" t="n">
        <v>0.35</v>
      </c>
      <c r="E808">
        <f>A808-A807</f>
        <v/>
      </c>
      <c r="F808" s="4">
        <f>ROUND(B808/B807-1,8)</f>
        <v/>
      </c>
      <c r="G808" s="4">
        <f>ROUND(C808/C807-1,8)</f>
        <v/>
      </c>
      <c r="H808" s="4">
        <f>ROUND(D808/100/(DATE(YEAR(A808)+1,1,1)-DATE(YEAR(A808),1,1))*E808,8)</f>
        <v/>
      </c>
      <c r="I808" s="4">
        <f>ROUND(I807*(1+F808),8)</f>
        <v/>
      </c>
      <c r="J808" s="4">
        <f>ROUND(J807*(1+G808),8)</f>
        <v/>
      </c>
      <c r="K808" s="4">
        <f>ROUND(K807+H808,8)</f>
        <v/>
      </c>
      <c r="L808" s="4">
        <f>ROUND(0.9*F808+0.05*G808+0.05*H808,8)</f>
        <v/>
      </c>
    </row>
    <row r="809">
      <c r="A809" s="2" t="n">
        <v>44960</v>
      </c>
      <c r="B809" s="8" t="n">
        <v>2512.41</v>
      </c>
      <c r="C809" s="8" t="n">
        <v>123.4015</v>
      </c>
      <c r="D809" s="8" t="n">
        <v>0.35</v>
      </c>
      <c r="E809">
        <f>A809-A808</f>
        <v/>
      </c>
      <c r="F809" s="4">
        <f>ROUND(B809/B808-1,8)</f>
        <v/>
      </c>
      <c r="G809" s="4">
        <f>ROUND(C809/C808-1,8)</f>
        <v/>
      </c>
      <c r="H809" s="4">
        <f>ROUND(D809/100/(DATE(YEAR(A809)+1,1,1)-DATE(YEAR(A809),1,1))*E809,8)</f>
        <v/>
      </c>
      <c r="I809" s="4">
        <f>ROUND(I808*(1+F809),8)</f>
        <v/>
      </c>
      <c r="J809" s="4">
        <f>ROUND(J808*(1+G809),8)</f>
        <v/>
      </c>
      <c r="K809" s="4">
        <f>ROUND(K808+H809,8)</f>
        <v/>
      </c>
      <c r="L809" s="4">
        <f>ROUND(0.9*F809+0.05*G809+0.05*H809,8)</f>
        <v/>
      </c>
    </row>
    <row r="810">
      <c r="A810" s="2" t="n">
        <v>44963</v>
      </c>
      <c r="B810" s="8" t="n">
        <v>2513.26</v>
      </c>
      <c r="C810" s="8" t="n">
        <v>123.41</v>
      </c>
      <c r="D810" s="8" t="n">
        <v>0.35</v>
      </c>
      <c r="E810">
        <f>A810-A809</f>
        <v/>
      </c>
      <c r="F810" s="4">
        <f>ROUND(B810/B809-1,8)</f>
        <v/>
      </c>
      <c r="G810" s="4">
        <f>ROUND(C810/C809-1,8)</f>
        <v/>
      </c>
      <c r="H810" s="4">
        <f>ROUND(D810/100/(DATE(YEAR(A810)+1,1,1)-DATE(YEAR(A810),1,1))*E810,8)</f>
        <v/>
      </c>
      <c r="I810" s="4">
        <f>ROUND(I809*(1+F810),8)</f>
        <v/>
      </c>
      <c r="J810" s="4">
        <f>ROUND(J809*(1+G810),8)</f>
        <v/>
      </c>
      <c r="K810" s="4">
        <f>ROUND(K809+H810,8)</f>
        <v/>
      </c>
      <c r="L810" s="4">
        <f>ROUND(0.9*F810+0.05*G810+0.05*H810,8)</f>
        <v/>
      </c>
    </row>
    <row r="811">
      <c r="A811" s="2" t="n">
        <v>44964</v>
      </c>
      <c r="B811" s="8" t="n">
        <v>2535.43</v>
      </c>
      <c r="C811" s="8" t="n">
        <v>123.4227</v>
      </c>
      <c r="D811" s="8" t="n">
        <v>0.35</v>
      </c>
      <c r="E811">
        <f>A811-A810</f>
        <v/>
      </c>
      <c r="F811" s="4">
        <f>ROUND(B811/B810-1,8)</f>
        <v/>
      </c>
      <c r="G811" s="4">
        <f>ROUND(C811/C810-1,8)</f>
        <v/>
      </c>
      <c r="H811" s="4">
        <f>ROUND(D811/100/(DATE(YEAR(A811)+1,1,1)-DATE(YEAR(A811),1,1))*E811,8)</f>
        <v/>
      </c>
      <c r="I811" s="4">
        <f>ROUND(I810*(1+F811),8)</f>
        <v/>
      </c>
      <c r="J811" s="4">
        <f>ROUND(J810*(1+G811),8)</f>
        <v/>
      </c>
      <c r="K811" s="4">
        <f>ROUND(K810+H811,8)</f>
        <v/>
      </c>
      <c r="L811" s="4">
        <f>ROUND(0.9*F811+0.05*G811+0.05*H811,8)</f>
        <v/>
      </c>
    </row>
    <row r="812">
      <c r="A812" s="2" t="n">
        <v>44965</v>
      </c>
      <c r="B812" s="8" t="n">
        <v>2524.45</v>
      </c>
      <c r="C812" s="8" t="n">
        <v>123.4394</v>
      </c>
      <c r="D812" s="8" t="n">
        <v>0.35</v>
      </c>
      <c r="E812">
        <f>A812-A811</f>
        <v/>
      </c>
      <c r="F812" s="4">
        <f>ROUND(B812/B811-1,8)</f>
        <v/>
      </c>
      <c r="G812" s="4">
        <f>ROUND(C812/C811-1,8)</f>
        <v/>
      </c>
      <c r="H812" s="4">
        <f>ROUND(D812/100/(DATE(YEAR(A812)+1,1,1)-DATE(YEAR(A812),1,1))*E812,8)</f>
        <v/>
      </c>
      <c r="I812" s="4">
        <f>ROUND(I811*(1+F812),8)</f>
        <v/>
      </c>
      <c r="J812" s="4">
        <f>ROUND(J811*(1+G812),8)</f>
        <v/>
      </c>
      <c r="K812" s="4">
        <f>ROUND(K811+H812,8)</f>
        <v/>
      </c>
      <c r="L812" s="4">
        <f>ROUND(0.9*F812+0.05*G812+0.05*H812,8)</f>
        <v/>
      </c>
    </row>
    <row r="813">
      <c r="A813" s="2" t="n">
        <v>44966</v>
      </c>
      <c r="B813" s="8" t="n">
        <v>2555.68</v>
      </c>
      <c r="C813" s="8" t="n">
        <v>123.4466</v>
      </c>
      <c r="D813" s="8" t="n">
        <v>0.35</v>
      </c>
      <c r="E813">
        <f>A813-A812</f>
        <v/>
      </c>
      <c r="F813" s="4">
        <f>ROUND(B813/B812-1,8)</f>
        <v/>
      </c>
      <c r="G813" s="4">
        <f>ROUND(C813/C812-1,8)</f>
        <v/>
      </c>
      <c r="H813" s="4">
        <f>ROUND(D813/100/(DATE(YEAR(A813)+1,1,1)-DATE(YEAR(A813),1,1))*E813,8)</f>
        <v/>
      </c>
      <c r="I813" s="4">
        <f>ROUND(I812*(1+F813),8)</f>
        <v/>
      </c>
      <c r="J813" s="4">
        <f>ROUND(J812*(1+G813),8)</f>
        <v/>
      </c>
      <c r="K813" s="4">
        <f>ROUND(K812+H813,8)</f>
        <v/>
      </c>
      <c r="L813" s="4">
        <f>ROUND(0.9*F813+0.05*G813+0.05*H813,8)</f>
        <v/>
      </c>
    </row>
    <row r="814">
      <c r="A814" s="2" t="n">
        <v>44967</v>
      </c>
      <c r="B814" s="8" t="n">
        <v>2550.58</v>
      </c>
      <c r="C814" s="8" t="n">
        <v>123.4704</v>
      </c>
      <c r="D814" s="8" t="n">
        <v>0.35</v>
      </c>
      <c r="E814">
        <f>A814-A813</f>
        <v/>
      </c>
      <c r="F814" s="4">
        <f>ROUND(B814/B813-1,8)</f>
        <v/>
      </c>
      <c r="G814" s="4">
        <f>ROUND(C814/C813-1,8)</f>
        <v/>
      </c>
      <c r="H814" s="4">
        <f>ROUND(D814/100/(DATE(YEAR(A814)+1,1,1)-DATE(YEAR(A814),1,1))*E814,8)</f>
        <v/>
      </c>
      <c r="I814" s="4">
        <f>ROUND(I813*(1+F814),8)</f>
        <v/>
      </c>
      <c r="J814" s="4">
        <f>ROUND(J813*(1+G814),8)</f>
        <v/>
      </c>
      <c r="K814" s="4">
        <f>ROUND(K813+H814,8)</f>
        <v/>
      </c>
      <c r="L814" s="4">
        <f>ROUND(0.9*F814+0.05*G814+0.05*H814,8)</f>
        <v/>
      </c>
    </row>
    <row r="815">
      <c r="A815" s="2" t="n">
        <v>44970</v>
      </c>
      <c r="B815" s="8" t="n">
        <v>2577.77</v>
      </c>
      <c r="C815" s="8" t="n">
        <v>123.4986</v>
      </c>
      <c r="D815" s="8" t="n">
        <v>0.35</v>
      </c>
      <c r="E815">
        <f>A815-A814</f>
        <v/>
      </c>
      <c r="F815" s="4">
        <f>ROUND(B815/B814-1,8)</f>
        <v/>
      </c>
      <c r="G815" s="4">
        <f>ROUND(C815/C814-1,8)</f>
        <v/>
      </c>
      <c r="H815" s="4">
        <f>ROUND(D815/100/(DATE(YEAR(A815)+1,1,1)-DATE(YEAR(A815),1,1))*E815,8)</f>
        <v/>
      </c>
      <c r="I815" s="4">
        <f>ROUND(I814*(1+F815),8)</f>
        <v/>
      </c>
      <c r="J815" s="4">
        <f>ROUND(J814*(1+G815),8)</f>
        <v/>
      </c>
      <c r="K815" s="4">
        <f>ROUND(K814+H815,8)</f>
        <v/>
      </c>
      <c r="L815" s="4">
        <f>ROUND(0.9*F815+0.05*G815+0.05*H815,8)</f>
        <v/>
      </c>
    </row>
    <row r="816">
      <c r="A816" s="2" t="n">
        <v>44971</v>
      </c>
      <c r="B816" s="8" t="n">
        <v>2577.76</v>
      </c>
      <c r="C816" s="8" t="n">
        <v>123.5181</v>
      </c>
      <c r="D816" s="8" t="n">
        <v>0.35</v>
      </c>
      <c r="E816">
        <f>A816-A815</f>
        <v/>
      </c>
      <c r="F816" s="4">
        <f>ROUND(B816/B815-1,8)</f>
        <v/>
      </c>
      <c r="G816" s="4">
        <f>ROUND(C816/C815-1,8)</f>
        <v/>
      </c>
      <c r="H816" s="4">
        <f>ROUND(D816/100/(DATE(YEAR(A816)+1,1,1)-DATE(YEAR(A816),1,1))*E816,8)</f>
        <v/>
      </c>
      <c r="I816" s="4">
        <f>ROUND(I815*(1+F816),8)</f>
        <v/>
      </c>
      <c r="J816" s="4">
        <f>ROUND(J815*(1+G816),8)</f>
        <v/>
      </c>
      <c r="K816" s="4">
        <f>ROUND(K815+H816,8)</f>
        <v/>
      </c>
      <c r="L816" s="4">
        <f>ROUND(0.9*F816+0.05*G816+0.05*H816,8)</f>
        <v/>
      </c>
    </row>
    <row r="817">
      <c r="A817" s="2" t="n">
        <v>44972</v>
      </c>
      <c r="B817" s="8" t="n">
        <v>2589.04</v>
      </c>
      <c r="C817" s="8" t="n">
        <v>123.5302</v>
      </c>
      <c r="D817" s="8" t="n">
        <v>0.35</v>
      </c>
      <c r="E817">
        <f>A817-A816</f>
        <v/>
      </c>
      <c r="F817" s="4">
        <f>ROUND(B817/B816-1,8)</f>
        <v/>
      </c>
      <c r="G817" s="4">
        <f>ROUND(C817/C816-1,8)</f>
        <v/>
      </c>
      <c r="H817" s="4">
        <f>ROUND(D817/100/(DATE(YEAR(A817)+1,1,1)-DATE(YEAR(A817),1,1))*E817,8)</f>
        <v/>
      </c>
      <c r="I817" s="4">
        <f>ROUND(I816*(1+F817),8)</f>
        <v/>
      </c>
      <c r="J817" s="4">
        <f>ROUND(J816*(1+G817),8)</f>
        <v/>
      </c>
      <c r="K817" s="4">
        <f>ROUND(K816+H817,8)</f>
        <v/>
      </c>
      <c r="L817" s="4">
        <f>ROUND(0.9*F817+0.05*G817+0.05*H817,8)</f>
        <v/>
      </c>
    </row>
    <row r="818">
      <c r="A818" s="2" t="n">
        <v>44973</v>
      </c>
      <c r="B818" s="8" t="n">
        <v>2520.28</v>
      </c>
      <c r="C818" s="8" t="n">
        <v>123.5571</v>
      </c>
      <c r="D818" s="8" t="n">
        <v>0.35</v>
      </c>
      <c r="E818">
        <f>A818-A817</f>
        <v/>
      </c>
      <c r="F818" s="4">
        <f>ROUND(B818/B817-1,8)</f>
        <v/>
      </c>
      <c r="G818" s="4">
        <f>ROUND(C818/C817-1,8)</f>
        <v/>
      </c>
      <c r="H818" s="4">
        <f>ROUND(D818/100/(DATE(YEAR(A818)+1,1,1)-DATE(YEAR(A818),1,1))*E818,8)</f>
        <v/>
      </c>
      <c r="I818" s="4">
        <f>ROUND(I817*(1+F818),8)</f>
        <v/>
      </c>
      <c r="J818" s="4">
        <f>ROUND(J817*(1+G818),8)</f>
        <v/>
      </c>
      <c r="K818" s="4">
        <f>ROUND(K817+H818,8)</f>
        <v/>
      </c>
      <c r="L818" s="4">
        <f>ROUND(0.9*F818+0.05*G818+0.05*H818,8)</f>
        <v/>
      </c>
    </row>
    <row r="819">
      <c r="A819" s="2" t="n">
        <v>44974</v>
      </c>
      <c r="B819" s="8" t="n">
        <v>2505.38</v>
      </c>
      <c r="C819" s="8" t="n">
        <v>123.5648</v>
      </c>
      <c r="D819" s="8" t="n">
        <v>0.35</v>
      </c>
      <c r="E819">
        <f>A819-A818</f>
        <v/>
      </c>
      <c r="F819" s="4">
        <f>ROUND(B819/B818-1,8)</f>
        <v/>
      </c>
      <c r="G819" s="4">
        <f>ROUND(C819/C818-1,8)</f>
        <v/>
      </c>
      <c r="H819" s="4">
        <f>ROUND(D819/100/(DATE(YEAR(A819)+1,1,1)-DATE(YEAR(A819),1,1))*E819,8)</f>
        <v/>
      </c>
      <c r="I819" s="4">
        <f>ROUND(I818*(1+F819),8)</f>
        <v/>
      </c>
      <c r="J819" s="4">
        <f>ROUND(J818*(1+G819),8)</f>
        <v/>
      </c>
      <c r="K819" s="4">
        <f>ROUND(K818+H819,8)</f>
        <v/>
      </c>
      <c r="L819" s="4">
        <f>ROUND(0.9*F819+0.05*G819+0.05*H819,8)</f>
        <v/>
      </c>
    </row>
    <row r="820">
      <c r="A820" s="2" t="n">
        <v>44977</v>
      </c>
      <c r="B820" s="8" t="n">
        <v>2535.19</v>
      </c>
      <c r="C820" s="8" t="n">
        <v>123.535</v>
      </c>
      <c r="D820" s="8" t="n">
        <v>0.35</v>
      </c>
      <c r="E820">
        <f>A820-A819</f>
        <v/>
      </c>
      <c r="F820" s="4">
        <f>ROUND(B820/B819-1,8)</f>
        <v/>
      </c>
      <c r="G820" s="4">
        <f>ROUND(C820/C819-1,8)</f>
        <v/>
      </c>
      <c r="H820" s="4">
        <f>ROUND(D820/100/(DATE(YEAR(A820)+1,1,1)-DATE(YEAR(A820),1,1))*E820,8)</f>
        <v/>
      </c>
      <c r="I820" s="4">
        <f>ROUND(I819*(1+F820),8)</f>
        <v/>
      </c>
      <c r="J820" s="4">
        <f>ROUND(J819*(1+G820),8)</f>
        <v/>
      </c>
      <c r="K820" s="4">
        <f>ROUND(K819+H820,8)</f>
        <v/>
      </c>
      <c r="L820" s="4">
        <f>ROUND(0.9*F820+0.05*G820+0.05*H820,8)</f>
        <v/>
      </c>
    </row>
    <row r="821">
      <c r="A821" s="2" t="n">
        <v>44978</v>
      </c>
      <c r="B821" s="8" t="n">
        <v>2547.11</v>
      </c>
      <c r="C821" s="8" t="n">
        <v>123.4928</v>
      </c>
      <c r="D821" s="8" t="n">
        <v>0.35</v>
      </c>
      <c r="E821">
        <f>A821-A820</f>
        <v/>
      </c>
      <c r="F821" s="4">
        <f>ROUND(B821/B820-1,8)</f>
        <v/>
      </c>
      <c r="G821" s="4">
        <f>ROUND(C821/C820-1,8)</f>
        <v/>
      </c>
      <c r="H821" s="4">
        <f>ROUND(D821/100/(DATE(YEAR(A821)+1,1,1)-DATE(YEAR(A821),1,1))*E821,8)</f>
        <v/>
      </c>
      <c r="I821" s="4">
        <f>ROUND(I820*(1+F821),8)</f>
        <v/>
      </c>
      <c r="J821" s="4">
        <f>ROUND(J820*(1+G821),8)</f>
        <v/>
      </c>
      <c r="K821" s="4">
        <f>ROUND(K820+H821,8)</f>
        <v/>
      </c>
      <c r="L821" s="4">
        <f>ROUND(0.9*F821+0.05*G821+0.05*H821,8)</f>
        <v/>
      </c>
    </row>
    <row r="822">
      <c r="A822" s="2" t="n">
        <v>44979</v>
      </c>
      <c r="B822" s="8" t="n">
        <v>2549.35</v>
      </c>
      <c r="C822" s="8" t="n">
        <v>123.4941</v>
      </c>
      <c r="D822" s="8" t="n">
        <v>0.35</v>
      </c>
      <c r="E822">
        <f>A822-A821</f>
        <v/>
      </c>
      <c r="F822" s="4">
        <f>ROUND(B822/B821-1,8)</f>
        <v/>
      </c>
      <c r="G822" s="4">
        <f>ROUND(C822/C821-1,8)</f>
        <v/>
      </c>
      <c r="H822" s="4">
        <f>ROUND(D822/100/(DATE(YEAR(A822)+1,1,1)-DATE(YEAR(A822),1,1))*E822,8)</f>
        <v/>
      </c>
      <c r="I822" s="4">
        <f>ROUND(I821*(1+F822),8)</f>
        <v/>
      </c>
      <c r="J822" s="4">
        <f>ROUND(J821*(1+G822),8)</f>
        <v/>
      </c>
      <c r="K822" s="4">
        <f>ROUND(K821+H822,8)</f>
        <v/>
      </c>
      <c r="L822" s="4">
        <f>ROUND(0.9*F822+0.05*G822+0.05*H822,8)</f>
        <v/>
      </c>
    </row>
    <row r="823">
      <c r="A823" s="2" t="n">
        <v>44980</v>
      </c>
      <c r="B823" s="8" t="n">
        <v>2542.88</v>
      </c>
      <c r="C823" s="8" t="n">
        <v>123.4749</v>
      </c>
      <c r="D823" s="8" t="n">
        <v>0.35</v>
      </c>
      <c r="E823">
        <f>A823-A822</f>
        <v/>
      </c>
      <c r="F823" s="4">
        <f>ROUND(B823/B822-1,8)</f>
        <v/>
      </c>
      <c r="G823" s="4">
        <f>ROUND(C823/C822-1,8)</f>
        <v/>
      </c>
      <c r="H823" s="4">
        <f>ROUND(D823/100/(DATE(YEAR(A823)+1,1,1)-DATE(YEAR(A823),1,1))*E823,8)</f>
        <v/>
      </c>
      <c r="I823" s="4">
        <f>ROUND(I822*(1+F823),8)</f>
        <v/>
      </c>
      <c r="J823" s="4">
        <f>ROUND(J822*(1+G823),8)</f>
        <v/>
      </c>
      <c r="K823" s="4">
        <f>ROUND(K822+H823,8)</f>
        <v/>
      </c>
      <c r="L823" s="4">
        <f>ROUND(0.9*F823+0.05*G823+0.05*H823,8)</f>
        <v/>
      </c>
    </row>
    <row r="824">
      <c r="A824" s="2" t="n">
        <v>44981</v>
      </c>
      <c r="B824" s="8" t="n">
        <v>2537.78</v>
      </c>
      <c r="C824" s="8" t="n">
        <v>123.46</v>
      </c>
      <c r="D824" s="8" t="n">
        <v>0.35</v>
      </c>
      <c r="E824">
        <f>A824-A823</f>
        <v/>
      </c>
      <c r="F824" s="4">
        <f>ROUND(B824/B823-1,8)</f>
        <v/>
      </c>
      <c r="G824" s="4">
        <f>ROUND(C824/C823-1,8)</f>
        <v/>
      </c>
      <c r="H824" s="4">
        <f>ROUND(D824/100/(DATE(YEAR(A824)+1,1,1)-DATE(YEAR(A824),1,1))*E824,8)</f>
        <v/>
      </c>
      <c r="I824" s="4">
        <f>ROUND(I823*(1+F824),8)</f>
        <v/>
      </c>
      <c r="J824" s="4">
        <f>ROUND(J823*(1+G824),8)</f>
        <v/>
      </c>
      <c r="K824" s="4">
        <f>ROUND(K823+H824,8)</f>
        <v/>
      </c>
      <c r="L824" s="4">
        <f>ROUND(0.9*F824+0.05*G824+0.05*H824,8)</f>
        <v/>
      </c>
    </row>
    <row r="825">
      <c r="A825" s="2" t="n">
        <v>44984</v>
      </c>
      <c r="B825" s="8" t="n">
        <v>2514.9</v>
      </c>
      <c r="C825" s="8" t="n">
        <v>123.4432</v>
      </c>
      <c r="D825" s="8" t="n">
        <v>0.35</v>
      </c>
      <c r="E825">
        <f>A825-A824</f>
        <v/>
      </c>
      <c r="F825" s="4">
        <f>ROUND(B825/B824-1,8)</f>
        <v/>
      </c>
      <c r="G825" s="4">
        <f>ROUND(C825/C824-1,8)</f>
        <v/>
      </c>
      <c r="H825" s="4">
        <f>ROUND(D825/100/(DATE(YEAR(A825)+1,1,1)-DATE(YEAR(A825),1,1))*E825,8)</f>
        <v/>
      </c>
      <c r="I825" s="4">
        <f>ROUND(I824*(1+F825),8)</f>
        <v/>
      </c>
      <c r="J825" s="4">
        <f>ROUND(J824*(1+G825),8)</f>
        <v/>
      </c>
      <c r="K825" s="4">
        <f>ROUND(K824+H825,8)</f>
        <v/>
      </c>
      <c r="L825" s="4">
        <f>ROUND(0.9*F825+0.05*G825+0.05*H825,8)</f>
        <v/>
      </c>
    </row>
    <row r="826">
      <c r="A826" s="2" t="n">
        <v>44985</v>
      </c>
      <c r="B826" s="8" t="n">
        <v>2539.19</v>
      </c>
      <c r="C826" s="8" t="n">
        <v>123.4355</v>
      </c>
      <c r="D826" s="8" t="n">
        <v>0.35</v>
      </c>
      <c r="E826">
        <f>A826-A825</f>
        <v/>
      </c>
      <c r="F826" s="4">
        <f>ROUND(B826/B825-1,8)</f>
        <v/>
      </c>
      <c r="G826" s="4">
        <f>ROUND(C826/C825-1,8)</f>
        <v/>
      </c>
      <c r="H826" s="4">
        <f>ROUND(D826/100/(DATE(YEAR(A826)+1,1,1)-DATE(YEAR(A826),1,1))*E826,8)</f>
        <v/>
      </c>
      <c r="I826" s="4">
        <f>ROUND(I825*(1+F826),8)</f>
        <v/>
      </c>
      <c r="J826" s="4">
        <f>ROUND(J825*(1+G826),8)</f>
        <v/>
      </c>
      <c r="K826" s="4">
        <f>ROUND(K825+H826,8)</f>
        <v/>
      </c>
      <c r="L826" s="4">
        <f>ROUND(0.9*F826+0.05*G826+0.05*H826,8)</f>
        <v/>
      </c>
    </row>
    <row r="827">
      <c r="A827" s="2" t="n">
        <v>44986</v>
      </c>
      <c r="B827" s="8" t="n">
        <v>2562.39</v>
      </c>
      <c r="C827" s="8" t="n">
        <v>123.4259</v>
      </c>
      <c r="D827" s="8" t="n">
        <v>0.35</v>
      </c>
      <c r="E827">
        <f>A827-A826</f>
        <v/>
      </c>
      <c r="F827" s="4">
        <f>ROUND(B827/B826-1,8)</f>
        <v/>
      </c>
      <c r="G827" s="4">
        <f>ROUND(C827/C826-1,8)</f>
        <v/>
      </c>
      <c r="H827" s="4">
        <f>ROUND(D827/100/(DATE(YEAR(A827)+1,1,1)-DATE(YEAR(A827),1,1))*E827,8)</f>
        <v/>
      </c>
      <c r="I827" s="4">
        <f>ROUND(I826*(1+F827),8)</f>
        <v/>
      </c>
      <c r="J827" s="4">
        <f>ROUND(J826*(1+G827),8)</f>
        <v/>
      </c>
      <c r="K827" s="4">
        <f>ROUND(K826+H827,8)</f>
        <v/>
      </c>
      <c r="L827" s="4">
        <f>ROUND(0.9*F827+0.05*G827+0.05*H827,8)</f>
        <v/>
      </c>
    </row>
    <row r="828">
      <c r="A828" s="2" t="n">
        <v>44987</v>
      </c>
      <c r="B828" s="8" t="n">
        <v>2548.6</v>
      </c>
      <c r="C828" s="8" t="n">
        <v>123.4203</v>
      </c>
      <c r="D828" s="8" t="n">
        <v>0.35</v>
      </c>
      <c r="E828">
        <f>A828-A827</f>
        <v/>
      </c>
      <c r="F828" s="4">
        <f>ROUND(B828/B827-1,8)</f>
        <v/>
      </c>
      <c r="G828" s="4">
        <f>ROUND(C828/C827-1,8)</f>
        <v/>
      </c>
      <c r="H828" s="4">
        <f>ROUND(D828/100/(DATE(YEAR(A828)+1,1,1)-DATE(YEAR(A828),1,1))*E828,8)</f>
        <v/>
      </c>
      <c r="I828" s="4">
        <f>ROUND(I827*(1+F828),8)</f>
        <v/>
      </c>
      <c r="J828" s="4">
        <f>ROUND(J827*(1+G828),8)</f>
        <v/>
      </c>
      <c r="K828" s="4">
        <f>ROUND(K827+H828,8)</f>
        <v/>
      </c>
      <c r="L828" s="4">
        <f>ROUND(0.9*F828+0.05*G828+0.05*H828,8)</f>
        <v/>
      </c>
    </row>
    <row r="829">
      <c r="A829" s="2" t="n">
        <v>44988</v>
      </c>
      <c r="B829" s="8" t="n">
        <v>2544.8</v>
      </c>
      <c r="C829" s="8" t="n">
        <v>123.398</v>
      </c>
      <c r="D829" s="8" t="n">
        <v>0.35</v>
      </c>
      <c r="E829">
        <f>A829-A828</f>
        <v/>
      </c>
      <c r="F829" s="4">
        <f>ROUND(B829/B828-1,8)</f>
        <v/>
      </c>
      <c r="G829" s="4">
        <f>ROUND(C829/C828-1,8)</f>
        <v/>
      </c>
      <c r="H829" s="4">
        <f>ROUND(D829/100/(DATE(YEAR(A829)+1,1,1)-DATE(YEAR(A829),1,1))*E829,8)</f>
        <v/>
      </c>
      <c r="I829" s="4">
        <f>ROUND(I828*(1+F829),8)</f>
        <v/>
      </c>
      <c r="J829" s="4">
        <f>ROUND(J828*(1+G829),8)</f>
        <v/>
      </c>
      <c r="K829" s="4">
        <f>ROUND(K828+H829,8)</f>
        <v/>
      </c>
      <c r="L829" s="4">
        <f>ROUND(0.9*F829+0.05*G829+0.05*H829,8)</f>
        <v/>
      </c>
    </row>
    <row r="830">
      <c r="A830" s="2" t="n">
        <v>44991</v>
      </c>
      <c r="B830" s="8" t="n">
        <v>2549.03</v>
      </c>
      <c r="C830" s="8" t="n">
        <v>123.5093</v>
      </c>
      <c r="D830" s="8" t="n">
        <v>0.35</v>
      </c>
      <c r="E830">
        <f>A830-A829</f>
        <v/>
      </c>
      <c r="F830" s="4">
        <f>ROUND(B830/B829-1,8)</f>
        <v/>
      </c>
      <c r="G830" s="4">
        <f>ROUND(C830/C829-1,8)</f>
        <v/>
      </c>
      <c r="H830" s="4">
        <f>ROUND(D830/100/(DATE(YEAR(A830)+1,1,1)-DATE(YEAR(A830),1,1))*E830,8)</f>
        <v/>
      </c>
      <c r="I830" s="4">
        <f>ROUND(I829*(1+F830),8)</f>
        <v/>
      </c>
      <c r="J830" s="4">
        <f>ROUND(J829*(1+G830),8)</f>
        <v/>
      </c>
      <c r="K830" s="4">
        <f>ROUND(K829+H830,8)</f>
        <v/>
      </c>
      <c r="L830" s="4">
        <f>ROUND(0.9*F830+0.05*G830+0.05*H830,8)</f>
        <v/>
      </c>
    </row>
    <row r="831">
      <c r="A831" s="2" t="n">
        <v>44992</v>
      </c>
      <c r="B831" s="8" t="n">
        <v>2491.97</v>
      </c>
      <c r="C831" s="8" t="n">
        <v>123.5333</v>
      </c>
      <c r="D831" s="8" t="n">
        <v>0.35</v>
      </c>
      <c r="E831">
        <f>A831-A830</f>
        <v/>
      </c>
      <c r="F831" s="4">
        <f>ROUND(B831/B830-1,8)</f>
        <v/>
      </c>
      <c r="G831" s="4">
        <f>ROUND(C831/C830-1,8)</f>
        <v/>
      </c>
      <c r="H831" s="4">
        <f>ROUND(D831/100/(DATE(YEAR(A831)+1,1,1)-DATE(YEAR(A831),1,1))*E831,8)</f>
        <v/>
      </c>
      <c r="I831" s="4">
        <f>ROUND(I830*(1+F831),8)</f>
        <v/>
      </c>
      <c r="J831" s="4">
        <f>ROUND(J830*(1+G831),8)</f>
        <v/>
      </c>
      <c r="K831" s="4">
        <f>ROUND(K830+H831,8)</f>
        <v/>
      </c>
      <c r="L831" s="4">
        <f>ROUND(0.9*F831+0.05*G831+0.05*H831,8)</f>
        <v/>
      </c>
    </row>
    <row r="832">
      <c r="A832" s="2" t="n">
        <v>44993</v>
      </c>
      <c r="B832" s="8" t="n">
        <v>2515.44</v>
      </c>
      <c r="C832" s="8" t="n">
        <v>123.5567</v>
      </c>
      <c r="D832" s="8" t="n">
        <v>0.35</v>
      </c>
      <c r="E832">
        <f>A832-A831</f>
        <v/>
      </c>
      <c r="F832" s="4">
        <f>ROUND(B832/B831-1,8)</f>
        <v/>
      </c>
      <c r="G832" s="4">
        <f>ROUND(C832/C831-1,8)</f>
        <v/>
      </c>
      <c r="H832" s="4">
        <f>ROUND(D832/100/(DATE(YEAR(A832)+1,1,1)-DATE(YEAR(A832),1,1))*E832,8)</f>
        <v/>
      </c>
      <c r="I832" s="4">
        <f>ROUND(I831*(1+F832),8)</f>
        <v/>
      </c>
      <c r="J832" s="4">
        <f>ROUND(J831*(1+G832),8)</f>
        <v/>
      </c>
      <c r="K832" s="4">
        <f>ROUND(K831+H832,8)</f>
        <v/>
      </c>
      <c r="L832" s="4">
        <f>ROUND(0.9*F832+0.05*G832+0.05*H832,8)</f>
        <v/>
      </c>
    </row>
    <row r="833">
      <c r="A833" s="2" t="n">
        <v>44994</v>
      </c>
      <c r="B833" s="8" t="n">
        <v>2518.72</v>
      </c>
      <c r="C833" s="8" t="n">
        <v>123.5802</v>
      </c>
      <c r="D833" s="8" t="n">
        <v>0.35</v>
      </c>
      <c r="E833">
        <f>A833-A832</f>
        <v/>
      </c>
      <c r="F833" s="4">
        <f>ROUND(B833/B832-1,8)</f>
        <v/>
      </c>
      <c r="G833" s="4">
        <f>ROUND(C833/C832-1,8)</f>
        <v/>
      </c>
      <c r="H833" s="4">
        <f>ROUND(D833/100/(DATE(YEAR(A833)+1,1,1)-DATE(YEAR(A833),1,1))*E833,8)</f>
        <v/>
      </c>
      <c r="I833" s="4">
        <f>ROUND(I832*(1+F833),8)</f>
        <v/>
      </c>
      <c r="J833" s="4">
        <f>ROUND(J832*(1+G833),8)</f>
        <v/>
      </c>
      <c r="K833" s="4">
        <f>ROUND(K832+H833,8)</f>
        <v/>
      </c>
      <c r="L833" s="4">
        <f>ROUND(0.9*F833+0.05*G833+0.05*H833,8)</f>
        <v/>
      </c>
    </row>
    <row r="834">
      <c r="A834" s="2" t="n">
        <v>44995</v>
      </c>
      <c r="B834" s="8" t="n">
        <v>2480.54</v>
      </c>
      <c r="C834" s="8" t="n">
        <v>123.6048</v>
      </c>
      <c r="D834" s="8" t="n">
        <v>0.35</v>
      </c>
      <c r="E834">
        <f>A834-A833</f>
        <v/>
      </c>
      <c r="F834" s="4">
        <f>ROUND(B834/B833-1,8)</f>
        <v/>
      </c>
      <c r="G834" s="4">
        <f>ROUND(C834/C833-1,8)</f>
        <v/>
      </c>
      <c r="H834" s="4">
        <f>ROUND(D834/100/(DATE(YEAR(A834)+1,1,1)-DATE(YEAR(A834),1,1))*E834,8)</f>
        <v/>
      </c>
      <c r="I834" s="4">
        <f>ROUND(I833*(1+F834),8)</f>
        <v/>
      </c>
      <c r="J834" s="4">
        <f>ROUND(J833*(1+G834),8)</f>
        <v/>
      </c>
      <c r="K834" s="4">
        <f>ROUND(K833+H834,8)</f>
        <v/>
      </c>
      <c r="L834" s="4">
        <f>ROUND(0.9*F834+0.05*G834+0.05*H834,8)</f>
        <v/>
      </c>
    </row>
    <row r="835">
      <c r="A835" s="2" t="n">
        <v>44998</v>
      </c>
      <c r="B835" s="8" t="n">
        <v>2485.18</v>
      </c>
      <c r="C835" s="8" t="n">
        <v>123.6031</v>
      </c>
      <c r="D835" s="8" t="n">
        <v>0.35</v>
      </c>
      <c r="E835">
        <f>A835-A834</f>
        <v/>
      </c>
      <c r="F835" s="4">
        <f>ROUND(B835/B834-1,8)</f>
        <v/>
      </c>
      <c r="G835" s="4">
        <f>ROUND(C835/C834-1,8)</f>
        <v/>
      </c>
      <c r="H835" s="4">
        <f>ROUND(D835/100/(DATE(YEAR(A835)+1,1,1)-DATE(YEAR(A835),1,1))*E835,8)</f>
        <v/>
      </c>
      <c r="I835" s="4">
        <f>ROUND(I834*(1+F835),8)</f>
        <v/>
      </c>
      <c r="J835" s="4">
        <f>ROUND(J834*(1+G835),8)</f>
        <v/>
      </c>
      <c r="K835" s="4">
        <f>ROUND(K834+H835,8)</f>
        <v/>
      </c>
      <c r="L835" s="4">
        <f>ROUND(0.9*F835+0.05*G835+0.05*H835,8)</f>
        <v/>
      </c>
    </row>
    <row r="836">
      <c r="A836" s="2" t="n">
        <v>44999</v>
      </c>
      <c r="B836" s="8" t="n">
        <v>2449.1</v>
      </c>
      <c r="C836" s="8" t="n">
        <v>123.6145</v>
      </c>
      <c r="D836" s="8" t="n">
        <v>0.35</v>
      </c>
      <c r="E836">
        <f>A836-A835</f>
        <v/>
      </c>
      <c r="F836" s="4">
        <f>ROUND(B836/B835-1,8)</f>
        <v/>
      </c>
      <c r="G836" s="4">
        <f>ROUND(C836/C835-1,8)</f>
        <v/>
      </c>
      <c r="H836" s="4">
        <f>ROUND(D836/100/(DATE(YEAR(A836)+1,1,1)-DATE(YEAR(A836),1,1))*E836,8)</f>
        <v/>
      </c>
      <c r="I836" s="4">
        <f>ROUND(I835*(1+F836),8)</f>
        <v/>
      </c>
      <c r="J836" s="4">
        <f>ROUND(J835*(1+G836),8)</f>
        <v/>
      </c>
      <c r="K836" s="4">
        <f>ROUND(K835+H836,8)</f>
        <v/>
      </c>
      <c r="L836" s="4">
        <f>ROUND(0.9*F836+0.05*G836+0.05*H836,8)</f>
        <v/>
      </c>
    </row>
    <row r="837">
      <c r="A837" s="2" t="n">
        <v>45000</v>
      </c>
      <c r="B837" s="8" t="n">
        <v>2471.55</v>
      </c>
      <c r="C837" s="8" t="n">
        <v>123.616</v>
      </c>
      <c r="D837" s="8" t="n">
        <v>0.35</v>
      </c>
      <c r="E837">
        <f>A837-A836</f>
        <v/>
      </c>
      <c r="F837" s="4">
        <f>ROUND(B837/B836-1,8)</f>
        <v/>
      </c>
      <c r="G837" s="4">
        <f>ROUND(C837/C836-1,8)</f>
        <v/>
      </c>
      <c r="H837" s="4">
        <f>ROUND(D837/100/(DATE(YEAR(A837)+1,1,1)-DATE(YEAR(A837),1,1))*E837,8)</f>
        <v/>
      </c>
      <c r="I837" s="4">
        <f>ROUND(I836*(1+F837),8)</f>
        <v/>
      </c>
      <c r="J837" s="4">
        <f>ROUND(J836*(1+G837),8)</f>
        <v/>
      </c>
      <c r="K837" s="4">
        <f>ROUND(K836+H837,8)</f>
        <v/>
      </c>
      <c r="L837" s="4">
        <f>ROUND(0.9*F837+0.05*G837+0.05*H837,8)</f>
        <v/>
      </c>
    </row>
    <row r="838">
      <c r="A838" s="2" t="n">
        <v>45001</v>
      </c>
      <c r="B838" s="8" t="n">
        <v>2428.2</v>
      </c>
      <c r="C838" s="8" t="n">
        <v>123.6441</v>
      </c>
      <c r="D838" s="8" t="n">
        <v>0.35</v>
      </c>
      <c r="E838">
        <f>A838-A837</f>
        <v/>
      </c>
      <c r="F838" s="4">
        <f>ROUND(B838/B837-1,8)</f>
        <v/>
      </c>
      <c r="G838" s="4">
        <f>ROUND(C838/C837-1,8)</f>
        <v/>
      </c>
      <c r="H838" s="4">
        <f>ROUND(D838/100/(DATE(YEAR(A838)+1,1,1)-DATE(YEAR(A838),1,1))*E838,8)</f>
        <v/>
      </c>
      <c r="I838" s="4">
        <f>ROUND(I837*(1+F838),8)</f>
        <v/>
      </c>
      <c r="J838" s="4">
        <f>ROUND(J837*(1+G838),8)</f>
        <v/>
      </c>
      <c r="K838" s="4">
        <f>ROUND(K837+H838,8)</f>
        <v/>
      </c>
      <c r="L838" s="4">
        <f>ROUND(0.9*F838+0.05*G838+0.05*H838,8)</f>
        <v/>
      </c>
    </row>
    <row r="839">
      <c r="A839" s="2" t="n">
        <v>45002</v>
      </c>
      <c r="B839" s="8" t="n">
        <v>2448.05</v>
      </c>
      <c r="C839" s="8" t="n">
        <v>123.6703</v>
      </c>
      <c r="D839" s="8" t="n">
        <v>0.35</v>
      </c>
      <c r="E839">
        <f>A839-A838</f>
        <v/>
      </c>
      <c r="F839" s="4">
        <f>ROUND(B839/B838-1,8)</f>
        <v/>
      </c>
      <c r="G839" s="4">
        <f>ROUND(C839/C838-1,8)</f>
        <v/>
      </c>
      <c r="H839" s="4">
        <f>ROUND(D839/100/(DATE(YEAR(A839)+1,1,1)-DATE(YEAR(A839),1,1))*E839,8)</f>
        <v/>
      </c>
      <c r="I839" s="4">
        <f>ROUND(I838*(1+F839),8)</f>
        <v/>
      </c>
      <c r="J839" s="4">
        <f>ROUND(J838*(1+G839),8)</f>
        <v/>
      </c>
      <c r="K839" s="4">
        <f>ROUND(K838+H839,8)</f>
        <v/>
      </c>
      <c r="L839" s="4">
        <f>ROUND(0.9*F839+0.05*G839+0.05*H839,8)</f>
        <v/>
      </c>
    </row>
    <row r="840">
      <c r="A840" s="2" t="n">
        <v>45005</v>
      </c>
      <c r="B840" s="8" t="n">
        <v>2442.34</v>
      </c>
      <c r="C840" s="8" t="n">
        <v>123.7245</v>
      </c>
      <c r="D840" s="8" t="n">
        <v>0.35</v>
      </c>
      <c r="E840">
        <f>A840-A839</f>
        <v/>
      </c>
      <c r="F840" s="4">
        <f>ROUND(B840/B839-1,8)</f>
        <v/>
      </c>
      <c r="G840" s="4">
        <f>ROUND(C840/C839-1,8)</f>
        <v/>
      </c>
      <c r="H840" s="4">
        <f>ROUND(D840/100/(DATE(YEAR(A840)+1,1,1)-DATE(YEAR(A840),1,1))*E840,8)</f>
        <v/>
      </c>
      <c r="I840" s="4">
        <f>ROUND(I839*(1+F840),8)</f>
        <v/>
      </c>
      <c r="J840" s="4">
        <f>ROUND(J839*(1+G840),8)</f>
        <v/>
      </c>
      <c r="K840" s="4">
        <f>ROUND(K839+H840,8)</f>
        <v/>
      </c>
      <c r="L840" s="4">
        <f>ROUND(0.9*F840+0.05*G840+0.05*H840,8)</f>
        <v/>
      </c>
    </row>
    <row r="841">
      <c r="A841" s="2" t="n">
        <v>45006</v>
      </c>
      <c r="B841" s="8" t="n">
        <v>2483.05</v>
      </c>
      <c r="C841" s="8" t="n">
        <v>123.7373</v>
      </c>
      <c r="D841" s="8" t="n">
        <v>0.35</v>
      </c>
      <c r="E841">
        <f>A841-A840</f>
        <v/>
      </c>
      <c r="F841" s="4">
        <f>ROUND(B841/B840-1,8)</f>
        <v/>
      </c>
      <c r="G841" s="4">
        <f>ROUND(C841/C840-1,8)</f>
        <v/>
      </c>
      <c r="H841" s="4">
        <f>ROUND(D841/100/(DATE(YEAR(A841)+1,1,1)-DATE(YEAR(A841),1,1))*E841,8)</f>
        <v/>
      </c>
      <c r="I841" s="4">
        <f>ROUND(I840*(1+F841),8)</f>
        <v/>
      </c>
      <c r="J841" s="4">
        <f>ROUND(J840*(1+G841),8)</f>
        <v/>
      </c>
      <c r="K841" s="4">
        <f>ROUND(K840+H841,8)</f>
        <v/>
      </c>
      <c r="L841" s="4">
        <f>ROUND(0.9*F841+0.05*G841+0.05*H841,8)</f>
        <v/>
      </c>
    </row>
    <row r="842">
      <c r="A842" s="2" t="n">
        <v>45007</v>
      </c>
      <c r="B842" s="8" t="n">
        <v>2499.61</v>
      </c>
      <c r="C842" s="8" t="n">
        <v>123.7333</v>
      </c>
      <c r="D842" s="8" t="n">
        <v>0.35</v>
      </c>
      <c r="E842">
        <f>A842-A841</f>
        <v/>
      </c>
      <c r="F842" s="4">
        <f>ROUND(B842/B841-1,8)</f>
        <v/>
      </c>
      <c r="G842" s="4">
        <f>ROUND(C842/C841-1,8)</f>
        <v/>
      </c>
      <c r="H842" s="4">
        <f>ROUND(D842/100/(DATE(YEAR(A842)+1,1,1)-DATE(YEAR(A842),1,1))*E842,8)</f>
        <v/>
      </c>
      <c r="I842" s="4">
        <f>ROUND(I841*(1+F842),8)</f>
        <v/>
      </c>
      <c r="J842" s="4">
        <f>ROUND(J841*(1+G842),8)</f>
        <v/>
      </c>
      <c r="K842" s="4">
        <f>ROUND(K841+H842,8)</f>
        <v/>
      </c>
      <c r="L842" s="4">
        <f>ROUND(0.9*F842+0.05*G842+0.05*H842,8)</f>
        <v/>
      </c>
    </row>
    <row r="843">
      <c r="A843" s="2" t="n">
        <v>45008</v>
      </c>
      <c r="B843" s="8" t="n">
        <v>2494.32</v>
      </c>
      <c r="C843" s="8" t="n">
        <v>123.7253</v>
      </c>
      <c r="D843" s="8" t="n">
        <v>0.35</v>
      </c>
      <c r="E843">
        <f>A843-A842</f>
        <v/>
      </c>
      <c r="F843" s="4">
        <f>ROUND(B843/B842-1,8)</f>
        <v/>
      </c>
      <c r="G843" s="4">
        <f>ROUND(C843/C842-1,8)</f>
        <v/>
      </c>
      <c r="H843" s="4">
        <f>ROUND(D843/100/(DATE(YEAR(A843)+1,1,1)-DATE(YEAR(A843),1,1))*E843,8)</f>
        <v/>
      </c>
      <c r="I843" s="4">
        <f>ROUND(I842*(1+F843),8)</f>
        <v/>
      </c>
      <c r="J843" s="4">
        <f>ROUND(J842*(1+G843),8)</f>
        <v/>
      </c>
      <c r="K843" s="4">
        <f>ROUND(K842+H843,8)</f>
        <v/>
      </c>
      <c r="L843" s="4">
        <f>ROUND(0.9*F843+0.05*G843+0.05*H843,8)</f>
        <v/>
      </c>
    </row>
    <row r="844">
      <c r="A844" s="2" t="n">
        <v>45009</v>
      </c>
      <c r="B844" s="8" t="n">
        <v>2502.11</v>
      </c>
      <c r="C844" s="8" t="n">
        <v>123.6938</v>
      </c>
      <c r="D844" s="8" t="n">
        <v>0.35</v>
      </c>
      <c r="E844">
        <f>A844-A843</f>
        <v/>
      </c>
      <c r="F844" s="4">
        <f>ROUND(B844/B843-1,8)</f>
        <v/>
      </c>
      <c r="G844" s="4">
        <f>ROUND(C844/C843-1,8)</f>
        <v/>
      </c>
      <c r="H844" s="4">
        <f>ROUND(D844/100/(DATE(YEAR(A844)+1,1,1)-DATE(YEAR(A844),1,1))*E844,8)</f>
        <v/>
      </c>
      <c r="I844" s="4">
        <f>ROUND(I843*(1+F844),8)</f>
        <v/>
      </c>
      <c r="J844" s="4">
        <f>ROUND(J843*(1+G844),8)</f>
        <v/>
      </c>
      <c r="K844" s="4">
        <f>ROUND(K843+H844,8)</f>
        <v/>
      </c>
      <c r="L844" s="4">
        <f>ROUND(0.9*F844+0.05*G844+0.05*H844,8)</f>
        <v/>
      </c>
    </row>
    <row r="845">
      <c r="A845" s="2" t="n">
        <v>45012</v>
      </c>
      <c r="B845" s="8" t="n">
        <v>2507.5</v>
      </c>
      <c r="C845" s="8" t="n">
        <v>123.7215</v>
      </c>
      <c r="D845" s="8" t="n">
        <v>0.35</v>
      </c>
      <c r="E845">
        <f>A845-A844</f>
        <v/>
      </c>
      <c r="F845" s="4">
        <f>ROUND(B845/B844-1,8)</f>
        <v/>
      </c>
      <c r="G845" s="4">
        <f>ROUND(C845/C844-1,8)</f>
        <v/>
      </c>
      <c r="H845" s="4">
        <f>ROUND(D845/100/(DATE(YEAR(A845)+1,1,1)-DATE(YEAR(A845),1,1))*E845,8)</f>
        <v/>
      </c>
      <c r="I845" s="4">
        <f>ROUND(I844*(1+F845),8)</f>
        <v/>
      </c>
      <c r="J845" s="4">
        <f>ROUND(J844*(1+G845),8)</f>
        <v/>
      </c>
      <c r="K845" s="4">
        <f>ROUND(K844+H845,8)</f>
        <v/>
      </c>
      <c r="L845" s="4">
        <f>ROUND(0.9*F845+0.05*G845+0.05*H845,8)</f>
        <v/>
      </c>
    </row>
    <row r="846">
      <c r="A846" s="2" t="n">
        <v>45013</v>
      </c>
      <c r="B846" s="8" t="n">
        <v>2481.26</v>
      </c>
      <c r="C846" s="8" t="n">
        <v>123.7299</v>
      </c>
      <c r="D846" s="8" t="n">
        <v>0.35</v>
      </c>
      <c r="E846">
        <f>A846-A845</f>
        <v/>
      </c>
      <c r="F846" s="4">
        <f>ROUND(B846/B845-1,8)</f>
        <v/>
      </c>
      <c r="G846" s="4">
        <f>ROUND(C846/C845-1,8)</f>
        <v/>
      </c>
      <c r="H846" s="4">
        <f>ROUND(D846/100/(DATE(YEAR(A846)+1,1,1)-DATE(YEAR(A846),1,1))*E846,8)</f>
        <v/>
      </c>
      <c r="I846" s="4">
        <f>ROUND(I845*(1+F846),8)</f>
        <v/>
      </c>
      <c r="J846" s="4">
        <f>ROUND(J845*(1+G846),8)</f>
        <v/>
      </c>
      <c r="K846" s="4">
        <f>ROUND(K845+H846,8)</f>
        <v/>
      </c>
      <c r="L846" s="4">
        <f>ROUND(0.9*F846+0.05*G846+0.05*H846,8)</f>
        <v/>
      </c>
    </row>
    <row r="847">
      <c r="A847" s="2" t="n">
        <v>45014</v>
      </c>
      <c r="B847" s="8" t="n">
        <v>2471.65</v>
      </c>
      <c r="C847" s="8" t="n">
        <v>123.7399</v>
      </c>
      <c r="D847" s="8" t="n">
        <v>0.35</v>
      </c>
      <c r="E847">
        <f>A847-A846</f>
        <v/>
      </c>
      <c r="F847" s="4">
        <f>ROUND(B847/B846-1,8)</f>
        <v/>
      </c>
      <c r="G847" s="4">
        <f>ROUND(C847/C846-1,8)</f>
        <v/>
      </c>
      <c r="H847" s="4">
        <f>ROUND(D847/100/(DATE(YEAR(A847)+1,1,1)-DATE(YEAR(A847),1,1))*E847,8)</f>
        <v/>
      </c>
      <c r="I847" s="4">
        <f>ROUND(I846*(1+F847),8)</f>
        <v/>
      </c>
      <c r="J847" s="4">
        <f>ROUND(J846*(1+G847),8)</f>
        <v/>
      </c>
      <c r="K847" s="4">
        <f>ROUND(K846+H847,8)</f>
        <v/>
      </c>
      <c r="L847" s="4">
        <f>ROUND(0.9*F847+0.05*G847+0.05*H847,8)</f>
        <v/>
      </c>
    </row>
    <row r="848">
      <c r="A848" s="2" t="n">
        <v>45015</v>
      </c>
      <c r="B848" s="8" t="n">
        <v>2454.42</v>
      </c>
      <c r="C848" s="8" t="n">
        <v>123.7523</v>
      </c>
      <c r="D848" s="8" t="n">
        <v>0.35</v>
      </c>
      <c r="E848">
        <f>A848-A847</f>
        <v/>
      </c>
      <c r="F848" s="4">
        <f>ROUND(B848/B847-1,8)</f>
        <v/>
      </c>
      <c r="G848" s="4">
        <f>ROUND(C848/C847-1,8)</f>
        <v/>
      </c>
      <c r="H848" s="4">
        <f>ROUND(D848/100/(DATE(YEAR(A848)+1,1,1)-DATE(YEAR(A848),1,1))*E848,8)</f>
        <v/>
      </c>
      <c r="I848" s="4">
        <f>ROUND(I847*(1+F848),8)</f>
        <v/>
      </c>
      <c r="J848" s="4">
        <f>ROUND(J847*(1+G848),8)</f>
        <v/>
      </c>
      <c r="K848" s="4">
        <f>ROUND(K847+H848,8)</f>
        <v/>
      </c>
      <c r="L848" s="4">
        <f>ROUND(0.9*F848+0.05*G848+0.05*H848,8)</f>
        <v/>
      </c>
    </row>
    <row r="849">
      <c r="A849" s="2" t="n">
        <v>45016</v>
      </c>
      <c r="B849" s="8" t="n">
        <v>2486.72</v>
      </c>
      <c r="C849" s="8" t="n">
        <v>123.779</v>
      </c>
      <c r="D849" s="8" t="n">
        <v>0.35</v>
      </c>
      <c r="E849">
        <f>A849-A848</f>
        <v/>
      </c>
      <c r="F849" s="4">
        <f>ROUND(B849/B848-1,8)</f>
        <v/>
      </c>
      <c r="G849" s="4">
        <f>ROUND(C849/C848-1,8)</f>
        <v/>
      </c>
      <c r="H849" s="4">
        <f>ROUND(D849/100/(DATE(YEAR(A849)+1,1,1)-DATE(YEAR(A849),1,1))*E849,8)</f>
        <v/>
      </c>
      <c r="I849" s="4">
        <f>ROUND(I848*(1+F849),8)</f>
        <v/>
      </c>
      <c r="J849" s="4">
        <f>ROUND(J848*(1+G849),8)</f>
        <v/>
      </c>
      <c r="K849" s="4">
        <f>ROUND(K848+H849,8)</f>
        <v/>
      </c>
      <c r="L849" s="4">
        <f>ROUND(0.9*F849+0.05*G849+0.05*H849,8)</f>
        <v/>
      </c>
    </row>
    <row r="850">
      <c r="A850" s="2" t="n">
        <v>45019</v>
      </c>
      <c r="B850" s="8" t="n">
        <v>2514.12</v>
      </c>
      <c r="C850" s="8" t="n">
        <v>123.785</v>
      </c>
      <c r="D850" s="8" t="n">
        <v>0.35</v>
      </c>
      <c r="E850">
        <f>A850-A849</f>
        <v/>
      </c>
      <c r="F850" s="4">
        <f>ROUND(B850/B849-1,8)</f>
        <v/>
      </c>
      <c r="G850" s="4">
        <f>ROUND(C850/C849-1,8)</f>
        <v/>
      </c>
      <c r="H850" s="4">
        <f>ROUND(D850/100/(DATE(YEAR(A850)+1,1,1)-DATE(YEAR(A850),1,1))*E850,8)</f>
        <v/>
      </c>
      <c r="I850" s="4">
        <f>ROUND(I849*(1+F850),8)</f>
        <v/>
      </c>
      <c r="J850" s="4">
        <f>ROUND(J849*(1+G850),8)</f>
        <v/>
      </c>
      <c r="K850" s="4">
        <f>ROUND(K849+H850,8)</f>
        <v/>
      </c>
      <c r="L850" s="4">
        <f>ROUND(0.9*F850+0.05*G850+0.05*H850,8)</f>
        <v/>
      </c>
    </row>
    <row r="851">
      <c r="A851" s="2" t="n">
        <v>45020</v>
      </c>
      <c r="B851" s="8" t="n">
        <v>2482.19</v>
      </c>
      <c r="C851" s="8" t="n">
        <v>123.7911</v>
      </c>
      <c r="D851" s="8" t="n">
        <v>0.35</v>
      </c>
      <c r="E851">
        <f>A851-A850</f>
        <v/>
      </c>
      <c r="F851" s="4">
        <f>ROUND(B851/B850-1,8)</f>
        <v/>
      </c>
      <c r="G851" s="4">
        <f>ROUND(C851/C850-1,8)</f>
        <v/>
      </c>
      <c r="H851" s="4">
        <f>ROUND(D851/100/(DATE(YEAR(A851)+1,1,1)-DATE(YEAR(A851),1,1))*E851,8)</f>
        <v/>
      </c>
      <c r="I851" s="4">
        <f>ROUND(I850*(1+F851),8)</f>
        <v/>
      </c>
      <c r="J851" s="4">
        <f>ROUND(J850*(1+G851),8)</f>
        <v/>
      </c>
      <c r="K851" s="4">
        <f>ROUND(K850+H851,8)</f>
        <v/>
      </c>
      <c r="L851" s="4">
        <f>ROUND(0.9*F851+0.05*G851+0.05*H851,8)</f>
        <v/>
      </c>
    </row>
    <row r="852">
      <c r="A852" s="2" t="n">
        <v>45022</v>
      </c>
      <c r="B852" s="8" t="n">
        <v>2476.51</v>
      </c>
      <c r="C852" s="8" t="n">
        <v>123.8002</v>
      </c>
      <c r="D852" s="8" t="n">
        <v>0.35</v>
      </c>
      <c r="E852">
        <f>A852-A851</f>
        <v/>
      </c>
      <c r="F852" s="4">
        <f>ROUND(B852/B851-1,8)</f>
        <v/>
      </c>
      <c r="G852" s="4">
        <f>ROUND(C852/C851-1,8)</f>
        <v/>
      </c>
      <c r="H852" s="4">
        <f>ROUND(D852/100/(DATE(YEAR(A852)+1,1,1)-DATE(YEAR(A852),1,1))*E852,8)</f>
        <v/>
      </c>
      <c r="I852" s="4">
        <f>ROUND(I851*(1+F852),8)</f>
        <v/>
      </c>
      <c r="J852" s="4">
        <f>ROUND(J851*(1+G852),8)</f>
        <v/>
      </c>
      <c r="K852" s="4">
        <f>ROUND(K851+H852,8)</f>
        <v/>
      </c>
      <c r="L852" s="4">
        <f>ROUND(0.9*F852+0.05*G852+0.05*H852,8)</f>
        <v/>
      </c>
    </row>
    <row r="853">
      <c r="A853" s="2" t="n">
        <v>45023</v>
      </c>
      <c r="B853" s="8" t="n">
        <v>2503.82</v>
      </c>
      <c r="C853" s="8" t="n">
        <v>123.8115</v>
      </c>
      <c r="D853" s="8" t="n">
        <v>0.35</v>
      </c>
      <c r="E853">
        <f>A853-A852</f>
        <v/>
      </c>
      <c r="F853" s="4">
        <f>ROUND(B853/B852-1,8)</f>
        <v/>
      </c>
      <c r="G853" s="4">
        <f>ROUND(C853/C852-1,8)</f>
        <v/>
      </c>
      <c r="H853" s="4">
        <f>ROUND(D853/100/(DATE(YEAR(A853)+1,1,1)-DATE(YEAR(A853),1,1))*E853,8)</f>
        <v/>
      </c>
      <c r="I853" s="4">
        <f>ROUND(I852*(1+F853),8)</f>
        <v/>
      </c>
      <c r="J853" s="4">
        <f>ROUND(J852*(1+G853),8)</f>
        <v/>
      </c>
      <c r="K853" s="4">
        <f>ROUND(K852+H853,8)</f>
        <v/>
      </c>
      <c r="L853" s="4">
        <f>ROUND(0.9*F853+0.05*G853+0.05*H853,8)</f>
        <v/>
      </c>
    </row>
    <row r="854">
      <c r="A854" s="2" t="n">
        <v>45026</v>
      </c>
      <c r="B854" s="8" t="n">
        <v>2465.42</v>
      </c>
      <c r="C854" s="8" t="n">
        <v>123.8232</v>
      </c>
      <c r="D854" s="8" t="n">
        <v>0.35</v>
      </c>
      <c r="E854">
        <f>A854-A853</f>
        <v/>
      </c>
      <c r="F854" s="4">
        <f>ROUND(B854/B853-1,8)</f>
        <v/>
      </c>
      <c r="G854" s="4">
        <f>ROUND(C854/C853-1,8)</f>
        <v/>
      </c>
      <c r="H854" s="4">
        <f>ROUND(D854/100/(DATE(YEAR(A854)+1,1,1)-DATE(YEAR(A854),1,1))*E854,8)</f>
        <v/>
      </c>
      <c r="I854" s="4">
        <f>ROUND(I853*(1+F854),8)</f>
        <v/>
      </c>
      <c r="J854" s="4">
        <f>ROUND(J853*(1+G854),8)</f>
        <v/>
      </c>
      <c r="K854" s="4">
        <f>ROUND(K853+H854,8)</f>
        <v/>
      </c>
      <c r="L854" s="4">
        <f>ROUND(0.9*F854+0.05*G854+0.05*H854,8)</f>
        <v/>
      </c>
    </row>
    <row r="855">
      <c r="A855" s="2" t="n">
        <v>45027</v>
      </c>
      <c r="B855" s="8" t="n">
        <v>2473.89</v>
      </c>
      <c r="C855" s="8" t="n">
        <v>123.8793</v>
      </c>
      <c r="D855" s="8" t="n">
        <v>0.35</v>
      </c>
      <c r="E855">
        <f>A855-A854</f>
        <v/>
      </c>
      <c r="F855" s="4">
        <f>ROUND(B855/B854-1,8)</f>
        <v/>
      </c>
      <c r="G855" s="4">
        <f>ROUND(C855/C854-1,8)</f>
        <v/>
      </c>
      <c r="H855" s="4">
        <f>ROUND(D855/100/(DATE(YEAR(A855)+1,1,1)-DATE(YEAR(A855),1,1))*E855,8)</f>
        <v/>
      </c>
      <c r="I855" s="4">
        <f>ROUND(I854*(1+F855),8)</f>
        <v/>
      </c>
      <c r="J855" s="4">
        <f>ROUND(J854*(1+G855),8)</f>
        <v/>
      </c>
      <c r="K855" s="4">
        <f>ROUND(K854+H855,8)</f>
        <v/>
      </c>
      <c r="L855" s="4">
        <f>ROUND(0.9*F855+0.05*G855+0.05*H855,8)</f>
        <v/>
      </c>
    </row>
    <row r="856">
      <c r="A856" s="2" t="n">
        <v>45028</v>
      </c>
      <c r="B856" s="8" t="n">
        <v>2502.7</v>
      </c>
      <c r="C856" s="8" t="n">
        <v>123.9278</v>
      </c>
      <c r="D856" s="8" t="n">
        <v>0.35</v>
      </c>
      <c r="E856">
        <f>A856-A855</f>
        <v/>
      </c>
      <c r="F856" s="4">
        <f>ROUND(B856/B855-1,8)</f>
        <v/>
      </c>
      <c r="G856" s="4">
        <f>ROUND(C856/C855-1,8)</f>
        <v/>
      </c>
      <c r="H856" s="4">
        <f>ROUND(D856/100/(DATE(YEAR(A856)+1,1,1)-DATE(YEAR(A856),1,1))*E856,8)</f>
        <v/>
      </c>
      <c r="I856" s="4">
        <f>ROUND(I855*(1+F856),8)</f>
        <v/>
      </c>
      <c r="J856" s="4">
        <f>ROUND(J855*(1+G856),8)</f>
        <v/>
      </c>
      <c r="K856" s="4">
        <f>ROUND(K855+H856,8)</f>
        <v/>
      </c>
      <c r="L856" s="4">
        <f>ROUND(0.9*F856+0.05*G856+0.05*H856,8)</f>
        <v/>
      </c>
    </row>
    <row r="857">
      <c r="A857" s="2" t="n">
        <v>45029</v>
      </c>
      <c r="B857" s="8" t="n">
        <v>2487.36</v>
      </c>
      <c r="C857" s="8" t="n">
        <v>123.9261</v>
      </c>
      <c r="D857" s="8" t="n">
        <v>0.35</v>
      </c>
      <c r="E857">
        <f>A857-A856</f>
        <v/>
      </c>
      <c r="F857" s="4">
        <f>ROUND(B857/B856-1,8)</f>
        <v/>
      </c>
      <c r="G857" s="4">
        <f>ROUND(C857/C856-1,8)</f>
        <v/>
      </c>
      <c r="H857" s="4">
        <f>ROUND(D857/100/(DATE(YEAR(A857)+1,1,1)-DATE(YEAR(A857),1,1))*E857,8)</f>
        <v/>
      </c>
      <c r="I857" s="4">
        <f>ROUND(I856*(1+F857),8)</f>
        <v/>
      </c>
      <c r="J857" s="4">
        <f>ROUND(J856*(1+G857),8)</f>
        <v/>
      </c>
      <c r="K857" s="4">
        <f>ROUND(K856+H857,8)</f>
        <v/>
      </c>
      <c r="L857" s="4">
        <f>ROUND(0.9*F857+0.05*G857+0.05*H857,8)</f>
        <v/>
      </c>
    </row>
    <row r="858">
      <c r="A858" s="2" t="n">
        <v>45030</v>
      </c>
      <c r="B858" s="8" t="n">
        <v>2491.91</v>
      </c>
      <c r="C858" s="8" t="n">
        <v>123.9297</v>
      </c>
      <c r="D858" s="8" t="n">
        <v>0.35</v>
      </c>
      <c r="E858">
        <f>A858-A857</f>
        <v/>
      </c>
      <c r="F858" s="4">
        <f>ROUND(B858/B857-1,8)</f>
        <v/>
      </c>
      <c r="G858" s="4">
        <f>ROUND(C858/C857-1,8)</f>
        <v/>
      </c>
      <c r="H858" s="4">
        <f>ROUND(D858/100/(DATE(YEAR(A858)+1,1,1)-DATE(YEAR(A858),1,1))*E858,8)</f>
        <v/>
      </c>
      <c r="I858" s="4">
        <f>ROUND(I857*(1+F858),8)</f>
        <v/>
      </c>
      <c r="J858" s="4">
        <f>ROUND(J857*(1+G858),8)</f>
        <v/>
      </c>
      <c r="K858" s="4">
        <f>ROUND(K857+H858,8)</f>
        <v/>
      </c>
      <c r="L858" s="4">
        <f>ROUND(0.9*F858+0.05*G858+0.05*H858,8)</f>
        <v/>
      </c>
    </row>
    <row r="859">
      <c r="A859" s="2" t="n">
        <v>45033</v>
      </c>
      <c r="B859" s="8" t="n">
        <v>2484.57</v>
      </c>
      <c r="C859" s="8" t="n">
        <v>123.9128</v>
      </c>
      <c r="D859" s="8" t="n">
        <v>0.35</v>
      </c>
      <c r="E859">
        <f>A859-A858</f>
        <v/>
      </c>
      <c r="F859" s="4">
        <f>ROUND(B859/B858-1,8)</f>
        <v/>
      </c>
      <c r="G859" s="4">
        <f>ROUND(C859/C858-1,8)</f>
        <v/>
      </c>
      <c r="H859" s="4">
        <f>ROUND(D859/100/(DATE(YEAR(A859)+1,1,1)-DATE(YEAR(A859),1,1))*E859,8)</f>
        <v/>
      </c>
      <c r="I859" s="4">
        <f>ROUND(I858*(1+F859),8)</f>
        <v/>
      </c>
      <c r="J859" s="4">
        <f>ROUND(J858*(1+G859),8)</f>
        <v/>
      </c>
      <c r="K859" s="4">
        <f>ROUND(K858+H859,8)</f>
        <v/>
      </c>
      <c r="L859" s="4">
        <f>ROUND(0.9*F859+0.05*G859+0.05*H859,8)</f>
        <v/>
      </c>
    </row>
    <row r="860">
      <c r="A860" s="2" t="n">
        <v>45034</v>
      </c>
      <c r="B860" s="8" t="n">
        <v>2469.01</v>
      </c>
      <c r="C860" s="8" t="n">
        <v>123.9464</v>
      </c>
      <c r="D860" s="8" t="n">
        <v>0.35</v>
      </c>
      <c r="E860">
        <f>A860-A859</f>
        <v/>
      </c>
      <c r="F860" s="4">
        <f>ROUND(B860/B859-1,8)</f>
        <v/>
      </c>
      <c r="G860" s="4">
        <f>ROUND(C860/C859-1,8)</f>
        <v/>
      </c>
      <c r="H860" s="4">
        <f>ROUND(D860/100/(DATE(YEAR(A860)+1,1,1)-DATE(YEAR(A860),1,1))*E860,8)</f>
        <v/>
      </c>
      <c r="I860" s="4">
        <f>ROUND(I859*(1+F860),8)</f>
        <v/>
      </c>
      <c r="J860" s="4">
        <f>ROUND(J859*(1+G860),8)</f>
        <v/>
      </c>
      <c r="K860" s="4">
        <f>ROUND(K859+H860,8)</f>
        <v/>
      </c>
      <c r="L860" s="4">
        <f>ROUND(0.9*F860+0.05*G860+0.05*H860,8)</f>
        <v/>
      </c>
    </row>
    <row r="861">
      <c r="A861" s="2" t="n">
        <v>45035</v>
      </c>
      <c r="B861" s="8" t="n">
        <v>2465.39</v>
      </c>
      <c r="C861" s="8" t="n">
        <v>123.9894</v>
      </c>
      <c r="D861" s="8" t="n">
        <v>0.35</v>
      </c>
      <c r="E861">
        <f>A861-A860</f>
        <v/>
      </c>
      <c r="F861" s="4">
        <f>ROUND(B861/B860-1,8)</f>
        <v/>
      </c>
      <c r="G861" s="4">
        <f>ROUND(C861/C860-1,8)</f>
        <v/>
      </c>
      <c r="H861" s="4">
        <f>ROUND(D861/100/(DATE(YEAR(A861)+1,1,1)-DATE(YEAR(A861),1,1))*E861,8)</f>
        <v/>
      </c>
      <c r="I861" s="4">
        <f>ROUND(I860*(1+F861),8)</f>
        <v/>
      </c>
      <c r="J861" s="4">
        <f>ROUND(J860*(1+G861),8)</f>
        <v/>
      </c>
      <c r="K861" s="4">
        <f>ROUND(K860+H861,8)</f>
        <v/>
      </c>
      <c r="L861" s="4">
        <f>ROUND(0.9*F861+0.05*G861+0.05*H861,8)</f>
        <v/>
      </c>
    </row>
    <row r="862">
      <c r="A862" s="2" t="n">
        <v>45036</v>
      </c>
      <c r="B862" s="8" t="n">
        <v>2459.33</v>
      </c>
      <c r="C862" s="8" t="n">
        <v>124.0082</v>
      </c>
      <c r="D862" s="8" t="n">
        <v>0.35</v>
      </c>
      <c r="E862">
        <f>A862-A861</f>
        <v/>
      </c>
      <c r="F862" s="4">
        <f>ROUND(B862/B861-1,8)</f>
        <v/>
      </c>
      <c r="G862" s="4">
        <f>ROUND(C862/C861-1,8)</f>
        <v/>
      </c>
      <c r="H862" s="4">
        <f>ROUND(D862/100/(DATE(YEAR(A862)+1,1,1)-DATE(YEAR(A862),1,1))*E862,8)</f>
        <v/>
      </c>
      <c r="I862" s="4">
        <f>ROUND(I861*(1+F862),8)</f>
        <v/>
      </c>
      <c r="J862" s="4">
        <f>ROUND(J861*(1+G862),8)</f>
        <v/>
      </c>
      <c r="K862" s="4">
        <f>ROUND(K861+H862,8)</f>
        <v/>
      </c>
      <c r="L862" s="4">
        <f>ROUND(0.9*F862+0.05*G862+0.05*H862,8)</f>
        <v/>
      </c>
    </row>
    <row r="863">
      <c r="A863" s="2" t="n">
        <v>45037</v>
      </c>
      <c r="B863" s="8" t="n">
        <v>2386.75</v>
      </c>
      <c r="C863" s="8" t="n">
        <v>124.0314</v>
      </c>
      <c r="D863" s="8" t="n">
        <v>0.35</v>
      </c>
      <c r="E863">
        <f>A863-A862</f>
        <v/>
      </c>
      <c r="F863" s="4">
        <f>ROUND(B863/B862-1,8)</f>
        <v/>
      </c>
      <c r="G863" s="4">
        <f>ROUND(C863/C862-1,8)</f>
        <v/>
      </c>
      <c r="H863" s="4">
        <f>ROUND(D863/100/(DATE(YEAR(A863)+1,1,1)-DATE(YEAR(A863),1,1))*E863,8)</f>
        <v/>
      </c>
      <c r="I863" s="4">
        <f>ROUND(I862*(1+F863),8)</f>
        <v/>
      </c>
      <c r="J863" s="4">
        <f>ROUND(J862*(1+G863),8)</f>
        <v/>
      </c>
      <c r="K863" s="4">
        <f>ROUND(K862+H863,8)</f>
        <v/>
      </c>
      <c r="L863" s="4">
        <f>ROUND(0.9*F863+0.05*G863+0.05*H863,8)</f>
        <v/>
      </c>
    </row>
    <row r="864">
      <c r="A864" s="2" t="n">
        <v>45040</v>
      </c>
      <c r="B864" s="8" t="n">
        <v>2382.81</v>
      </c>
      <c r="C864" s="8" t="n">
        <v>124.0758</v>
      </c>
      <c r="D864" s="8" t="n">
        <v>0.35</v>
      </c>
      <c r="E864">
        <f>A864-A863</f>
        <v/>
      </c>
      <c r="F864" s="4">
        <f>ROUND(B864/B863-1,8)</f>
        <v/>
      </c>
      <c r="G864" s="4">
        <f>ROUND(C864/C863-1,8)</f>
        <v/>
      </c>
      <c r="H864" s="4">
        <f>ROUND(D864/100/(DATE(YEAR(A864)+1,1,1)-DATE(YEAR(A864),1,1))*E864,8)</f>
        <v/>
      </c>
      <c r="I864" s="4">
        <f>ROUND(I863*(1+F864),8)</f>
        <v/>
      </c>
      <c r="J864" s="4">
        <f>ROUND(J863*(1+G864),8)</f>
        <v/>
      </c>
      <c r="K864" s="4">
        <f>ROUND(K863+H864,8)</f>
        <v/>
      </c>
      <c r="L864" s="4">
        <f>ROUND(0.9*F864+0.05*G864+0.05*H864,8)</f>
        <v/>
      </c>
    </row>
    <row r="865">
      <c r="A865" s="2" t="n">
        <v>45041</v>
      </c>
      <c r="B865" s="8" t="n">
        <v>2331.21</v>
      </c>
      <c r="C865" s="8" t="n">
        <v>124.0836</v>
      </c>
      <c r="D865" s="8" t="n">
        <v>0.35</v>
      </c>
      <c r="E865">
        <f>A865-A864</f>
        <v/>
      </c>
      <c r="F865" s="4">
        <f>ROUND(B865/B864-1,8)</f>
        <v/>
      </c>
      <c r="G865" s="4">
        <f>ROUND(C865/C864-1,8)</f>
        <v/>
      </c>
      <c r="H865" s="4">
        <f>ROUND(D865/100/(DATE(YEAR(A865)+1,1,1)-DATE(YEAR(A865),1,1))*E865,8)</f>
        <v/>
      </c>
      <c r="I865" s="4">
        <f>ROUND(I864*(1+F865),8)</f>
        <v/>
      </c>
      <c r="J865" s="4">
        <f>ROUND(J864*(1+G865),8)</f>
        <v/>
      </c>
      <c r="K865" s="4">
        <f>ROUND(K864+H865,8)</f>
        <v/>
      </c>
      <c r="L865" s="4">
        <f>ROUND(0.9*F865+0.05*G865+0.05*H865,8)</f>
        <v/>
      </c>
    </row>
    <row r="866">
      <c r="A866" s="2" t="n">
        <v>45042</v>
      </c>
      <c r="B866" s="8" t="n">
        <v>2360.95</v>
      </c>
      <c r="C866" s="8" t="n">
        <v>124.1075</v>
      </c>
      <c r="D866" s="8" t="n">
        <v>0.35</v>
      </c>
      <c r="E866">
        <f>A866-A865</f>
        <v/>
      </c>
      <c r="F866" s="4">
        <f>ROUND(B866/B865-1,8)</f>
        <v/>
      </c>
      <c r="G866" s="4">
        <f>ROUND(C866/C865-1,8)</f>
        <v/>
      </c>
      <c r="H866" s="4">
        <f>ROUND(D866/100/(DATE(YEAR(A866)+1,1,1)-DATE(YEAR(A866),1,1))*E866,8)</f>
        <v/>
      </c>
      <c r="I866" s="4">
        <f>ROUND(I865*(1+F866),8)</f>
        <v/>
      </c>
      <c r="J866" s="4">
        <f>ROUND(J865*(1+G866),8)</f>
        <v/>
      </c>
      <c r="K866" s="4">
        <f>ROUND(K865+H866,8)</f>
        <v/>
      </c>
      <c r="L866" s="4">
        <f>ROUND(0.9*F866+0.05*G866+0.05*H866,8)</f>
        <v/>
      </c>
    </row>
    <row r="867">
      <c r="A867" s="2" t="n">
        <v>45043</v>
      </c>
      <c r="B867" s="8" t="n">
        <v>2346.44</v>
      </c>
      <c r="C867" s="8" t="n">
        <v>124.2075</v>
      </c>
      <c r="D867" s="8" t="n">
        <v>0.35</v>
      </c>
      <c r="E867">
        <f>A867-A866</f>
        <v/>
      </c>
      <c r="F867" s="4">
        <f>ROUND(B867/B866-1,8)</f>
        <v/>
      </c>
      <c r="G867" s="4">
        <f>ROUND(C867/C866-1,8)</f>
        <v/>
      </c>
      <c r="H867" s="4">
        <f>ROUND(D867/100/(DATE(YEAR(A867)+1,1,1)-DATE(YEAR(A867),1,1))*E867,8)</f>
        <v/>
      </c>
      <c r="I867" s="4">
        <f>ROUND(I866*(1+F867),8)</f>
        <v/>
      </c>
      <c r="J867" s="4">
        <f>ROUND(J866*(1+G867),8)</f>
        <v/>
      </c>
      <c r="K867" s="4">
        <f>ROUND(K866+H867,8)</f>
        <v/>
      </c>
      <c r="L867" s="4">
        <f>ROUND(0.9*F867+0.05*G867+0.05*H867,8)</f>
        <v/>
      </c>
    </row>
    <row r="868">
      <c r="A868" s="2" t="n">
        <v>45044</v>
      </c>
      <c r="B868" s="8" t="n">
        <v>2403.17</v>
      </c>
      <c r="C868" s="8" t="n">
        <v>124.2189</v>
      </c>
      <c r="D868" s="8" t="n">
        <v>0.35</v>
      </c>
      <c r="E868">
        <f>A868-A867</f>
        <v/>
      </c>
      <c r="F868" s="4">
        <f>ROUND(B868/B867-1,8)</f>
        <v/>
      </c>
      <c r="G868" s="4">
        <f>ROUND(C868/C867-1,8)</f>
        <v/>
      </c>
      <c r="H868" s="4">
        <f>ROUND(D868/100/(DATE(YEAR(A868)+1,1,1)-DATE(YEAR(A868),1,1))*E868,8)</f>
        <v/>
      </c>
      <c r="I868" s="4">
        <f>ROUND(I867*(1+F868),8)</f>
        <v/>
      </c>
      <c r="J868" s="4">
        <f>ROUND(J867*(1+G868),8)</f>
        <v/>
      </c>
      <c r="K868" s="4">
        <f>ROUND(K867+H868,8)</f>
        <v/>
      </c>
      <c r="L868" s="4">
        <f>ROUND(0.9*F868+0.05*G868+0.05*H868,8)</f>
        <v/>
      </c>
    </row>
    <row r="869">
      <c r="A869" s="2" t="n">
        <v>45050</v>
      </c>
      <c r="B869" s="8" t="n">
        <v>2423.34</v>
      </c>
      <c r="C869" s="8" t="n">
        <v>124.35</v>
      </c>
      <c r="D869" s="8" t="n">
        <v>0.35</v>
      </c>
      <c r="E869">
        <f>A869-A868</f>
        <v/>
      </c>
      <c r="F869" s="4">
        <f>ROUND(B869/B868-1,8)</f>
        <v/>
      </c>
      <c r="G869" s="4">
        <f>ROUND(C869/C868-1,8)</f>
        <v/>
      </c>
      <c r="H869" s="4">
        <f>ROUND(D869/100/(DATE(YEAR(A869)+1,1,1)-DATE(YEAR(A869),1,1))*E869,8)</f>
        <v/>
      </c>
      <c r="I869" s="4">
        <f>ROUND(I868*(1+F869),8)</f>
        <v/>
      </c>
      <c r="J869" s="4">
        <f>ROUND(J868*(1+G869),8)</f>
        <v/>
      </c>
      <c r="K869" s="4">
        <f>ROUND(K868+H869,8)</f>
        <v/>
      </c>
      <c r="L869" s="4">
        <f>ROUND(0.9*F869+0.05*G869+0.05*H869,8)</f>
        <v/>
      </c>
    </row>
    <row r="870">
      <c r="A870" s="2" t="n">
        <v>45051</v>
      </c>
      <c r="B870" s="8" t="n">
        <v>2399.39</v>
      </c>
      <c r="C870" s="8" t="n">
        <v>124.4628</v>
      </c>
      <c r="D870" s="8" t="n">
        <v>0.35</v>
      </c>
      <c r="E870">
        <f>A870-A869</f>
        <v/>
      </c>
      <c r="F870" s="4">
        <f>ROUND(B870/B869-1,8)</f>
        <v/>
      </c>
      <c r="G870" s="4">
        <f>ROUND(C870/C869-1,8)</f>
        <v/>
      </c>
      <c r="H870" s="4">
        <f>ROUND(D870/100/(DATE(YEAR(A870)+1,1,1)-DATE(YEAR(A870),1,1))*E870,8)</f>
        <v/>
      </c>
      <c r="I870" s="4">
        <f>ROUND(I869*(1+F870),8)</f>
        <v/>
      </c>
      <c r="J870" s="4">
        <f>ROUND(J869*(1+G870),8)</f>
        <v/>
      </c>
      <c r="K870" s="4">
        <f>ROUND(K869+H870,8)</f>
        <v/>
      </c>
      <c r="L870" s="4">
        <f>ROUND(0.9*F870+0.05*G870+0.05*H870,8)</f>
        <v/>
      </c>
    </row>
    <row r="871">
      <c r="A871" s="2" t="n">
        <v>45054</v>
      </c>
      <c r="B871" s="8" t="n">
        <v>2413.29</v>
      </c>
      <c r="C871" s="8" t="n">
        <v>124.4811</v>
      </c>
      <c r="D871" s="8" t="n">
        <v>0.35</v>
      </c>
      <c r="E871">
        <f>A871-A870</f>
        <v/>
      </c>
      <c r="F871" s="4">
        <f>ROUND(B871/B870-1,8)</f>
        <v/>
      </c>
      <c r="G871" s="4">
        <f>ROUND(C871/C870-1,8)</f>
        <v/>
      </c>
      <c r="H871" s="4">
        <f>ROUND(D871/100/(DATE(YEAR(A871)+1,1,1)-DATE(YEAR(A871),1,1))*E871,8)</f>
        <v/>
      </c>
      <c r="I871" s="4">
        <f>ROUND(I870*(1+F871),8)</f>
        <v/>
      </c>
      <c r="J871" s="4">
        <f>ROUND(J870*(1+G871),8)</f>
        <v/>
      </c>
      <c r="K871" s="4">
        <f>ROUND(K870+H871,8)</f>
        <v/>
      </c>
      <c r="L871" s="4">
        <f>ROUND(0.9*F871+0.05*G871+0.05*H871,8)</f>
        <v/>
      </c>
    </row>
    <row r="872">
      <c r="A872" s="2" t="n">
        <v>45055</v>
      </c>
      <c r="B872" s="8" t="n">
        <v>2369.26</v>
      </c>
      <c r="C872" s="8" t="n">
        <v>124.5066</v>
      </c>
      <c r="D872" s="8" t="n">
        <v>0.35</v>
      </c>
      <c r="E872">
        <f>A872-A871</f>
        <v/>
      </c>
      <c r="F872" s="4">
        <f>ROUND(B872/B871-1,8)</f>
        <v/>
      </c>
      <c r="G872" s="4">
        <f>ROUND(C872/C871-1,8)</f>
        <v/>
      </c>
      <c r="H872" s="4">
        <f>ROUND(D872/100/(DATE(YEAR(A872)+1,1,1)-DATE(YEAR(A872),1,1))*E872,8)</f>
        <v/>
      </c>
      <c r="I872" s="4">
        <f>ROUND(I871*(1+F872),8)</f>
        <v/>
      </c>
      <c r="J872" s="4">
        <f>ROUND(J871*(1+G872),8)</f>
        <v/>
      </c>
      <c r="K872" s="4">
        <f>ROUND(K871+H872,8)</f>
        <v/>
      </c>
      <c r="L872" s="4">
        <f>ROUND(0.9*F872+0.05*G872+0.05*H872,8)</f>
        <v/>
      </c>
    </row>
    <row r="873">
      <c r="A873" s="2" t="n">
        <v>45056</v>
      </c>
      <c r="B873" s="8" t="n">
        <v>2385.36</v>
      </c>
      <c r="C873" s="8" t="n">
        <v>124.5932</v>
      </c>
      <c r="D873" s="8" t="n">
        <v>0.35</v>
      </c>
      <c r="E873">
        <f>A873-A872</f>
        <v/>
      </c>
      <c r="F873" s="4">
        <f>ROUND(B873/B872-1,8)</f>
        <v/>
      </c>
      <c r="G873" s="4">
        <f>ROUND(C873/C872-1,8)</f>
        <v/>
      </c>
      <c r="H873" s="4">
        <f>ROUND(D873/100/(DATE(YEAR(A873)+1,1,1)-DATE(YEAR(A873),1,1))*E873,8)</f>
        <v/>
      </c>
      <c r="I873" s="4">
        <f>ROUND(I872*(1+F873),8)</f>
        <v/>
      </c>
      <c r="J873" s="4">
        <f>ROUND(J872*(1+G873),8)</f>
        <v/>
      </c>
      <c r="K873" s="4">
        <f>ROUND(K872+H873,8)</f>
        <v/>
      </c>
      <c r="L873" s="4">
        <f>ROUND(0.9*F873+0.05*G873+0.05*H873,8)</f>
        <v/>
      </c>
    </row>
    <row r="874">
      <c r="A874" s="2" t="n">
        <v>45057</v>
      </c>
      <c r="B874" s="8" t="n">
        <v>2401.59</v>
      </c>
      <c r="C874" s="8" t="n">
        <v>124.6966</v>
      </c>
      <c r="D874" s="8" t="n">
        <v>0.35</v>
      </c>
      <c r="E874">
        <f>A874-A873</f>
        <v/>
      </c>
      <c r="F874" s="4">
        <f>ROUND(B874/B873-1,8)</f>
        <v/>
      </c>
      <c r="G874" s="4">
        <f>ROUND(C874/C873-1,8)</f>
        <v/>
      </c>
      <c r="H874" s="4">
        <f>ROUND(D874/100/(DATE(YEAR(A874)+1,1,1)-DATE(YEAR(A874),1,1))*E874,8)</f>
        <v/>
      </c>
      <c r="I874" s="4">
        <f>ROUND(I873*(1+F874),8)</f>
        <v/>
      </c>
      <c r="J874" s="4">
        <f>ROUND(J873*(1+G874),8)</f>
        <v/>
      </c>
      <c r="K874" s="4">
        <f>ROUND(K873+H874,8)</f>
        <v/>
      </c>
      <c r="L874" s="4">
        <f>ROUND(0.9*F874+0.05*G874+0.05*H874,8)</f>
        <v/>
      </c>
    </row>
    <row r="875">
      <c r="A875" s="2" t="n">
        <v>45058</v>
      </c>
      <c r="B875" s="8" t="n">
        <v>2373.76</v>
      </c>
      <c r="C875" s="8" t="n">
        <v>124.689</v>
      </c>
      <c r="D875" s="8" t="n">
        <v>0.35</v>
      </c>
      <c r="E875">
        <f>A875-A874</f>
        <v/>
      </c>
      <c r="F875" s="4">
        <f>ROUND(B875/B874-1,8)</f>
        <v/>
      </c>
      <c r="G875" s="4">
        <f>ROUND(C875/C874-1,8)</f>
        <v/>
      </c>
      <c r="H875" s="4">
        <f>ROUND(D875/100/(DATE(YEAR(A875)+1,1,1)-DATE(YEAR(A875),1,1))*E875,8)</f>
        <v/>
      </c>
      <c r="I875" s="4">
        <f>ROUND(I874*(1+F875),8)</f>
        <v/>
      </c>
      <c r="J875" s="4">
        <f>ROUND(J874*(1+G875),8)</f>
        <v/>
      </c>
      <c r="K875" s="4">
        <f>ROUND(K874+H875,8)</f>
        <v/>
      </c>
      <c r="L875" s="4">
        <f>ROUND(0.9*F875+0.05*G875+0.05*H875,8)</f>
        <v/>
      </c>
    </row>
    <row r="876">
      <c r="A876" s="2" t="n">
        <v>45061</v>
      </c>
      <c r="B876" s="8" t="n">
        <v>2392.94</v>
      </c>
      <c r="C876" s="8" t="n">
        <v>124.6572</v>
      </c>
      <c r="D876" s="8" t="n">
        <v>0.35</v>
      </c>
      <c r="E876">
        <f>A876-A875</f>
        <v/>
      </c>
      <c r="F876" s="4">
        <f>ROUND(B876/B875-1,8)</f>
        <v/>
      </c>
      <c r="G876" s="4">
        <f>ROUND(C876/C875-1,8)</f>
        <v/>
      </c>
      <c r="H876" s="4">
        <f>ROUND(D876/100/(DATE(YEAR(A876)+1,1,1)-DATE(YEAR(A876),1,1))*E876,8)</f>
        <v/>
      </c>
      <c r="I876" s="4">
        <f>ROUND(I875*(1+F876),8)</f>
        <v/>
      </c>
      <c r="J876" s="4">
        <f>ROUND(J875*(1+G876),8)</f>
        <v/>
      </c>
      <c r="K876" s="4">
        <f>ROUND(K875+H876,8)</f>
        <v/>
      </c>
      <c r="L876" s="4">
        <f>ROUND(0.9*F876+0.05*G876+0.05*H876,8)</f>
        <v/>
      </c>
    </row>
    <row r="877">
      <c r="A877" s="2" t="n">
        <v>45062</v>
      </c>
      <c r="B877" s="8" t="n">
        <v>2372.08</v>
      </c>
      <c r="C877" s="8" t="n">
        <v>124.6482</v>
      </c>
      <c r="D877" s="8" t="n">
        <v>0.35</v>
      </c>
      <c r="E877">
        <f>A877-A876</f>
        <v/>
      </c>
      <c r="F877" s="4">
        <f>ROUND(B877/B876-1,8)</f>
        <v/>
      </c>
      <c r="G877" s="4">
        <f>ROUND(C877/C876-1,8)</f>
        <v/>
      </c>
      <c r="H877" s="4">
        <f>ROUND(D877/100/(DATE(YEAR(A877)+1,1,1)-DATE(YEAR(A877),1,1))*E877,8)</f>
        <v/>
      </c>
      <c r="I877" s="4">
        <f>ROUND(I876*(1+F877),8)</f>
        <v/>
      </c>
      <c r="J877" s="4">
        <f>ROUND(J876*(1+G877),8)</f>
        <v/>
      </c>
      <c r="K877" s="4">
        <f>ROUND(K876+H877,8)</f>
        <v/>
      </c>
      <c r="L877" s="4">
        <f>ROUND(0.9*F877+0.05*G877+0.05*H877,8)</f>
        <v/>
      </c>
    </row>
    <row r="878">
      <c r="A878" s="2" t="n">
        <v>45063</v>
      </c>
      <c r="B878" s="8" t="n">
        <v>2399.87</v>
      </c>
      <c r="C878" s="8" t="n">
        <v>124.6293</v>
      </c>
      <c r="D878" s="8" t="n">
        <v>0.35</v>
      </c>
      <c r="E878">
        <f>A878-A877</f>
        <v/>
      </c>
      <c r="F878" s="4">
        <f>ROUND(B878/B877-1,8)</f>
        <v/>
      </c>
      <c r="G878" s="4">
        <f>ROUND(C878/C877-1,8)</f>
        <v/>
      </c>
      <c r="H878" s="4">
        <f>ROUND(D878/100/(DATE(YEAR(A878)+1,1,1)-DATE(YEAR(A878),1,1))*E878,8)</f>
        <v/>
      </c>
      <c r="I878" s="4">
        <f>ROUND(I877*(1+F878),8)</f>
        <v/>
      </c>
      <c r="J878" s="4">
        <f>ROUND(J877*(1+G878),8)</f>
        <v/>
      </c>
      <c r="K878" s="4">
        <f>ROUND(K877+H878,8)</f>
        <v/>
      </c>
      <c r="L878" s="4">
        <f>ROUND(0.9*F878+0.05*G878+0.05*H878,8)</f>
        <v/>
      </c>
    </row>
    <row r="879">
      <c r="A879" s="2" t="n">
        <v>45064</v>
      </c>
      <c r="B879" s="8" t="n">
        <v>2419.05</v>
      </c>
      <c r="C879" s="8" t="n">
        <v>124.6016</v>
      </c>
      <c r="D879" s="8" t="n">
        <v>0.35</v>
      </c>
      <c r="E879">
        <f>A879-A878</f>
        <v/>
      </c>
      <c r="F879" s="4">
        <f>ROUND(B879/B878-1,8)</f>
        <v/>
      </c>
      <c r="G879" s="4">
        <f>ROUND(C879/C878-1,8)</f>
        <v/>
      </c>
      <c r="H879" s="4">
        <f>ROUND(D879/100/(DATE(YEAR(A879)+1,1,1)-DATE(YEAR(A879),1,1))*E879,8)</f>
        <v/>
      </c>
      <c r="I879" s="4">
        <f>ROUND(I878*(1+F879),8)</f>
        <v/>
      </c>
      <c r="J879" s="4">
        <f>ROUND(J878*(1+G879),8)</f>
        <v/>
      </c>
      <c r="K879" s="4">
        <f>ROUND(K878+H879,8)</f>
        <v/>
      </c>
      <c r="L879" s="4">
        <f>ROUND(0.9*F879+0.05*G879+0.05*H879,8)</f>
        <v/>
      </c>
    </row>
    <row r="880">
      <c r="A880" s="2" t="n">
        <v>45065</v>
      </c>
      <c r="B880" s="8" t="n">
        <v>2417.47</v>
      </c>
      <c r="C880" s="8" t="n">
        <v>124.6202</v>
      </c>
      <c r="D880" s="8" t="n">
        <v>0.35</v>
      </c>
      <c r="E880">
        <f>A880-A879</f>
        <v/>
      </c>
      <c r="F880" s="4">
        <f>ROUND(B880/B879-1,8)</f>
        <v/>
      </c>
      <c r="G880" s="4">
        <f>ROUND(C880/C879-1,8)</f>
        <v/>
      </c>
      <c r="H880" s="4">
        <f>ROUND(D880/100/(DATE(YEAR(A880)+1,1,1)-DATE(YEAR(A880),1,1))*E880,8)</f>
        <v/>
      </c>
      <c r="I880" s="4">
        <f>ROUND(I879*(1+F880),8)</f>
        <v/>
      </c>
      <c r="J880" s="4">
        <f>ROUND(J879*(1+G880),8)</f>
        <v/>
      </c>
      <c r="K880" s="4">
        <f>ROUND(K879+H880,8)</f>
        <v/>
      </c>
      <c r="L880" s="4">
        <f>ROUND(0.9*F880+0.05*G880+0.05*H880,8)</f>
        <v/>
      </c>
    </row>
    <row r="881">
      <c r="A881" s="2" t="n">
        <v>45068</v>
      </c>
      <c r="B881" s="8" t="n">
        <v>2427.08</v>
      </c>
      <c r="C881" s="8" t="n">
        <v>124.6279</v>
      </c>
      <c r="D881" s="8" t="n">
        <v>0.35</v>
      </c>
      <c r="E881">
        <f>A881-A880</f>
        <v/>
      </c>
      <c r="F881" s="4">
        <f>ROUND(B881/B880-1,8)</f>
        <v/>
      </c>
      <c r="G881" s="4">
        <f>ROUND(C881/C880-1,8)</f>
        <v/>
      </c>
      <c r="H881" s="4">
        <f>ROUND(D881/100/(DATE(YEAR(A881)+1,1,1)-DATE(YEAR(A881),1,1))*E881,8)</f>
        <v/>
      </c>
      <c r="I881" s="4">
        <f>ROUND(I880*(1+F881),8)</f>
        <v/>
      </c>
      <c r="J881" s="4">
        <f>ROUND(J880*(1+G881),8)</f>
        <v/>
      </c>
      <c r="K881" s="4">
        <f>ROUND(K880+H881,8)</f>
        <v/>
      </c>
      <c r="L881" s="4">
        <f>ROUND(0.9*F881+0.05*G881+0.05*H881,8)</f>
        <v/>
      </c>
    </row>
    <row r="882">
      <c r="A882" s="2" t="n">
        <v>45069</v>
      </c>
      <c r="B882" s="8" t="n">
        <v>2400.09</v>
      </c>
      <c r="C882" s="8" t="n">
        <v>124.6988</v>
      </c>
      <c r="D882" s="8" t="n">
        <v>0.35</v>
      </c>
      <c r="E882">
        <f>A882-A881</f>
        <v/>
      </c>
      <c r="F882" s="4">
        <f>ROUND(B882/B881-1,8)</f>
        <v/>
      </c>
      <c r="G882" s="4">
        <f>ROUND(C882/C881-1,8)</f>
        <v/>
      </c>
      <c r="H882" s="4">
        <f>ROUND(D882/100/(DATE(YEAR(A882)+1,1,1)-DATE(YEAR(A882),1,1))*E882,8)</f>
        <v/>
      </c>
      <c r="I882" s="4">
        <f>ROUND(I881*(1+F882),8)</f>
        <v/>
      </c>
      <c r="J882" s="4">
        <f>ROUND(J881*(1+G882),8)</f>
        <v/>
      </c>
      <c r="K882" s="4">
        <f>ROUND(K881+H882,8)</f>
        <v/>
      </c>
      <c r="L882" s="4">
        <f>ROUND(0.9*F882+0.05*G882+0.05*H882,8)</f>
        <v/>
      </c>
    </row>
    <row r="883">
      <c r="A883" s="2" t="n">
        <v>45070</v>
      </c>
      <c r="B883" s="8" t="n">
        <v>2406.1</v>
      </c>
      <c r="C883" s="8" t="n">
        <v>124.7041</v>
      </c>
      <c r="D883" s="8" t="n">
        <v>0.35</v>
      </c>
      <c r="E883">
        <f>A883-A882</f>
        <v/>
      </c>
      <c r="F883" s="4">
        <f>ROUND(B883/B882-1,8)</f>
        <v/>
      </c>
      <c r="G883" s="4">
        <f>ROUND(C883/C882-1,8)</f>
        <v/>
      </c>
      <c r="H883" s="4">
        <f>ROUND(D883/100/(DATE(YEAR(A883)+1,1,1)-DATE(YEAR(A883),1,1))*E883,8)</f>
        <v/>
      </c>
      <c r="I883" s="4">
        <f>ROUND(I882*(1+F883),8)</f>
        <v/>
      </c>
      <c r="J883" s="4">
        <f>ROUND(J882*(1+G883),8)</f>
        <v/>
      </c>
      <c r="K883" s="4">
        <f>ROUND(K882+H883,8)</f>
        <v/>
      </c>
      <c r="L883" s="4">
        <f>ROUND(0.9*F883+0.05*G883+0.05*H883,8)</f>
        <v/>
      </c>
    </row>
    <row r="884">
      <c r="A884" s="2" t="n">
        <v>45071</v>
      </c>
      <c r="B884" s="8" t="n">
        <v>2405.64</v>
      </c>
      <c r="C884" s="8" t="n">
        <v>124.6857</v>
      </c>
      <c r="D884" s="8" t="n">
        <v>0.35</v>
      </c>
      <c r="E884">
        <f>A884-A883</f>
        <v/>
      </c>
      <c r="F884" s="4">
        <f>ROUND(B884/B883-1,8)</f>
        <v/>
      </c>
      <c r="G884" s="4">
        <f>ROUND(C884/C883-1,8)</f>
        <v/>
      </c>
      <c r="H884" s="4">
        <f>ROUND(D884/100/(DATE(YEAR(A884)+1,1,1)-DATE(YEAR(A884),1,1))*E884,8)</f>
        <v/>
      </c>
      <c r="I884" s="4">
        <f>ROUND(I883*(1+F884),8)</f>
        <v/>
      </c>
      <c r="J884" s="4">
        <f>ROUND(J883*(1+G884),8)</f>
        <v/>
      </c>
      <c r="K884" s="4">
        <f>ROUND(K883+H884,8)</f>
        <v/>
      </c>
      <c r="L884" s="4">
        <f>ROUND(0.9*F884+0.05*G884+0.05*H884,8)</f>
        <v/>
      </c>
    </row>
    <row r="885">
      <c r="A885" s="2" t="n">
        <v>45072</v>
      </c>
      <c r="B885" s="8" t="n">
        <v>2424.05</v>
      </c>
      <c r="C885" s="8" t="n">
        <v>124.6577</v>
      </c>
      <c r="D885" s="8" t="n">
        <v>0.35</v>
      </c>
      <c r="E885">
        <f>A885-A884</f>
        <v/>
      </c>
      <c r="F885" s="4">
        <f>ROUND(B885/B884-1,8)</f>
        <v/>
      </c>
      <c r="G885" s="4">
        <f>ROUND(C885/C884-1,8)</f>
        <v/>
      </c>
      <c r="H885" s="4">
        <f>ROUND(D885/100/(DATE(YEAR(A885)+1,1,1)-DATE(YEAR(A885),1,1))*E885,8)</f>
        <v/>
      </c>
      <c r="I885" s="4">
        <f>ROUND(I884*(1+F885),8)</f>
        <v/>
      </c>
      <c r="J885" s="4">
        <f>ROUND(J884*(1+G885),8)</f>
        <v/>
      </c>
      <c r="K885" s="4">
        <f>ROUND(K884+H885,8)</f>
        <v/>
      </c>
      <c r="L885" s="4">
        <f>ROUND(0.9*F885+0.05*G885+0.05*H885,8)</f>
        <v/>
      </c>
    </row>
    <row r="886">
      <c r="A886" s="2" t="n">
        <v>45075</v>
      </c>
      <c r="B886" s="8" t="n">
        <v>2415.92</v>
      </c>
      <c r="C886" s="8" t="n">
        <v>124.6615</v>
      </c>
      <c r="D886" s="8" t="n">
        <v>0.35</v>
      </c>
      <c r="E886">
        <f>A886-A885</f>
        <v/>
      </c>
      <c r="F886" s="4">
        <f>ROUND(B886/B885-1,8)</f>
        <v/>
      </c>
      <c r="G886" s="4">
        <f>ROUND(C886/C885-1,8)</f>
        <v/>
      </c>
      <c r="H886" s="4">
        <f>ROUND(D886/100/(DATE(YEAR(A886)+1,1,1)-DATE(YEAR(A886),1,1))*E886,8)</f>
        <v/>
      </c>
      <c r="I886" s="4">
        <f>ROUND(I885*(1+F886),8)</f>
        <v/>
      </c>
      <c r="J886" s="4">
        <f>ROUND(J885*(1+G886),8)</f>
        <v/>
      </c>
      <c r="K886" s="4">
        <f>ROUND(K885+H886,8)</f>
        <v/>
      </c>
      <c r="L886" s="4">
        <f>ROUND(0.9*F886+0.05*G886+0.05*H886,8)</f>
        <v/>
      </c>
    </row>
    <row r="887">
      <c r="A887" s="2" t="n">
        <v>45076</v>
      </c>
      <c r="B887" s="8" t="n">
        <v>2433.39</v>
      </c>
      <c r="C887" s="8" t="n">
        <v>124.6897</v>
      </c>
      <c r="D887" s="8" t="n">
        <v>0.35</v>
      </c>
      <c r="E887">
        <f>A887-A886</f>
        <v/>
      </c>
      <c r="F887" s="4">
        <f>ROUND(B887/B886-1,8)</f>
        <v/>
      </c>
      <c r="G887" s="4">
        <f>ROUND(C887/C886-1,8)</f>
        <v/>
      </c>
      <c r="H887" s="4">
        <f>ROUND(D887/100/(DATE(YEAR(A887)+1,1,1)-DATE(YEAR(A887),1,1))*E887,8)</f>
        <v/>
      </c>
      <c r="I887" s="4">
        <f>ROUND(I886*(1+F887),8)</f>
        <v/>
      </c>
      <c r="J887" s="4">
        <f>ROUND(J886*(1+G887),8)</f>
        <v/>
      </c>
      <c r="K887" s="4">
        <f>ROUND(K886+H887,8)</f>
        <v/>
      </c>
      <c r="L887" s="4">
        <f>ROUND(0.9*F887+0.05*G887+0.05*H887,8)</f>
        <v/>
      </c>
    </row>
    <row r="888">
      <c r="A888" s="2" t="n">
        <v>45077</v>
      </c>
      <c r="B888" s="8" t="n">
        <v>2428.62</v>
      </c>
      <c r="C888" s="8" t="n">
        <v>124.7194</v>
      </c>
      <c r="D888" s="8" t="n">
        <v>0.35</v>
      </c>
      <c r="E888">
        <f>A888-A887</f>
        <v/>
      </c>
      <c r="F888" s="4">
        <f>ROUND(B888/B887-1,8)</f>
        <v/>
      </c>
      <c r="G888" s="4">
        <f>ROUND(C888/C887-1,8)</f>
        <v/>
      </c>
      <c r="H888" s="4">
        <f>ROUND(D888/100/(DATE(YEAR(A888)+1,1,1)-DATE(YEAR(A888),1,1))*E888,8)</f>
        <v/>
      </c>
      <c r="I888" s="4">
        <f>ROUND(I887*(1+F888),8)</f>
        <v/>
      </c>
      <c r="J888" s="4">
        <f>ROUND(J887*(1+G888),8)</f>
        <v/>
      </c>
      <c r="K888" s="4">
        <f>ROUND(K887+H888,8)</f>
        <v/>
      </c>
      <c r="L888" s="4">
        <f>ROUND(0.9*F888+0.05*G888+0.05*H888,8)</f>
        <v/>
      </c>
    </row>
    <row r="889">
      <c r="A889" s="2" t="n">
        <v>45078</v>
      </c>
      <c r="B889" s="8" t="n">
        <v>2438.75</v>
      </c>
      <c r="C889" s="8" t="n">
        <v>124.7614</v>
      </c>
      <c r="D889" s="8" t="n">
        <v>0.35</v>
      </c>
      <c r="E889">
        <f>A889-A888</f>
        <v/>
      </c>
      <c r="F889" s="4">
        <f>ROUND(B889/B888-1,8)</f>
        <v/>
      </c>
      <c r="G889" s="4">
        <f>ROUND(C889/C888-1,8)</f>
        <v/>
      </c>
      <c r="H889" s="4">
        <f>ROUND(D889/100/(DATE(YEAR(A889)+1,1,1)-DATE(YEAR(A889),1,1))*E889,8)</f>
        <v/>
      </c>
      <c r="I889" s="4">
        <f>ROUND(I888*(1+F889),8)</f>
        <v/>
      </c>
      <c r="J889" s="4">
        <f>ROUND(J888*(1+G889),8)</f>
        <v/>
      </c>
      <c r="K889" s="4">
        <f>ROUND(K888+H889,8)</f>
        <v/>
      </c>
      <c r="L889" s="4">
        <f>ROUND(0.9*F889+0.05*G889+0.05*H889,8)</f>
        <v/>
      </c>
    </row>
    <row r="890">
      <c r="A890" s="2" t="n">
        <v>45079</v>
      </c>
      <c r="B890" s="8" t="n">
        <v>2452.65</v>
      </c>
      <c r="C890" s="8" t="n">
        <v>124.7365</v>
      </c>
      <c r="D890" s="8" t="n">
        <v>0.35</v>
      </c>
      <c r="E890">
        <f>A890-A889</f>
        <v/>
      </c>
      <c r="F890" s="4">
        <f>ROUND(B890/B889-1,8)</f>
        <v/>
      </c>
      <c r="G890" s="4">
        <f>ROUND(C890/C889-1,8)</f>
        <v/>
      </c>
      <c r="H890" s="4">
        <f>ROUND(D890/100/(DATE(YEAR(A890)+1,1,1)-DATE(YEAR(A890),1,1))*E890,8)</f>
        <v/>
      </c>
      <c r="I890" s="4">
        <f>ROUND(I889*(1+F890),8)</f>
        <v/>
      </c>
      <c r="J890" s="4">
        <f>ROUND(J889*(1+G890),8)</f>
        <v/>
      </c>
      <c r="K890" s="4">
        <f>ROUND(K889+H890,8)</f>
        <v/>
      </c>
      <c r="L890" s="4">
        <f>ROUND(0.9*F890+0.05*G890+0.05*H890,8)</f>
        <v/>
      </c>
    </row>
    <row r="891">
      <c r="A891" s="2" t="n">
        <v>45082</v>
      </c>
      <c r="B891" s="8" t="n">
        <v>2469.11</v>
      </c>
      <c r="C891" s="8" t="n">
        <v>124.7562</v>
      </c>
      <c r="D891" s="8" t="n">
        <v>0.35</v>
      </c>
      <c r="E891">
        <f>A891-A890</f>
        <v/>
      </c>
      <c r="F891" s="4">
        <f>ROUND(B891/B890-1,8)</f>
        <v/>
      </c>
      <c r="G891" s="4">
        <f>ROUND(C891/C890-1,8)</f>
        <v/>
      </c>
      <c r="H891" s="4">
        <f>ROUND(D891/100/(DATE(YEAR(A891)+1,1,1)-DATE(YEAR(A891),1,1))*E891,8)</f>
        <v/>
      </c>
      <c r="I891" s="4">
        <f>ROUND(I890*(1+F891),8)</f>
        <v/>
      </c>
      <c r="J891" s="4">
        <f>ROUND(J890*(1+G891),8)</f>
        <v/>
      </c>
      <c r="K891" s="4">
        <f>ROUND(K890+H891,8)</f>
        <v/>
      </c>
      <c r="L891" s="4">
        <f>ROUND(0.9*F891+0.05*G891+0.05*H891,8)</f>
        <v/>
      </c>
    </row>
    <row r="892">
      <c r="A892" s="2" t="n">
        <v>45083</v>
      </c>
      <c r="B892" s="8" t="n">
        <v>2416.39</v>
      </c>
      <c r="C892" s="8" t="n">
        <v>124.7903</v>
      </c>
      <c r="D892" s="8" t="n">
        <v>0.35</v>
      </c>
      <c r="E892">
        <f>A892-A891</f>
        <v/>
      </c>
      <c r="F892" s="4">
        <f>ROUND(B892/B891-1,8)</f>
        <v/>
      </c>
      <c r="G892" s="4">
        <f>ROUND(C892/C891-1,8)</f>
        <v/>
      </c>
      <c r="H892" s="4">
        <f>ROUND(D892/100/(DATE(YEAR(A892)+1,1,1)-DATE(YEAR(A892),1,1))*E892,8)</f>
        <v/>
      </c>
      <c r="I892" s="4">
        <f>ROUND(I891*(1+F892),8)</f>
        <v/>
      </c>
      <c r="J892" s="4">
        <f>ROUND(J891*(1+G892),8)</f>
        <v/>
      </c>
      <c r="K892" s="4">
        <f>ROUND(K891+H892,8)</f>
        <v/>
      </c>
      <c r="L892" s="4">
        <f>ROUND(0.9*F892+0.05*G892+0.05*H892,8)</f>
        <v/>
      </c>
    </row>
    <row r="893">
      <c r="A893" s="2" t="n">
        <v>45084</v>
      </c>
      <c r="B893" s="8" t="n">
        <v>2434.47</v>
      </c>
      <c r="C893" s="8" t="n">
        <v>124.8183</v>
      </c>
      <c r="D893" s="8" t="n">
        <v>0.35</v>
      </c>
      <c r="E893">
        <f>A893-A892</f>
        <v/>
      </c>
      <c r="F893" s="4">
        <f>ROUND(B893/B892-1,8)</f>
        <v/>
      </c>
      <c r="G893" s="4">
        <f>ROUND(C893/C892-1,8)</f>
        <v/>
      </c>
      <c r="H893" s="4">
        <f>ROUND(D893/100/(DATE(YEAR(A893)+1,1,1)-DATE(YEAR(A893),1,1))*E893,8)</f>
        <v/>
      </c>
      <c r="I893" s="4">
        <f>ROUND(I892*(1+F893),8)</f>
        <v/>
      </c>
      <c r="J893" s="4">
        <f>ROUND(J892*(1+G893),8)</f>
        <v/>
      </c>
      <c r="K893" s="4">
        <f>ROUND(K892+H893,8)</f>
        <v/>
      </c>
      <c r="L893" s="4">
        <f>ROUND(0.9*F893+0.05*G893+0.05*H893,8)</f>
        <v/>
      </c>
    </row>
    <row r="894">
      <c r="A894" s="2" t="n">
        <v>45085</v>
      </c>
      <c r="B894" s="8" t="n">
        <v>2419.32</v>
      </c>
      <c r="C894" s="8" t="n">
        <v>124.8324</v>
      </c>
      <c r="D894" s="8" t="n">
        <v>0.35</v>
      </c>
      <c r="E894">
        <f>A894-A893</f>
        <v/>
      </c>
      <c r="F894" s="4">
        <f>ROUND(B894/B893-1,8)</f>
        <v/>
      </c>
      <c r="G894" s="4">
        <f>ROUND(C894/C893-1,8)</f>
        <v/>
      </c>
      <c r="H894" s="4">
        <f>ROUND(D894/100/(DATE(YEAR(A894)+1,1,1)-DATE(YEAR(A894),1,1))*E894,8)</f>
        <v/>
      </c>
      <c r="I894" s="4">
        <f>ROUND(I893*(1+F894),8)</f>
        <v/>
      </c>
      <c r="J894" s="4">
        <f>ROUND(J893*(1+G894),8)</f>
        <v/>
      </c>
      <c r="K894" s="4">
        <f>ROUND(K893+H894,8)</f>
        <v/>
      </c>
      <c r="L894" s="4">
        <f>ROUND(0.9*F894+0.05*G894+0.05*H894,8)</f>
        <v/>
      </c>
    </row>
    <row r="895">
      <c r="A895" s="2" t="n">
        <v>45086</v>
      </c>
      <c r="B895" s="8" t="n">
        <v>2435.04</v>
      </c>
      <c r="C895" s="8" t="n">
        <v>124.8837</v>
      </c>
      <c r="D895" s="8" t="n">
        <v>0.35</v>
      </c>
      <c r="E895">
        <f>A895-A894</f>
        <v/>
      </c>
      <c r="F895" s="4">
        <f>ROUND(B895/B894-1,8)</f>
        <v/>
      </c>
      <c r="G895" s="4">
        <f>ROUND(C895/C894-1,8)</f>
        <v/>
      </c>
      <c r="H895" s="4">
        <f>ROUND(D895/100/(DATE(YEAR(A895)+1,1,1)-DATE(YEAR(A895),1,1))*E895,8)</f>
        <v/>
      </c>
      <c r="I895" s="4">
        <f>ROUND(I894*(1+F895),8)</f>
        <v/>
      </c>
      <c r="J895" s="4">
        <f>ROUND(J894*(1+G895),8)</f>
        <v/>
      </c>
      <c r="K895" s="4">
        <f>ROUND(K894+H895,8)</f>
        <v/>
      </c>
      <c r="L895" s="4">
        <f>ROUND(0.9*F895+0.05*G895+0.05*H895,8)</f>
        <v/>
      </c>
    </row>
    <row r="896">
      <c r="A896" s="2" t="n">
        <v>45089</v>
      </c>
      <c r="B896" s="8" t="n">
        <v>2456.06</v>
      </c>
      <c r="C896" s="8" t="n">
        <v>124.9263</v>
      </c>
      <c r="D896" s="8" t="n">
        <v>0.35</v>
      </c>
      <c r="E896">
        <f>A896-A895</f>
        <v/>
      </c>
      <c r="F896" s="4">
        <f>ROUND(B896/B895-1,8)</f>
        <v/>
      </c>
      <c r="G896" s="4">
        <f>ROUND(C896/C895-1,8)</f>
        <v/>
      </c>
      <c r="H896" s="4">
        <f>ROUND(D896/100/(DATE(YEAR(A896)+1,1,1)-DATE(YEAR(A896),1,1))*E896,8)</f>
        <v/>
      </c>
      <c r="I896" s="4">
        <f>ROUND(I895*(1+F896),8)</f>
        <v/>
      </c>
      <c r="J896" s="4">
        <f>ROUND(J895*(1+G896),8)</f>
        <v/>
      </c>
      <c r="K896" s="4">
        <f>ROUND(K895+H896,8)</f>
        <v/>
      </c>
      <c r="L896" s="4">
        <f>ROUND(0.9*F896+0.05*G896+0.05*H896,8)</f>
        <v/>
      </c>
    </row>
    <row r="897">
      <c r="A897" s="2" t="n">
        <v>45090</v>
      </c>
      <c r="B897" s="8" t="n">
        <v>2468.46</v>
      </c>
      <c r="C897" s="8" t="n">
        <v>125.0545</v>
      </c>
      <c r="D897" s="8" t="n">
        <v>0.35</v>
      </c>
      <c r="E897">
        <f>A897-A896</f>
        <v/>
      </c>
      <c r="F897" s="4">
        <f>ROUND(B897/B896-1,8)</f>
        <v/>
      </c>
      <c r="G897" s="4">
        <f>ROUND(C897/C896-1,8)</f>
        <v/>
      </c>
      <c r="H897" s="4">
        <f>ROUND(D897/100/(DATE(YEAR(A897)+1,1,1)-DATE(YEAR(A897),1,1))*E897,8)</f>
        <v/>
      </c>
      <c r="I897" s="4">
        <f>ROUND(I896*(1+F897),8)</f>
        <v/>
      </c>
      <c r="J897" s="4">
        <f>ROUND(J896*(1+G897),8)</f>
        <v/>
      </c>
      <c r="K897" s="4">
        <f>ROUND(K896+H897,8)</f>
        <v/>
      </c>
      <c r="L897" s="4">
        <f>ROUND(0.9*F897+0.05*G897+0.05*H897,8)</f>
        <v/>
      </c>
    </row>
    <row r="898">
      <c r="A898" s="2" t="n">
        <v>45091</v>
      </c>
      <c r="B898" s="8" t="n">
        <v>2474.19</v>
      </c>
      <c r="C898" s="8" t="n">
        <v>125.1288</v>
      </c>
      <c r="D898" s="8" t="n">
        <v>0.35</v>
      </c>
      <c r="E898">
        <f>A898-A897</f>
        <v/>
      </c>
      <c r="F898" s="4">
        <f>ROUND(B898/B897-1,8)</f>
        <v/>
      </c>
      <c r="G898" s="4">
        <f>ROUND(C898/C897-1,8)</f>
        <v/>
      </c>
      <c r="H898" s="4">
        <f>ROUND(D898/100/(DATE(YEAR(A898)+1,1,1)-DATE(YEAR(A898),1,1))*E898,8)</f>
        <v/>
      </c>
      <c r="I898" s="4">
        <f>ROUND(I897*(1+F898),8)</f>
        <v/>
      </c>
      <c r="J898" s="4">
        <f>ROUND(J897*(1+G898),8)</f>
        <v/>
      </c>
      <c r="K898" s="4">
        <f>ROUND(K897+H898,8)</f>
        <v/>
      </c>
      <c r="L898" s="4">
        <f>ROUND(0.9*F898+0.05*G898+0.05*H898,8)</f>
        <v/>
      </c>
    </row>
    <row r="899">
      <c r="A899" s="2" t="n">
        <v>45092</v>
      </c>
      <c r="B899" s="8" t="n">
        <v>2480.45</v>
      </c>
      <c r="C899" s="8" t="n">
        <v>125.0522</v>
      </c>
      <c r="D899" s="8" t="n">
        <v>0.35</v>
      </c>
      <c r="E899">
        <f>A899-A898</f>
        <v/>
      </c>
      <c r="F899" s="4">
        <f>ROUND(B899/B898-1,8)</f>
        <v/>
      </c>
      <c r="G899" s="4">
        <f>ROUND(C899/C898-1,8)</f>
        <v/>
      </c>
      <c r="H899" s="4">
        <f>ROUND(D899/100/(DATE(YEAR(A899)+1,1,1)-DATE(YEAR(A899),1,1))*E899,8)</f>
        <v/>
      </c>
      <c r="I899" s="4">
        <f>ROUND(I898*(1+F899),8)</f>
        <v/>
      </c>
      <c r="J899" s="4">
        <f>ROUND(J898*(1+G899),8)</f>
        <v/>
      </c>
      <c r="K899" s="4">
        <f>ROUND(K898+H899,8)</f>
        <v/>
      </c>
      <c r="L899" s="4">
        <f>ROUND(0.9*F899+0.05*G899+0.05*H899,8)</f>
        <v/>
      </c>
    </row>
    <row r="900">
      <c r="A900" s="2" t="n">
        <v>45093</v>
      </c>
      <c r="B900" s="8" t="n">
        <v>2504.06</v>
      </c>
      <c r="C900" s="8" t="n">
        <v>124.9348</v>
      </c>
      <c r="D900" s="8" t="n">
        <v>0.35</v>
      </c>
      <c r="E900">
        <f>A900-A899</f>
        <v/>
      </c>
      <c r="F900" s="4">
        <f>ROUND(B900/B899-1,8)</f>
        <v/>
      </c>
      <c r="G900" s="4">
        <f>ROUND(C900/C899-1,8)</f>
        <v/>
      </c>
      <c r="H900" s="4">
        <f>ROUND(D900/100/(DATE(YEAR(A900)+1,1,1)-DATE(YEAR(A900),1,1))*E900,8)</f>
        <v/>
      </c>
      <c r="I900" s="4">
        <f>ROUND(I899*(1+F900),8)</f>
        <v/>
      </c>
      <c r="J900" s="4">
        <f>ROUND(J899*(1+G900),8)</f>
        <v/>
      </c>
      <c r="K900" s="4">
        <f>ROUND(K899+H900,8)</f>
        <v/>
      </c>
      <c r="L900" s="4">
        <f>ROUND(0.9*F900+0.05*G900+0.05*H900,8)</f>
        <v/>
      </c>
    </row>
    <row r="901">
      <c r="A901" s="2" t="n">
        <v>45096</v>
      </c>
      <c r="B901" s="8" t="n">
        <v>2516.33</v>
      </c>
      <c r="C901" s="8" t="n">
        <v>124.816</v>
      </c>
      <c r="D901" s="8" t="n">
        <v>0.35</v>
      </c>
      <c r="E901">
        <f>A901-A900</f>
        <v/>
      </c>
      <c r="F901" s="4">
        <f>ROUND(B901/B900-1,8)</f>
        <v/>
      </c>
      <c r="G901" s="4">
        <f>ROUND(C901/C900-1,8)</f>
        <v/>
      </c>
      <c r="H901" s="4">
        <f>ROUND(D901/100/(DATE(YEAR(A901)+1,1,1)-DATE(YEAR(A901),1,1))*E901,8)</f>
        <v/>
      </c>
      <c r="I901" s="4">
        <f>ROUND(I900*(1+F901),8)</f>
        <v/>
      </c>
      <c r="J901" s="4">
        <f>ROUND(J900*(1+G901),8)</f>
        <v/>
      </c>
      <c r="K901" s="4">
        <f>ROUND(K900+H901,8)</f>
        <v/>
      </c>
      <c r="L901" s="4">
        <f>ROUND(0.9*F901+0.05*G901+0.05*H901,8)</f>
        <v/>
      </c>
    </row>
    <row r="902">
      <c r="A902" s="2" t="n">
        <v>45097</v>
      </c>
      <c r="B902" s="8" t="n">
        <v>2508.25</v>
      </c>
      <c r="C902" s="8" t="n">
        <v>124.8155</v>
      </c>
      <c r="D902" s="8" t="n">
        <v>0.35</v>
      </c>
      <c r="E902">
        <f>A902-A901</f>
        <v/>
      </c>
      <c r="F902" s="4">
        <f>ROUND(B902/B901-1,8)</f>
        <v/>
      </c>
      <c r="G902" s="4">
        <f>ROUND(C902/C901-1,8)</f>
        <v/>
      </c>
      <c r="H902" s="4">
        <f>ROUND(D902/100/(DATE(YEAR(A902)+1,1,1)-DATE(YEAR(A902),1,1))*E902,8)</f>
        <v/>
      </c>
      <c r="I902" s="4">
        <f>ROUND(I901*(1+F902),8)</f>
        <v/>
      </c>
      <c r="J902" s="4">
        <f>ROUND(J901*(1+G902),8)</f>
        <v/>
      </c>
      <c r="K902" s="4">
        <f>ROUND(K901+H902,8)</f>
        <v/>
      </c>
      <c r="L902" s="4">
        <f>ROUND(0.9*F902+0.05*G902+0.05*H902,8)</f>
        <v/>
      </c>
    </row>
    <row r="903">
      <c r="A903" s="2" t="n">
        <v>45098</v>
      </c>
      <c r="B903" s="8" t="n">
        <v>2463.28</v>
      </c>
      <c r="C903" s="8" t="n">
        <v>124.847</v>
      </c>
      <c r="D903" s="8" t="n">
        <v>0.35</v>
      </c>
      <c r="E903">
        <f>A903-A902</f>
        <v/>
      </c>
      <c r="F903" s="4">
        <f>ROUND(B903/B902-1,8)</f>
        <v/>
      </c>
      <c r="G903" s="4">
        <f>ROUND(C903/C902-1,8)</f>
        <v/>
      </c>
      <c r="H903" s="4">
        <f>ROUND(D903/100/(DATE(YEAR(A903)+1,1,1)-DATE(YEAR(A903),1,1))*E903,8)</f>
        <v/>
      </c>
      <c r="I903" s="4">
        <f>ROUND(I902*(1+F903),8)</f>
        <v/>
      </c>
      <c r="J903" s="4">
        <f>ROUND(J902*(1+G903),8)</f>
        <v/>
      </c>
      <c r="K903" s="4">
        <f>ROUND(K902+H903,8)</f>
        <v/>
      </c>
      <c r="L903" s="4">
        <f>ROUND(0.9*F903+0.05*G903+0.05*H903,8)</f>
        <v/>
      </c>
    </row>
    <row r="904">
      <c r="A904" s="2" t="n">
        <v>45103</v>
      </c>
      <c r="B904" s="8" t="n">
        <v>2404.4</v>
      </c>
      <c r="C904" s="8" t="n">
        <v>124.8694</v>
      </c>
      <c r="D904" s="8" t="n">
        <v>0.35</v>
      </c>
      <c r="E904">
        <f>A904-A903</f>
        <v/>
      </c>
      <c r="F904" s="4">
        <f>ROUND(B904/B903-1,8)</f>
        <v/>
      </c>
      <c r="G904" s="4">
        <f>ROUND(C904/C903-1,8)</f>
        <v/>
      </c>
      <c r="H904" s="4">
        <f>ROUND(D904/100/(DATE(YEAR(A904)+1,1,1)-DATE(YEAR(A904),1,1))*E904,8)</f>
        <v/>
      </c>
      <c r="I904" s="4">
        <f>ROUND(I903*(1+F904),8)</f>
        <v/>
      </c>
      <c r="J904" s="4">
        <f>ROUND(J903*(1+G904),8)</f>
        <v/>
      </c>
      <c r="K904" s="4">
        <f>ROUND(K903+H904,8)</f>
        <v/>
      </c>
      <c r="L904" s="4">
        <f>ROUND(0.9*F904+0.05*G904+0.05*H904,8)</f>
        <v/>
      </c>
    </row>
    <row r="905">
      <c r="A905" s="2" t="n">
        <v>45104</v>
      </c>
      <c r="B905" s="8" t="n">
        <v>2450.74</v>
      </c>
      <c r="C905" s="8" t="n">
        <v>124.8389</v>
      </c>
      <c r="D905" s="8" t="n">
        <v>0.35</v>
      </c>
      <c r="E905">
        <f>A905-A904</f>
        <v/>
      </c>
      <c r="F905" s="4">
        <f>ROUND(B905/B904-1,8)</f>
        <v/>
      </c>
      <c r="G905" s="4">
        <f>ROUND(C905/C904-1,8)</f>
        <v/>
      </c>
      <c r="H905" s="4">
        <f>ROUND(D905/100/(DATE(YEAR(A905)+1,1,1)-DATE(YEAR(A905),1,1))*E905,8)</f>
        <v/>
      </c>
      <c r="I905" s="4">
        <f>ROUND(I904*(1+F905),8)</f>
        <v/>
      </c>
      <c r="J905" s="4">
        <f>ROUND(J904*(1+G905),8)</f>
        <v/>
      </c>
      <c r="K905" s="4">
        <f>ROUND(K904+H905,8)</f>
        <v/>
      </c>
      <c r="L905" s="4">
        <f>ROUND(0.9*F905+0.05*G905+0.05*H905,8)</f>
        <v/>
      </c>
    </row>
    <row r="906">
      <c r="A906" s="2" t="n">
        <v>45105</v>
      </c>
      <c r="B906" s="8" t="n">
        <v>2436.09</v>
      </c>
      <c r="C906" s="8" t="n">
        <v>124.8527</v>
      </c>
      <c r="D906" s="8" t="n">
        <v>0.35</v>
      </c>
      <c r="E906">
        <f>A906-A905</f>
        <v/>
      </c>
      <c r="F906" s="4">
        <f>ROUND(B906/B905-1,8)</f>
        <v/>
      </c>
      <c r="G906" s="4">
        <f>ROUND(C906/C905-1,8)</f>
        <v/>
      </c>
      <c r="H906" s="4">
        <f>ROUND(D906/100/(DATE(YEAR(A906)+1,1,1)-DATE(YEAR(A906),1,1))*E906,8)</f>
        <v/>
      </c>
      <c r="I906" s="4">
        <f>ROUND(I905*(1+F906),8)</f>
        <v/>
      </c>
      <c r="J906" s="4">
        <f>ROUND(J905*(1+G906),8)</f>
        <v/>
      </c>
      <c r="K906" s="4">
        <f>ROUND(K905+H906,8)</f>
        <v/>
      </c>
      <c r="L906" s="4">
        <f>ROUND(0.9*F906+0.05*G906+0.05*H906,8)</f>
        <v/>
      </c>
    </row>
    <row r="907">
      <c r="A907" s="2" t="n">
        <v>45106</v>
      </c>
      <c r="B907" s="8" t="n">
        <v>2467.62</v>
      </c>
      <c r="C907" s="8" t="n">
        <v>124.8799</v>
      </c>
      <c r="D907" s="8" t="n">
        <v>0.35</v>
      </c>
      <c r="E907">
        <f>A907-A906</f>
        <v/>
      </c>
      <c r="F907" s="4">
        <f>ROUND(B907/B906-1,8)</f>
        <v/>
      </c>
      <c r="G907" s="4">
        <f>ROUND(C907/C906-1,8)</f>
        <v/>
      </c>
      <c r="H907" s="4">
        <f>ROUND(D907/100/(DATE(YEAR(A907)+1,1,1)-DATE(YEAR(A907),1,1))*E907,8)</f>
        <v/>
      </c>
      <c r="I907" s="4">
        <f>ROUND(I906*(1+F907),8)</f>
        <v/>
      </c>
      <c r="J907" s="4">
        <f>ROUND(J906*(1+G907),8)</f>
        <v/>
      </c>
      <c r="K907" s="4">
        <f>ROUND(K906+H907,8)</f>
        <v/>
      </c>
      <c r="L907" s="4">
        <f>ROUND(0.9*F907+0.05*G907+0.05*H907,8)</f>
        <v/>
      </c>
    </row>
    <row r="908">
      <c r="A908" s="2" t="n">
        <v>45107</v>
      </c>
      <c r="B908" s="8" t="n">
        <v>2497.15</v>
      </c>
      <c r="C908" s="8" t="n">
        <v>124.9389</v>
      </c>
      <c r="D908" s="8" t="n">
        <v>0.35</v>
      </c>
      <c r="E908">
        <f>A908-A907</f>
        <v/>
      </c>
      <c r="F908" s="4">
        <f>ROUND(B908/B907-1,8)</f>
        <v/>
      </c>
      <c r="G908" s="4">
        <f>ROUND(C908/C907-1,8)</f>
        <v/>
      </c>
      <c r="H908" s="4">
        <f>ROUND(D908/100/(DATE(YEAR(A908)+1,1,1)-DATE(YEAR(A908),1,1))*E908,8)</f>
        <v/>
      </c>
      <c r="I908" s="4">
        <f>ROUND(I907*(1+F908),8)</f>
        <v/>
      </c>
      <c r="J908" s="4">
        <f>ROUND(J907*(1+G908),8)</f>
        <v/>
      </c>
      <c r="K908" s="4">
        <f>ROUND(K907+H908,8)</f>
        <v/>
      </c>
      <c r="L908" s="4">
        <f>ROUND(0.9*F908+0.05*G908+0.05*H908,8)</f>
        <v/>
      </c>
    </row>
    <row r="909">
      <c r="A909" s="2" t="n">
        <v>45110</v>
      </c>
      <c r="B909" s="8" t="n">
        <v>2497.9</v>
      </c>
      <c r="C909" s="8" t="n">
        <v>124.9657</v>
      </c>
      <c r="D909" s="8" t="n">
        <v>0.35</v>
      </c>
      <c r="E909">
        <f>A909-A908</f>
        <v/>
      </c>
      <c r="F909" s="4">
        <f>ROUND(B909/B908-1,8)</f>
        <v/>
      </c>
      <c r="G909" s="4">
        <f>ROUND(C909/C908-1,8)</f>
        <v/>
      </c>
      <c r="H909" s="4">
        <f>ROUND(D909/100/(DATE(YEAR(A909)+1,1,1)-DATE(YEAR(A909),1,1))*E909,8)</f>
        <v/>
      </c>
      <c r="I909" s="4">
        <f>ROUND(I908*(1+F909),8)</f>
        <v/>
      </c>
      <c r="J909" s="4">
        <f>ROUND(J908*(1+G909),8)</f>
        <v/>
      </c>
      <c r="K909" s="4">
        <f>ROUND(K908+H909,8)</f>
        <v/>
      </c>
      <c r="L909" s="4">
        <f>ROUND(0.9*F909+0.05*G909+0.05*H909,8)</f>
        <v/>
      </c>
    </row>
    <row r="910">
      <c r="A910" s="2" t="n">
        <v>45111</v>
      </c>
      <c r="B910" s="8" t="n">
        <v>2514.23</v>
      </c>
      <c r="C910" s="8" t="n">
        <v>124.9878</v>
      </c>
      <c r="D910" s="8" t="n">
        <v>0.35</v>
      </c>
      <c r="E910">
        <f>A910-A909</f>
        <v/>
      </c>
      <c r="F910" s="4">
        <f>ROUND(B910/B909-1,8)</f>
        <v/>
      </c>
      <c r="G910" s="4">
        <f>ROUND(C910/C909-1,8)</f>
        <v/>
      </c>
      <c r="H910" s="4">
        <f>ROUND(D910/100/(DATE(YEAR(A910)+1,1,1)-DATE(YEAR(A910),1,1))*E910,8)</f>
        <v/>
      </c>
      <c r="I910" s="4">
        <f>ROUND(I909*(1+F910),8)</f>
        <v/>
      </c>
      <c r="J910" s="4">
        <f>ROUND(J909*(1+G910),8)</f>
        <v/>
      </c>
      <c r="K910" s="4">
        <f>ROUND(K909+H910,8)</f>
        <v/>
      </c>
      <c r="L910" s="4">
        <f>ROUND(0.9*F910+0.05*G910+0.05*H910,8)</f>
        <v/>
      </c>
    </row>
    <row r="911">
      <c r="A911" s="2" t="n">
        <v>45112</v>
      </c>
      <c r="B911" s="8" t="n">
        <v>2493.7</v>
      </c>
      <c r="C911" s="8" t="n">
        <v>125.0066</v>
      </c>
      <c r="D911" s="8" t="n">
        <v>0.35</v>
      </c>
      <c r="E911">
        <f>A911-A910</f>
        <v/>
      </c>
      <c r="F911" s="4">
        <f>ROUND(B911/B910-1,8)</f>
        <v/>
      </c>
      <c r="G911" s="4">
        <f>ROUND(C911/C910-1,8)</f>
        <v/>
      </c>
      <c r="H911" s="4">
        <f>ROUND(D911/100/(DATE(YEAR(A911)+1,1,1)-DATE(YEAR(A911),1,1))*E911,8)</f>
        <v/>
      </c>
      <c r="I911" s="4">
        <f>ROUND(I910*(1+F911),8)</f>
        <v/>
      </c>
      <c r="J911" s="4">
        <f>ROUND(J910*(1+G911),8)</f>
        <v/>
      </c>
      <c r="K911" s="4">
        <f>ROUND(K910+H911,8)</f>
        <v/>
      </c>
      <c r="L911" s="4">
        <f>ROUND(0.9*F911+0.05*G911+0.05*H911,8)</f>
        <v/>
      </c>
    </row>
    <row r="912">
      <c r="A912" s="2" t="n">
        <v>45113</v>
      </c>
      <c r="B912" s="8" t="n">
        <v>2495.69</v>
      </c>
      <c r="C912" s="8" t="n">
        <v>125.0235</v>
      </c>
      <c r="D912" s="8" t="n">
        <v>0.35</v>
      </c>
      <c r="E912">
        <f>A912-A911</f>
        <v/>
      </c>
      <c r="F912" s="4">
        <f>ROUND(B912/B911-1,8)</f>
        <v/>
      </c>
      <c r="G912" s="4">
        <f>ROUND(C912/C911-1,8)</f>
        <v/>
      </c>
      <c r="H912" s="4">
        <f>ROUND(D912/100/(DATE(YEAR(A912)+1,1,1)-DATE(YEAR(A912),1,1))*E912,8)</f>
        <v/>
      </c>
      <c r="I912" s="4">
        <f>ROUND(I911*(1+F912),8)</f>
        <v/>
      </c>
      <c r="J912" s="4">
        <f>ROUND(J911*(1+G912),8)</f>
        <v/>
      </c>
      <c r="K912" s="4">
        <f>ROUND(K911+H912,8)</f>
        <v/>
      </c>
      <c r="L912" s="4">
        <f>ROUND(0.9*F912+0.05*G912+0.05*H912,8)</f>
        <v/>
      </c>
    </row>
    <row r="913">
      <c r="A913" s="2" t="n">
        <v>45114</v>
      </c>
      <c r="B913" s="8" t="n">
        <v>2477.29</v>
      </c>
      <c r="C913" s="8" t="n">
        <v>125.0421</v>
      </c>
      <c r="D913" s="8" t="n">
        <v>0.35</v>
      </c>
      <c r="E913">
        <f>A913-A912</f>
        <v/>
      </c>
      <c r="F913" s="4">
        <f>ROUND(B913/B912-1,8)</f>
        <v/>
      </c>
      <c r="G913" s="4">
        <f>ROUND(C913/C912-1,8)</f>
        <v/>
      </c>
      <c r="H913" s="4">
        <f>ROUND(D913/100/(DATE(YEAR(A913)+1,1,1)-DATE(YEAR(A913),1,1))*E913,8)</f>
        <v/>
      </c>
      <c r="I913" s="4">
        <f>ROUND(I912*(1+F913),8)</f>
        <v/>
      </c>
      <c r="J913" s="4">
        <f>ROUND(J912*(1+G913),8)</f>
        <v/>
      </c>
      <c r="K913" s="4">
        <f>ROUND(K912+H913,8)</f>
        <v/>
      </c>
      <c r="L913" s="4">
        <f>ROUND(0.9*F913+0.05*G913+0.05*H913,8)</f>
        <v/>
      </c>
    </row>
    <row r="914">
      <c r="A914" s="2" t="n">
        <v>45117</v>
      </c>
      <c r="B914" s="8" t="n">
        <v>2472.49</v>
      </c>
      <c r="C914" s="8" t="n">
        <v>125.0732</v>
      </c>
      <c r="D914" s="8" t="n">
        <v>0.35</v>
      </c>
      <c r="E914">
        <f>A914-A913</f>
        <v/>
      </c>
      <c r="F914" s="4">
        <f>ROUND(B914/B913-1,8)</f>
        <v/>
      </c>
      <c r="G914" s="4">
        <f>ROUND(C914/C913-1,8)</f>
        <v/>
      </c>
      <c r="H914" s="4">
        <f>ROUND(D914/100/(DATE(YEAR(A914)+1,1,1)-DATE(YEAR(A914),1,1))*E914,8)</f>
        <v/>
      </c>
      <c r="I914" s="4">
        <f>ROUND(I913*(1+F914),8)</f>
        <v/>
      </c>
      <c r="J914" s="4">
        <f>ROUND(J913*(1+G914),8)</f>
        <v/>
      </c>
      <c r="K914" s="4">
        <f>ROUND(K913+H914,8)</f>
        <v/>
      </c>
      <c r="L914" s="4">
        <f>ROUND(0.9*F914+0.05*G914+0.05*H914,8)</f>
        <v/>
      </c>
    </row>
    <row r="915">
      <c r="A915" s="2" t="n">
        <v>45118</v>
      </c>
      <c r="B915" s="8" t="n">
        <v>2490.82</v>
      </c>
      <c r="C915" s="8" t="n">
        <v>125.1151</v>
      </c>
      <c r="D915" s="8" t="n">
        <v>0.35</v>
      </c>
      <c r="E915">
        <f>A915-A914</f>
        <v/>
      </c>
      <c r="F915" s="4">
        <f>ROUND(B915/B914-1,8)</f>
        <v/>
      </c>
      <c r="G915" s="4">
        <f>ROUND(C915/C914-1,8)</f>
        <v/>
      </c>
      <c r="H915" s="4">
        <f>ROUND(D915/100/(DATE(YEAR(A915)+1,1,1)-DATE(YEAR(A915),1,1))*E915,8)</f>
        <v/>
      </c>
      <c r="I915" s="4">
        <f>ROUND(I914*(1+F915),8)</f>
        <v/>
      </c>
      <c r="J915" s="4">
        <f>ROUND(J914*(1+G915),8)</f>
        <v/>
      </c>
      <c r="K915" s="4">
        <f>ROUND(K914+H915,8)</f>
        <v/>
      </c>
      <c r="L915" s="4">
        <f>ROUND(0.9*F915+0.05*G915+0.05*H915,8)</f>
        <v/>
      </c>
    </row>
    <row r="916">
      <c r="A916" s="2" t="n">
        <v>45119</v>
      </c>
      <c r="B916" s="8" t="n">
        <v>2454.76</v>
      </c>
      <c r="C916" s="8" t="n">
        <v>125.1214</v>
      </c>
      <c r="D916" s="8" t="n">
        <v>0.35</v>
      </c>
      <c r="E916">
        <f>A916-A915</f>
        <v/>
      </c>
      <c r="F916" s="4">
        <f>ROUND(B916/B915-1,8)</f>
        <v/>
      </c>
      <c r="G916" s="4">
        <f>ROUND(C916/C915-1,8)</f>
        <v/>
      </c>
      <c r="H916" s="4">
        <f>ROUND(D916/100/(DATE(YEAR(A916)+1,1,1)-DATE(YEAR(A916),1,1))*E916,8)</f>
        <v/>
      </c>
      <c r="I916" s="4">
        <f>ROUND(I915*(1+F916),8)</f>
        <v/>
      </c>
      <c r="J916" s="4">
        <f>ROUND(J915*(1+G916),8)</f>
        <v/>
      </c>
      <c r="K916" s="4">
        <f>ROUND(K915+H916,8)</f>
        <v/>
      </c>
      <c r="L916" s="4">
        <f>ROUND(0.9*F916+0.05*G916+0.05*H916,8)</f>
        <v/>
      </c>
    </row>
    <row r="917">
      <c r="A917" s="2" t="n">
        <v>45120</v>
      </c>
      <c r="B917" s="8" t="n">
        <v>2479.39</v>
      </c>
      <c r="C917" s="8" t="n">
        <v>125.1281</v>
      </c>
      <c r="D917" s="8" t="n">
        <v>0.35</v>
      </c>
      <c r="E917">
        <f>A917-A916</f>
        <v/>
      </c>
      <c r="F917" s="4">
        <f>ROUND(B917/B916-1,8)</f>
        <v/>
      </c>
      <c r="G917" s="4">
        <f>ROUND(C917/C916-1,8)</f>
        <v/>
      </c>
      <c r="H917" s="4">
        <f>ROUND(D917/100/(DATE(YEAR(A917)+1,1,1)-DATE(YEAR(A917),1,1))*E917,8)</f>
        <v/>
      </c>
      <c r="I917" s="4">
        <f>ROUND(I916*(1+F917),8)</f>
        <v/>
      </c>
      <c r="J917" s="4">
        <f>ROUND(J916*(1+G917),8)</f>
        <v/>
      </c>
      <c r="K917" s="4">
        <f>ROUND(K916+H917,8)</f>
        <v/>
      </c>
      <c r="L917" s="4">
        <f>ROUND(0.9*F917+0.05*G917+0.05*H917,8)</f>
        <v/>
      </c>
    </row>
    <row r="918">
      <c r="A918" s="2" t="n">
        <v>45121</v>
      </c>
      <c r="B918" s="8" t="n">
        <v>2481.84</v>
      </c>
      <c r="C918" s="8" t="n">
        <v>125.1042</v>
      </c>
      <c r="D918" s="8" t="n">
        <v>0.35</v>
      </c>
      <c r="E918">
        <f>A918-A917</f>
        <v/>
      </c>
      <c r="F918" s="4">
        <f>ROUND(B918/B917-1,8)</f>
        <v/>
      </c>
      <c r="G918" s="4">
        <f>ROUND(C918/C917-1,8)</f>
        <v/>
      </c>
      <c r="H918" s="4">
        <f>ROUND(D918/100/(DATE(YEAR(A918)+1,1,1)-DATE(YEAR(A918),1,1))*E918,8)</f>
        <v/>
      </c>
      <c r="I918" s="4">
        <f>ROUND(I917*(1+F918),8)</f>
        <v/>
      </c>
      <c r="J918" s="4">
        <f>ROUND(J917*(1+G918),8)</f>
        <v/>
      </c>
      <c r="K918" s="4">
        <f>ROUND(K917+H918,8)</f>
        <v/>
      </c>
      <c r="L918" s="4">
        <f>ROUND(0.9*F918+0.05*G918+0.05*H918,8)</f>
        <v/>
      </c>
    </row>
    <row r="919">
      <c r="A919" s="2" t="n">
        <v>45124</v>
      </c>
      <c r="B919" s="8" t="n">
        <v>2475.65</v>
      </c>
      <c r="C919" s="8" t="n">
        <v>125.1287</v>
      </c>
      <c r="D919" s="8" t="n">
        <v>0.35</v>
      </c>
      <c r="E919">
        <f>A919-A918</f>
        <v/>
      </c>
      <c r="F919" s="4">
        <f>ROUND(B919/B918-1,8)</f>
        <v/>
      </c>
      <c r="G919" s="4">
        <f>ROUND(C919/C918-1,8)</f>
        <v/>
      </c>
      <c r="H919" s="4">
        <f>ROUND(D919/100/(DATE(YEAR(A919)+1,1,1)-DATE(YEAR(A919),1,1))*E919,8)</f>
        <v/>
      </c>
      <c r="I919" s="4">
        <f>ROUND(I918*(1+F919),8)</f>
        <v/>
      </c>
      <c r="J919" s="4">
        <f>ROUND(J918*(1+G919),8)</f>
        <v/>
      </c>
      <c r="K919" s="4">
        <f>ROUND(K918+H919,8)</f>
        <v/>
      </c>
      <c r="L919" s="4">
        <f>ROUND(0.9*F919+0.05*G919+0.05*H919,8)</f>
        <v/>
      </c>
    </row>
    <row r="920">
      <c r="A920" s="2" t="n">
        <v>45125</v>
      </c>
      <c r="B920" s="8" t="n">
        <v>2471.49</v>
      </c>
      <c r="C920" s="8" t="n">
        <v>125.162</v>
      </c>
      <c r="D920" s="8" t="n">
        <v>0.35</v>
      </c>
      <c r="E920">
        <f>A920-A919</f>
        <v/>
      </c>
      <c r="F920" s="4">
        <f>ROUND(B920/B919-1,8)</f>
        <v/>
      </c>
      <c r="G920" s="4">
        <f>ROUND(C920/C919-1,8)</f>
        <v/>
      </c>
      <c r="H920" s="4">
        <f>ROUND(D920/100/(DATE(YEAR(A920)+1,1,1)-DATE(YEAR(A920),1,1))*E920,8)</f>
        <v/>
      </c>
      <c r="I920" s="4">
        <f>ROUND(I919*(1+F920),8)</f>
        <v/>
      </c>
      <c r="J920" s="4">
        <f>ROUND(J919*(1+G920),8)</f>
        <v/>
      </c>
      <c r="K920" s="4">
        <f>ROUND(K919+H920,8)</f>
        <v/>
      </c>
      <c r="L920" s="4">
        <f>ROUND(0.9*F920+0.05*G920+0.05*H920,8)</f>
        <v/>
      </c>
    </row>
    <row r="921">
      <c r="A921" s="2" t="n">
        <v>45126</v>
      </c>
      <c r="B921" s="8" t="n">
        <v>2465.87</v>
      </c>
      <c r="C921" s="8" t="n">
        <v>125.1872</v>
      </c>
      <c r="D921" s="8" t="n">
        <v>0.35</v>
      </c>
      <c r="E921">
        <f>A921-A920</f>
        <v/>
      </c>
      <c r="F921" s="4">
        <f>ROUND(B921/B920-1,8)</f>
        <v/>
      </c>
      <c r="G921" s="4">
        <f>ROUND(C921/C920-1,8)</f>
        <v/>
      </c>
      <c r="H921" s="4">
        <f>ROUND(D921/100/(DATE(YEAR(A921)+1,1,1)-DATE(YEAR(A921),1,1))*E921,8)</f>
        <v/>
      </c>
      <c r="I921" s="4">
        <f>ROUND(I920*(1+F921),8)</f>
        <v/>
      </c>
      <c r="J921" s="4">
        <f>ROUND(J920*(1+G921),8)</f>
        <v/>
      </c>
      <c r="K921" s="4">
        <f>ROUND(K920+H921,8)</f>
        <v/>
      </c>
      <c r="L921" s="4">
        <f>ROUND(0.9*F921+0.05*G921+0.05*H921,8)</f>
        <v/>
      </c>
    </row>
    <row r="922">
      <c r="A922" s="2" t="n">
        <v>45127</v>
      </c>
      <c r="B922" s="8" t="n">
        <v>2430.77</v>
      </c>
      <c r="C922" s="8" t="n">
        <v>125.2</v>
      </c>
      <c r="D922" s="8" t="n">
        <v>0.35</v>
      </c>
      <c r="E922">
        <f>A922-A921</f>
        <v/>
      </c>
      <c r="F922" s="4">
        <f>ROUND(B922/B921-1,8)</f>
        <v/>
      </c>
      <c r="G922" s="4">
        <f>ROUND(C922/C921-1,8)</f>
        <v/>
      </c>
      <c r="H922" s="4">
        <f>ROUND(D922/100/(DATE(YEAR(A922)+1,1,1)-DATE(YEAR(A922),1,1))*E922,8)</f>
        <v/>
      </c>
      <c r="I922" s="4">
        <f>ROUND(I921*(1+F922),8)</f>
        <v/>
      </c>
      <c r="J922" s="4">
        <f>ROUND(J921*(1+G922),8)</f>
        <v/>
      </c>
      <c r="K922" s="4">
        <f>ROUND(K921+H922,8)</f>
        <v/>
      </c>
      <c r="L922" s="4">
        <f>ROUND(0.9*F922+0.05*G922+0.05*H922,8)</f>
        <v/>
      </c>
    </row>
    <row r="923">
      <c r="A923" s="2" t="n">
        <v>45128</v>
      </c>
      <c r="B923" s="8" t="n">
        <v>2417.26</v>
      </c>
      <c r="C923" s="8" t="n">
        <v>125.2485</v>
      </c>
      <c r="D923" s="8" t="n">
        <v>0.35</v>
      </c>
      <c r="E923">
        <f>A923-A922</f>
        <v/>
      </c>
      <c r="F923" s="4">
        <f>ROUND(B923/B922-1,8)</f>
        <v/>
      </c>
      <c r="G923" s="4">
        <f>ROUND(C923/C922-1,8)</f>
        <v/>
      </c>
      <c r="H923" s="4">
        <f>ROUND(D923/100/(DATE(YEAR(A923)+1,1,1)-DATE(YEAR(A923),1,1))*E923,8)</f>
        <v/>
      </c>
      <c r="I923" s="4">
        <f>ROUND(I922*(1+F923),8)</f>
        <v/>
      </c>
      <c r="J923" s="4">
        <f>ROUND(J922*(1+G923),8)</f>
        <v/>
      </c>
      <c r="K923" s="4">
        <f>ROUND(K922+H923,8)</f>
        <v/>
      </c>
      <c r="L923" s="4">
        <f>ROUND(0.9*F923+0.05*G923+0.05*H923,8)</f>
        <v/>
      </c>
    </row>
    <row r="924">
      <c r="A924" s="2" t="n">
        <v>45131</v>
      </c>
      <c r="B924" s="8" t="n">
        <v>2420.29</v>
      </c>
      <c r="C924" s="8" t="n">
        <v>125.3057</v>
      </c>
      <c r="D924" s="8" t="n">
        <v>0.35</v>
      </c>
      <c r="E924">
        <f>A924-A923</f>
        <v/>
      </c>
      <c r="F924" s="4">
        <f>ROUND(B924/B923-1,8)</f>
        <v/>
      </c>
      <c r="G924" s="4">
        <f>ROUND(C924/C923-1,8)</f>
        <v/>
      </c>
      <c r="H924" s="4">
        <f>ROUND(D924/100/(DATE(YEAR(A924)+1,1,1)-DATE(YEAR(A924),1,1))*E924,8)</f>
        <v/>
      </c>
      <c r="I924" s="4">
        <f>ROUND(I923*(1+F924),8)</f>
        <v/>
      </c>
      <c r="J924" s="4">
        <f>ROUND(J923*(1+G924),8)</f>
        <v/>
      </c>
      <c r="K924" s="4">
        <f>ROUND(K923+H924,8)</f>
        <v/>
      </c>
      <c r="L924" s="4">
        <f>ROUND(0.9*F924+0.05*G924+0.05*H924,8)</f>
        <v/>
      </c>
    </row>
    <row r="925">
      <c r="A925" s="2" t="n">
        <v>45132</v>
      </c>
      <c r="B925" s="8" t="n">
        <v>2455.91</v>
      </c>
      <c r="C925" s="8" t="n">
        <v>125.138</v>
      </c>
      <c r="D925" s="8" t="n">
        <v>0.35</v>
      </c>
      <c r="E925">
        <f>A925-A924</f>
        <v/>
      </c>
      <c r="F925" s="4">
        <f>ROUND(B925/B924-1,8)</f>
        <v/>
      </c>
      <c r="G925" s="4">
        <f>ROUND(C925/C924-1,8)</f>
        <v/>
      </c>
      <c r="H925" s="4">
        <f>ROUND(D925/100/(DATE(YEAR(A925)+1,1,1)-DATE(YEAR(A925),1,1))*E925,8)</f>
        <v/>
      </c>
      <c r="I925" s="4">
        <f>ROUND(I924*(1+F925),8)</f>
        <v/>
      </c>
      <c r="J925" s="4">
        <f>ROUND(J924*(1+G925),8)</f>
        <v/>
      </c>
      <c r="K925" s="4">
        <f>ROUND(K924+H925,8)</f>
        <v/>
      </c>
      <c r="L925" s="4">
        <f>ROUND(0.9*F925+0.05*G925+0.05*H925,8)</f>
        <v/>
      </c>
    </row>
    <row r="926">
      <c r="A926" s="2" t="n">
        <v>45133</v>
      </c>
      <c r="B926" s="8" t="n">
        <v>2433.67</v>
      </c>
      <c r="C926" s="8" t="n">
        <v>125.1378</v>
      </c>
      <c r="D926" s="8" t="n">
        <v>0.35</v>
      </c>
      <c r="E926">
        <f>A926-A925</f>
        <v/>
      </c>
      <c r="F926" s="4">
        <f>ROUND(B926/B925-1,8)</f>
        <v/>
      </c>
      <c r="G926" s="4">
        <f>ROUND(C926/C925-1,8)</f>
        <v/>
      </c>
      <c r="H926" s="4">
        <f>ROUND(D926/100/(DATE(YEAR(A926)+1,1,1)-DATE(YEAR(A926),1,1))*E926,8)</f>
        <v/>
      </c>
      <c r="I926" s="4">
        <f>ROUND(I925*(1+F926),8)</f>
        <v/>
      </c>
      <c r="J926" s="4">
        <f>ROUND(J925*(1+G926),8)</f>
        <v/>
      </c>
      <c r="K926" s="4">
        <f>ROUND(K925+H926,8)</f>
        <v/>
      </c>
      <c r="L926" s="4">
        <f>ROUND(0.9*F926+0.05*G926+0.05*H926,8)</f>
        <v/>
      </c>
    </row>
    <row r="927">
      <c r="A927" s="2" t="n">
        <v>45134</v>
      </c>
      <c r="B927" s="8" t="n">
        <v>2414.19</v>
      </c>
      <c r="C927" s="8" t="n">
        <v>125.1985</v>
      </c>
      <c r="D927" s="8" t="n">
        <v>0.35</v>
      </c>
      <c r="E927">
        <f>A927-A926</f>
        <v/>
      </c>
      <c r="F927" s="4">
        <f>ROUND(B927/B926-1,8)</f>
        <v/>
      </c>
      <c r="G927" s="4">
        <f>ROUND(C927/C926-1,8)</f>
        <v/>
      </c>
      <c r="H927" s="4">
        <f>ROUND(D927/100/(DATE(YEAR(A927)+1,1,1)-DATE(YEAR(A927),1,1))*E927,8)</f>
        <v/>
      </c>
      <c r="I927" s="4">
        <f>ROUND(I926*(1+F927),8)</f>
        <v/>
      </c>
      <c r="J927" s="4">
        <f>ROUND(J926*(1+G927),8)</f>
        <v/>
      </c>
      <c r="K927" s="4">
        <f>ROUND(K926+H927,8)</f>
        <v/>
      </c>
      <c r="L927" s="4">
        <f>ROUND(0.9*F927+0.05*G927+0.05*H927,8)</f>
        <v/>
      </c>
    </row>
    <row r="928">
      <c r="A928" s="2" t="n">
        <v>45135</v>
      </c>
      <c r="B928" s="8" t="n">
        <v>2422.43</v>
      </c>
      <c r="C928" s="8" t="n">
        <v>125.1992</v>
      </c>
      <c r="D928" s="8" t="n">
        <v>0.35</v>
      </c>
      <c r="E928">
        <f>A928-A927</f>
        <v/>
      </c>
      <c r="F928" s="4">
        <f>ROUND(B928/B927-1,8)</f>
        <v/>
      </c>
      <c r="G928" s="4">
        <f>ROUND(C928/C927-1,8)</f>
        <v/>
      </c>
      <c r="H928" s="4">
        <f>ROUND(D928/100/(DATE(YEAR(A928)+1,1,1)-DATE(YEAR(A928),1,1))*E928,8)</f>
        <v/>
      </c>
      <c r="I928" s="4">
        <f>ROUND(I927*(1+F928),8)</f>
        <v/>
      </c>
      <c r="J928" s="4">
        <f>ROUND(J927*(1+G928),8)</f>
        <v/>
      </c>
      <c r="K928" s="4">
        <f>ROUND(K927+H928,8)</f>
        <v/>
      </c>
      <c r="L928" s="4">
        <f>ROUND(0.9*F928+0.05*G928+0.05*H928,8)</f>
        <v/>
      </c>
    </row>
    <row r="929">
      <c r="A929" s="2" t="n">
        <v>45138</v>
      </c>
      <c r="B929" s="8" t="n">
        <v>2445.07</v>
      </c>
      <c r="C929" s="8" t="n">
        <v>125.1604</v>
      </c>
      <c r="D929" s="8" t="n">
        <v>0.35</v>
      </c>
      <c r="E929">
        <f>A929-A928</f>
        <v/>
      </c>
      <c r="F929" s="4">
        <f>ROUND(B929/B928-1,8)</f>
        <v/>
      </c>
      <c r="G929" s="4">
        <f>ROUND(C929/C928-1,8)</f>
        <v/>
      </c>
      <c r="H929" s="4">
        <f>ROUND(D929/100/(DATE(YEAR(A929)+1,1,1)-DATE(YEAR(A929),1,1))*E929,8)</f>
        <v/>
      </c>
      <c r="I929" s="4">
        <f>ROUND(I928*(1+F929),8)</f>
        <v/>
      </c>
      <c r="J929" s="4">
        <f>ROUND(J928*(1+G929),8)</f>
        <v/>
      </c>
      <c r="K929" s="4">
        <f>ROUND(K928+H929,8)</f>
        <v/>
      </c>
      <c r="L929" s="4">
        <f>ROUND(0.9*F929+0.05*G929+0.05*H929,8)</f>
        <v/>
      </c>
    </row>
    <row r="930">
      <c r="A930" s="2" t="n">
        <v>45139</v>
      </c>
      <c r="B930" s="8" t="n">
        <v>2437.45</v>
      </c>
      <c r="C930" s="8" t="n">
        <v>125.186</v>
      </c>
      <c r="D930" s="8" t="n">
        <v>0.35</v>
      </c>
      <c r="E930">
        <f>A930-A929</f>
        <v/>
      </c>
      <c r="F930" s="4">
        <f>ROUND(B930/B929-1,8)</f>
        <v/>
      </c>
      <c r="G930" s="4">
        <f>ROUND(C930/C929-1,8)</f>
        <v/>
      </c>
      <c r="H930" s="4">
        <f>ROUND(D930/100/(DATE(YEAR(A930)+1,1,1)-DATE(YEAR(A930),1,1))*E930,8)</f>
        <v/>
      </c>
      <c r="I930" s="4">
        <f>ROUND(I929*(1+F930),8)</f>
        <v/>
      </c>
      <c r="J930" s="4">
        <f>ROUND(J929*(1+G930),8)</f>
        <v/>
      </c>
      <c r="K930" s="4">
        <f>ROUND(K929+H930,8)</f>
        <v/>
      </c>
      <c r="L930" s="4">
        <f>ROUND(0.9*F930+0.05*G930+0.05*H930,8)</f>
        <v/>
      </c>
    </row>
    <row r="931">
      <c r="A931" s="2" t="n">
        <v>45140</v>
      </c>
      <c r="B931" s="8" t="n">
        <v>2437.04</v>
      </c>
      <c r="C931" s="8" t="n">
        <v>125.2226</v>
      </c>
      <c r="D931" s="8" t="n">
        <v>0.35</v>
      </c>
      <c r="E931">
        <f>A931-A930</f>
        <v/>
      </c>
      <c r="F931" s="4">
        <f>ROUND(B931/B930-1,8)</f>
        <v/>
      </c>
      <c r="G931" s="4">
        <f>ROUND(C931/C930-1,8)</f>
        <v/>
      </c>
      <c r="H931" s="4">
        <f>ROUND(D931/100/(DATE(YEAR(A931)+1,1,1)-DATE(YEAR(A931),1,1))*E931,8)</f>
        <v/>
      </c>
      <c r="I931" s="4">
        <f>ROUND(I930*(1+F931),8)</f>
        <v/>
      </c>
      <c r="J931" s="4">
        <f>ROUND(J930*(1+G931),8)</f>
        <v/>
      </c>
      <c r="K931" s="4">
        <f>ROUND(K930+H931,8)</f>
        <v/>
      </c>
      <c r="L931" s="4">
        <f>ROUND(0.9*F931+0.05*G931+0.05*H931,8)</f>
        <v/>
      </c>
    </row>
    <row r="932">
      <c r="A932" s="2" t="n">
        <v>45141</v>
      </c>
      <c r="B932" s="8" t="n">
        <v>2431.13</v>
      </c>
      <c r="C932" s="8" t="n">
        <v>125.2727</v>
      </c>
      <c r="D932" s="8" t="n">
        <v>0.35</v>
      </c>
      <c r="E932">
        <f>A932-A931</f>
        <v/>
      </c>
      <c r="F932" s="4">
        <f>ROUND(B932/B931-1,8)</f>
        <v/>
      </c>
      <c r="G932" s="4">
        <f>ROUND(C932/C931-1,8)</f>
        <v/>
      </c>
      <c r="H932" s="4">
        <f>ROUND(D932/100/(DATE(YEAR(A932)+1,1,1)-DATE(YEAR(A932),1,1))*E932,8)</f>
        <v/>
      </c>
      <c r="I932" s="4">
        <f>ROUND(I931*(1+F932),8)</f>
        <v/>
      </c>
      <c r="J932" s="4">
        <f>ROUND(J931*(1+G932),8)</f>
        <v/>
      </c>
      <c r="K932" s="4">
        <f>ROUND(K931+H932,8)</f>
        <v/>
      </c>
      <c r="L932" s="4">
        <f>ROUND(0.9*F932+0.05*G932+0.05*H932,8)</f>
        <v/>
      </c>
    </row>
    <row r="933">
      <c r="A933" s="2" t="n">
        <v>45142</v>
      </c>
      <c r="B933" s="8" t="n">
        <v>2437.76</v>
      </c>
      <c r="C933" s="8" t="n">
        <v>125.2867</v>
      </c>
      <c r="D933" s="8" t="n">
        <v>0.35</v>
      </c>
      <c r="E933">
        <f>A933-A932</f>
        <v/>
      </c>
      <c r="F933" s="4">
        <f>ROUND(B933/B932-1,8)</f>
        <v/>
      </c>
      <c r="G933" s="4">
        <f>ROUND(C933/C932-1,8)</f>
        <v/>
      </c>
      <c r="H933" s="4">
        <f>ROUND(D933/100/(DATE(YEAR(A933)+1,1,1)-DATE(YEAR(A933),1,1))*E933,8)</f>
        <v/>
      </c>
      <c r="I933" s="4">
        <f>ROUND(I932*(1+F933),8)</f>
        <v/>
      </c>
      <c r="J933" s="4">
        <f>ROUND(J932*(1+G933),8)</f>
        <v/>
      </c>
      <c r="K933" s="4">
        <f>ROUND(K932+H933,8)</f>
        <v/>
      </c>
      <c r="L933" s="4">
        <f>ROUND(0.9*F933+0.05*G933+0.05*H933,8)</f>
        <v/>
      </c>
    </row>
    <row r="934">
      <c r="A934" s="2" t="n">
        <v>45145</v>
      </c>
      <c r="B934" s="8" t="n">
        <v>2427.85</v>
      </c>
      <c r="C934" s="8" t="n">
        <v>125.3218</v>
      </c>
      <c r="D934" s="8" t="n">
        <v>0.35</v>
      </c>
      <c r="E934">
        <f>A934-A933</f>
        <v/>
      </c>
      <c r="F934" s="4">
        <f>ROUND(B934/B933-1,8)</f>
        <v/>
      </c>
      <c r="G934" s="4">
        <f>ROUND(C934/C933-1,8)</f>
        <v/>
      </c>
      <c r="H934" s="4">
        <f>ROUND(D934/100/(DATE(YEAR(A934)+1,1,1)-DATE(YEAR(A934),1,1))*E934,8)</f>
        <v/>
      </c>
      <c r="I934" s="4">
        <f>ROUND(I933*(1+F934),8)</f>
        <v/>
      </c>
      <c r="J934" s="4">
        <f>ROUND(J933*(1+G934),8)</f>
        <v/>
      </c>
      <c r="K934" s="4">
        <f>ROUND(K933+H934,8)</f>
        <v/>
      </c>
      <c r="L934" s="4">
        <f>ROUND(0.9*F934+0.05*G934+0.05*H934,8)</f>
        <v/>
      </c>
    </row>
    <row r="935">
      <c r="A935" s="2" t="n">
        <v>45146</v>
      </c>
      <c r="B935" s="8" t="n">
        <v>2421.38</v>
      </c>
      <c r="C935" s="8" t="n">
        <v>125.3376</v>
      </c>
      <c r="D935" s="8" t="n">
        <v>0.35</v>
      </c>
      <c r="E935">
        <f>A935-A934</f>
        <v/>
      </c>
      <c r="F935" s="4">
        <f>ROUND(B935/B934-1,8)</f>
        <v/>
      </c>
      <c r="G935" s="4">
        <f>ROUND(C935/C934-1,8)</f>
        <v/>
      </c>
      <c r="H935" s="4">
        <f>ROUND(D935/100/(DATE(YEAR(A935)+1,1,1)-DATE(YEAR(A935),1,1))*E935,8)</f>
        <v/>
      </c>
      <c r="I935" s="4">
        <f>ROUND(I934*(1+F935),8)</f>
        <v/>
      </c>
      <c r="J935" s="4">
        <f>ROUND(J934*(1+G935),8)</f>
        <v/>
      </c>
      <c r="K935" s="4">
        <f>ROUND(K934+H935,8)</f>
        <v/>
      </c>
      <c r="L935" s="4">
        <f>ROUND(0.9*F935+0.05*G935+0.05*H935,8)</f>
        <v/>
      </c>
    </row>
    <row r="936">
      <c r="A936" s="2" t="n">
        <v>45147</v>
      </c>
      <c r="B936" s="8" t="n">
        <v>2393.07</v>
      </c>
      <c r="C936" s="8" t="n">
        <v>125.3471</v>
      </c>
      <c r="D936" s="8" t="n">
        <v>0.35</v>
      </c>
      <c r="E936">
        <f>A936-A935</f>
        <v/>
      </c>
      <c r="F936" s="4">
        <f>ROUND(B936/B935-1,8)</f>
        <v/>
      </c>
      <c r="G936" s="4">
        <f>ROUND(C936/C935-1,8)</f>
        <v/>
      </c>
      <c r="H936" s="4">
        <f>ROUND(D936/100/(DATE(YEAR(A936)+1,1,1)-DATE(YEAR(A936),1,1))*E936,8)</f>
        <v/>
      </c>
      <c r="I936" s="4">
        <f>ROUND(I935*(1+F936),8)</f>
        <v/>
      </c>
      <c r="J936" s="4">
        <f>ROUND(J935*(1+G936),8)</f>
        <v/>
      </c>
      <c r="K936" s="4">
        <f>ROUND(K935+H936,8)</f>
        <v/>
      </c>
      <c r="L936" s="4">
        <f>ROUND(0.9*F936+0.05*G936+0.05*H936,8)</f>
        <v/>
      </c>
    </row>
    <row r="937">
      <c r="A937" s="2" t="n">
        <v>45148</v>
      </c>
      <c r="B937" s="8" t="n">
        <v>2397.58</v>
      </c>
      <c r="C937" s="8" t="n">
        <v>125.3438</v>
      </c>
      <c r="D937" s="8" t="n">
        <v>0.35</v>
      </c>
      <c r="E937">
        <f>A937-A936</f>
        <v/>
      </c>
      <c r="F937" s="4">
        <f>ROUND(B937/B936-1,8)</f>
        <v/>
      </c>
      <c r="G937" s="4">
        <f>ROUND(C937/C936-1,8)</f>
        <v/>
      </c>
      <c r="H937" s="4">
        <f>ROUND(D937/100/(DATE(YEAR(A937)+1,1,1)-DATE(YEAR(A937),1,1))*E937,8)</f>
        <v/>
      </c>
      <c r="I937" s="4">
        <f>ROUND(I936*(1+F937),8)</f>
        <v/>
      </c>
      <c r="J937" s="4">
        <f>ROUND(J936*(1+G937),8)</f>
        <v/>
      </c>
      <c r="K937" s="4">
        <f>ROUND(K936+H937,8)</f>
        <v/>
      </c>
      <c r="L937" s="4">
        <f>ROUND(0.9*F937+0.05*G937+0.05*H937,8)</f>
        <v/>
      </c>
    </row>
    <row r="938">
      <c r="A938" s="2" t="n">
        <v>45149</v>
      </c>
      <c r="B938" s="8" t="n">
        <v>2358.88</v>
      </c>
      <c r="C938" s="8" t="n">
        <v>125.3609</v>
      </c>
      <c r="D938" s="8" t="n">
        <v>0.35</v>
      </c>
      <c r="E938">
        <f>A938-A937</f>
        <v/>
      </c>
      <c r="F938" s="4">
        <f>ROUND(B938/B937-1,8)</f>
        <v/>
      </c>
      <c r="G938" s="4">
        <f>ROUND(C938/C937-1,8)</f>
        <v/>
      </c>
      <c r="H938" s="4">
        <f>ROUND(D938/100/(DATE(YEAR(A938)+1,1,1)-DATE(YEAR(A938),1,1))*E938,8)</f>
        <v/>
      </c>
      <c r="I938" s="4">
        <f>ROUND(I937*(1+F938),8)</f>
        <v/>
      </c>
      <c r="J938" s="4">
        <f>ROUND(J937*(1+G938),8)</f>
        <v/>
      </c>
      <c r="K938" s="4">
        <f>ROUND(K937+H938,8)</f>
        <v/>
      </c>
      <c r="L938" s="4">
        <f>ROUND(0.9*F938+0.05*G938+0.05*H938,8)</f>
        <v/>
      </c>
    </row>
    <row r="939">
      <c r="A939" s="2" t="n">
        <v>45152</v>
      </c>
      <c r="B939" s="8" t="n">
        <v>2376.05</v>
      </c>
      <c r="C939" s="8" t="n">
        <v>125.4193</v>
      </c>
      <c r="D939" s="8" t="n">
        <v>0.35</v>
      </c>
      <c r="E939">
        <f>A939-A938</f>
        <v/>
      </c>
      <c r="F939" s="4">
        <f>ROUND(B939/B938-1,8)</f>
        <v/>
      </c>
      <c r="G939" s="4">
        <f>ROUND(C939/C938-1,8)</f>
        <v/>
      </c>
      <c r="H939" s="4">
        <f>ROUND(D939/100/(DATE(YEAR(A939)+1,1,1)-DATE(YEAR(A939),1,1))*E939,8)</f>
        <v/>
      </c>
      <c r="I939" s="4">
        <f>ROUND(I938*(1+F939),8)</f>
        <v/>
      </c>
      <c r="J939" s="4">
        <f>ROUND(J938*(1+G939),8)</f>
        <v/>
      </c>
      <c r="K939" s="4">
        <f>ROUND(K938+H939,8)</f>
        <v/>
      </c>
      <c r="L939" s="4">
        <f>ROUND(0.9*F939+0.05*G939+0.05*H939,8)</f>
        <v/>
      </c>
    </row>
    <row r="940">
      <c r="A940" s="2" t="n">
        <v>45153</v>
      </c>
      <c r="B940" s="8" t="n">
        <v>2356.55</v>
      </c>
      <c r="C940" s="8" t="n">
        <v>125.5887</v>
      </c>
      <c r="D940" s="8" t="n">
        <v>0.35</v>
      </c>
      <c r="E940">
        <f>A940-A939</f>
        <v/>
      </c>
      <c r="F940" s="4">
        <f>ROUND(B940/B939-1,8)</f>
        <v/>
      </c>
      <c r="G940" s="4">
        <f>ROUND(C940/C939-1,8)</f>
        <v/>
      </c>
      <c r="H940" s="4">
        <f>ROUND(D940/100/(DATE(YEAR(A940)+1,1,1)-DATE(YEAR(A940),1,1))*E940,8)</f>
        <v/>
      </c>
      <c r="I940" s="4">
        <f>ROUND(I939*(1+F940),8)</f>
        <v/>
      </c>
      <c r="J940" s="4">
        <f>ROUND(J939*(1+G940),8)</f>
        <v/>
      </c>
      <c r="K940" s="4">
        <f>ROUND(K939+H940,8)</f>
        <v/>
      </c>
      <c r="L940" s="4">
        <f>ROUND(0.9*F940+0.05*G940+0.05*H940,8)</f>
        <v/>
      </c>
    </row>
    <row r="941">
      <c r="A941" s="2" t="n">
        <v>45154</v>
      </c>
      <c r="B941" s="8" t="n">
        <v>2327.84</v>
      </c>
      <c r="C941" s="8" t="n">
        <v>125.6607</v>
      </c>
      <c r="D941" s="8" t="n">
        <v>0.35</v>
      </c>
      <c r="E941">
        <f>A941-A940</f>
        <v/>
      </c>
      <c r="F941" s="4">
        <f>ROUND(B941/B940-1,8)</f>
        <v/>
      </c>
      <c r="G941" s="4">
        <f>ROUND(C941/C940-1,8)</f>
        <v/>
      </c>
      <c r="H941" s="4">
        <f>ROUND(D941/100/(DATE(YEAR(A941)+1,1,1)-DATE(YEAR(A941),1,1))*E941,8)</f>
        <v/>
      </c>
      <c r="I941" s="4">
        <f>ROUND(I940*(1+F941),8)</f>
        <v/>
      </c>
      <c r="J941" s="4">
        <f>ROUND(J940*(1+G941),8)</f>
        <v/>
      </c>
      <c r="K941" s="4">
        <f>ROUND(K940+H941,8)</f>
        <v/>
      </c>
      <c r="L941" s="4">
        <f>ROUND(0.9*F941+0.05*G941+0.05*H941,8)</f>
        <v/>
      </c>
    </row>
    <row r="942">
      <c r="A942" s="2" t="n">
        <v>45155</v>
      </c>
      <c r="B942" s="8" t="n">
        <v>2363.49</v>
      </c>
      <c r="C942" s="8" t="n">
        <v>125.6774</v>
      </c>
      <c r="D942" s="8" t="n">
        <v>0.35</v>
      </c>
      <c r="E942">
        <f>A942-A941</f>
        <v/>
      </c>
      <c r="F942" s="4">
        <f>ROUND(B942/B941-1,8)</f>
        <v/>
      </c>
      <c r="G942" s="4">
        <f>ROUND(C942/C941-1,8)</f>
        <v/>
      </c>
      <c r="H942" s="4">
        <f>ROUND(D942/100/(DATE(YEAR(A942)+1,1,1)-DATE(YEAR(A942),1,1))*E942,8)</f>
        <v/>
      </c>
      <c r="I942" s="4">
        <f>ROUND(I941*(1+F942),8)</f>
        <v/>
      </c>
      <c r="J942" s="4">
        <f>ROUND(J941*(1+G942),8)</f>
        <v/>
      </c>
      <c r="K942" s="4">
        <f>ROUND(K941+H942,8)</f>
        <v/>
      </c>
      <c r="L942" s="4">
        <f>ROUND(0.9*F942+0.05*G942+0.05*H942,8)</f>
        <v/>
      </c>
    </row>
    <row r="943">
      <c r="A943" s="2" t="n">
        <v>45156</v>
      </c>
      <c r="B943" s="8" t="n">
        <v>2322.25</v>
      </c>
      <c r="C943" s="8" t="n">
        <v>125.7168</v>
      </c>
      <c r="D943" s="8" t="n">
        <v>0.35</v>
      </c>
      <c r="E943">
        <f>A943-A942</f>
        <v/>
      </c>
      <c r="F943" s="4">
        <f>ROUND(B943/B942-1,8)</f>
        <v/>
      </c>
      <c r="G943" s="4">
        <f>ROUND(C943/C942-1,8)</f>
        <v/>
      </c>
      <c r="H943" s="4">
        <f>ROUND(D943/100/(DATE(YEAR(A943)+1,1,1)-DATE(YEAR(A943),1,1))*E943,8)</f>
        <v/>
      </c>
      <c r="I943" s="4">
        <f>ROUND(I942*(1+F943),8)</f>
        <v/>
      </c>
      <c r="J943" s="4">
        <f>ROUND(J942*(1+G943),8)</f>
        <v/>
      </c>
      <c r="K943" s="4">
        <f>ROUND(K942+H943,8)</f>
        <v/>
      </c>
      <c r="L943" s="4">
        <f>ROUND(0.9*F943+0.05*G943+0.05*H943,8)</f>
        <v/>
      </c>
    </row>
    <row r="944">
      <c r="A944" s="2" t="n">
        <v>45159</v>
      </c>
      <c r="B944" s="8" t="n">
        <v>2311.56</v>
      </c>
      <c r="C944" s="8" t="n">
        <v>125.8138</v>
      </c>
      <c r="D944" s="8" t="n">
        <v>0.35</v>
      </c>
      <c r="E944">
        <f>A944-A943</f>
        <v/>
      </c>
      <c r="F944" s="4">
        <f>ROUND(B944/B943-1,8)</f>
        <v/>
      </c>
      <c r="G944" s="4">
        <f>ROUND(C944/C943-1,8)</f>
        <v/>
      </c>
      <c r="H944" s="4">
        <f>ROUND(D944/100/(DATE(YEAR(A944)+1,1,1)-DATE(YEAR(A944),1,1))*E944,8)</f>
        <v/>
      </c>
      <c r="I944" s="4">
        <f>ROUND(I943*(1+F944),8)</f>
        <v/>
      </c>
      <c r="J944" s="4">
        <f>ROUND(J943*(1+G944),8)</f>
        <v/>
      </c>
      <c r="K944" s="4">
        <f>ROUND(K943+H944,8)</f>
        <v/>
      </c>
      <c r="L944" s="4">
        <f>ROUND(0.9*F944+0.05*G944+0.05*H944,8)</f>
        <v/>
      </c>
    </row>
    <row r="945">
      <c r="A945" s="2" t="n">
        <v>45160</v>
      </c>
      <c r="B945" s="8" t="n">
        <v>2328.53</v>
      </c>
      <c r="C945" s="8" t="n">
        <v>125.8223</v>
      </c>
      <c r="D945" s="8" t="n">
        <v>0.35</v>
      </c>
      <c r="E945">
        <f>A945-A944</f>
        <v/>
      </c>
      <c r="F945" s="4">
        <f>ROUND(B945/B944-1,8)</f>
        <v/>
      </c>
      <c r="G945" s="4">
        <f>ROUND(C945/C944-1,8)</f>
        <v/>
      </c>
      <c r="H945" s="4">
        <f>ROUND(D945/100/(DATE(YEAR(A945)+1,1,1)-DATE(YEAR(A945),1,1))*E945,8)</f>
        <v/>
      </c>
      <c r="I945" s="4">
        <f>ROUND(I944*(1+F945),8)</f>
        <v/>
      </c>
      <c r="J945" s="4">
        <f>ROUND(J944*(1+G945),8)</f>
        <v/>
      </c>
      <c r="K945" s="4">
        <f>ROUND(K944+H945,8)</f>
        <v/>
      </c>
      <c r="L945" s="4">
        <f>ROUND(0.9*F945+0.05*G945+0.05*H945,8)</f>
        <v/>
      </c>
    </row>
    <row r="946">
      <c r="A946" s="2" t="n">
        <v>45161</v>
      </c>
      <c r="B946" s="8" t="n">
        <v>2289.64</v>
      </c>
      <c r="C946" s="8" t="n">
        <v>125.8274</v>
      </c>
      <c r="D946" s="8" t="n">
        <v>0.35</v>
      </c>
      <c r="E946">
        <f>A946-A945</f>
        <v/>
      </c>
      <c r="F946" s="4">
        <f>ROUND(B946/B945-1,8)</f>
        <v/>
      </c>
      <c r="G946" s="4">
        <f>ROUND(C946/C945-1,8)</f>
        <v/>
      </c>
      <c r="H946" s="4">
        <f>ROUND(D946/100/(DATE(YEAR(A946)+1,1,1)-DATE(YEAR(A946),1,1))*E946,8)</f>
        <v/>
      </c>
      <c r="I946" s="4">
        <f>ROUND(I945*(1+F946),8)</f>
        <v/>
      </c>
      <c r="J946" s="4">
        <f>ROUND(J945*(1+G946),8)</f>
        <v/>
      </c>
      <c r="K946" s="4">
        <f>ROUND(K945+H946,8)</f>
        <v/>
      </c>
      <c r="L946" s="4">
        <f>ROUND(0.9*F946+0.05*G946+0.05*H946,8)</f>
        <v/>
      </c>
    </row>
    <row r="947">
      <c r="A947" s="2" t="n">
        <v>45162</v>
      </c>
      <c r="B947" s="8" t="n">
        <v>2290.25</v>
      </c>
      <c r="C947" s="8" t="n">
        <v>125.8227</v>
      </c>
      <c r="D947" s="8" t="n">
        <v>0.35</v>
      </c>
      <c r="E947">
        <f>A947-A946</f>
        <v/>
      </c>
      <c r="F947" s="4">
        <f>ROUND(B947/B946-1,8)</f>
        <v/>
      </c>
      <c r="G947" s="4">
        <f>ROUND(C947/C946-1,8)</f>
        <v/>
      </c>
      <c r="H947" s="4">
        <f>ROUND(D947/100/(DATE(YEAR(A947)+1,1,1)-DATE(YEAR(A947),1,1))*E947,8)</f>
        <v/>
      </c>
      <c r="I947" s="4">
        <f>ROUND(I946*(1+F947),8)</f>
        <v/>
      </c>
      <c r="J947" s="4">
        <f>ROUND(J946*(1+G947),8)</f>
        <v/>
      </c>
      <c r="K947" s="4">
        <f>ROUND(K946+H947,8)</f>
        <v/>
      </c>
      <c r="L947" s="4">
        <f>ROUND(0.9*F947+0.05*G947+0.05*H947,8)</f>
        <v/>
      </c>
    </row>
    <row r="948">
      <c r="A948" s="2" t="n">
        <v>45163</v>
      </c>
      <c r="B948" s="8" t="n">
        <v>2237.19</v>
      </c>
      <c r="C948" s="8" t="n">
        <v>125.7684</v>
      </c>
      <c r="D948" s="8" t="n">
        <v>0.35</v>
      </c>
      <c r="E948">
        <f>A948-A947</f>
        <v/>
      </c>
      <c r="F948" s="4">
        <f>ROUND(B948/B947-1,8)</f>
        <v/>
      </c>
      <c r="G948" s="4">
        <f>ROUND(C948/C947-1,8)</f>
        <v/>
      </c>
      <c r="H948" s="4">
        <f>ROUND(D948/100/(DATE(YEAR(A948)+1,1,1)-DATE(YEAR(A948),1,1))*E948,8)</f>
        <v/>
      </c>
      <c r="I948" s="4">
        <f>ROUND(I947*(1+F948),8)</f>
        <v/>
      </c>
      <c r="J948" s="4">
        <f>ROUND(J947*(1+G948),8)</f>
        <v/>
      </c>
      <c r="K948" s="4">
        <f>ROUND(K947+H948,8)</f>
        <v/>
      </c>
      <c r="L948" s="4">
        <f>ROUND(0.9*F948+0.05*G948+0.05*H948,8)</f>
        <v/>
      </c>
    </row>
    <row r="949">
      <c r="A949" s="2" t="n">
        <v>45166</v>
      </c>
      <c r="B949" s="8" t="n">
        <v>2256.52</v>
      </c>
      <c r="C949" s="8" t="n">
        <v>125.6866</v>
      </c>
      <c r="D949" s="8" t="n">
        <v>0.35</v>
      </c>
      <c r="E949">
        <f>A949-A948</f>
        <v/>
      </c>
      <c r="F949" s="4">
        <f>ROUND(B949/B948-1,8)</f>
        <v/>
      </c>
      <c r="G949" s="4">
        <f>ROUND(C949/C948-1,8)</f>
        <v/>
      </c>
      <c r="H949" s="4">
        <f>ROUND(D949/100/(DATE(YEAR(A949)+1,1,1)-DATE(YEAR(A949),1,1))*E949,8)</f>
        <v/>
      </c>
      <c r="I949" s="4">
        <f>ROUND(I948*(1+F949),8)</f>
        <v/>
      </c>
      <c r="J949" s="4">
        <f>ROUND(J948*(1+G949),8)</f>
        <v/>
      </c>
      <c r="K949" s="4">
        <f>ROUND(K948+H949,8)</f>
        <v/>
      </c>
      <c r="L949" s="4">
        <f>ROUND(0.9*F949+0.05*G949+0.05*H949,8)</f>
        <v/>
      </c>
    </row>
    <row r="950">
      <c r="A950" s="2" t="n">
        <v>45167</v>
      </c>
      <c r="B950" s="8" t="n">
        <v>2341.12</v>
      </c>
      <c r="C950" s="8" t="n">
        <v>125.6531</v>
      </c>
      <c r="D950" s="8" t="n">
        <v>0.35</v>
      </c>
      <c r="E950">
        <f>A950-A949</f>
        <v/>
      </c>
      <c r="F950" s="4">
        <f>ROUND(B950/B949-1,8)</f>
        <v/>
      </c>
      <c r="G950" s="4">
        <f>ROUND(C950/C949-1,8)</f>
        <v/>
      </c>
      <c r="H950" s="4">
        <f>ROUND(D950/100/(DATE(YEAR(A950)+1,1,1)-DATE(YEAR(A950),1,1))*E950,8)</f>
        <v/>
      </c>
      <c r="I950" s="4">
        <f>ROUND(I949*(1+F950),8)</f>
        <v/>
      </c>
      <c r="J950" s="4">
        <f>ROUND(J949*(1+G950),8)</f>
        <v/>
      </c>
      <c r="K950" s="4">
        <f>ROUND(K949+H950,8)</f>
        <v/>
      </c>
      <c r="L950" s="4">
        <f>ROUND(0.9*F950+0.05*G950+0.05*H950,8)</f>
        <v/>
      </c>
    </row>
    <row r="951">
      <c r="A951" s="2" t="n">
        <v>45168</v>
      </c>
      <c r="B951" s="8" t="n">
        <v>2362.78</v>
      </c>
      <c r="C951" s="8" t="n">
        <v>125.6489</v>
      </c>
      <c r="D951" s="8" t="n">
        <v>0.35</v>
      </c>
      <c r="E951">
        <f>A951-A950</f>
        <v/>
      </c>
      <c r="F951" s="4">
        <f>ROUND(B951/B950-1,8)</f>
        <v/>
      </c>
      <c r="G951" s="4">
        <f>ROUND(C951/C950-1,8)</f>
        <v/>
      </c>
      <c r="H951" s="4">
        <f>ROUND(D951/100/(DATE(YEAR(A951)+1,1,1)-DATE(YEAR(A951),1,1))*E951,8)</f>
        <v/>
      </c>
      <c r="I951" s="4">
        <f>ROUND(I950*(1+F951),8)</f>
        <v/>
      </c>
      <c r="J951" s="4">
        <f>ROUND(J950*(1+G951),8)</f>
        <v/>
      </c>
      <c r="K951" s="4">
        <f>ROUND(K950+H951,8)</f>
        <v/>
      </c>
      <c r="L951" s="4">
        <f>ROUND(0.9*F951+0.05*G951+0.05*H951,8)</f>
        <v/>
      </c>
    </row>
    <row r="952">
      <c r="A952" s="2" t="n">
        <v>45169</v>
      </c>
      <c r="B952" s="8" t="n">
        <v>2349.25</v>
      </c>
      <c r="C952" s="8" t="n">
        <v>125.6781</v>
      </c>
      <c r="D952" s="8" t="n">
        <v>0.35</v>
      </c>
      <c r="E952">
        <f>A952-A951</f>
        <v/>
      </c>
      <c r="F952" s="4">
        <f>ROUND(B952/B951-1,8)</f>
        <v/>
      </c>
      <c r="G952" s="4">
        <f>ROUND(C952/C951-1,8)</f>
        <v/>
      </c>
      <c r="H952" s="4">
        <f>ROUND(D952/100/(DATE(YEAR(A952)+1,1,1)-DATE(YEAR(A952),1,1))*E952,8)</f>
        <v/>
      </c>
      <c r="I952" s="4">
        <f>ROUND(I951*(1+F952),8)</f>
        <v/>
      </c>
      <c r="J952" s="4">
        <f>ROUND(J951*(1+G952),8)</f>
        <v/>
      </c>
      <c r="K952" s="4">
        <f>ROUND(K951+H952,8)</f>
        <v/>
      </c>
      <c r="L952" s="4">
        <f>ROUND(0.9*F952+0.05*G952+0.05*H952,8)</f>
        <v/>
      </c>
    </row>
    <row r="953">
      <c r="A953" s="2" t="n">
        <v>45170</v>
      </c>
      <c r="B953" s="8" t="n">
        <v>2347.64</v>
      </c>
      <c r="C953" s="8" t="n">
        <v>125.6087</v>
      </c>
      <c r="D953" s="8" t="n">
        <v>0.35</v>
      </c>
      <c r="E953">
        <f>A953-A952</f>
        <v/>
      </c>
      <c r="F953" s="4">
        <f>ROUND(B953/B952-1,8)</f>
        <v/>
      </c>
      <c r="G953" s="4">
        <f>ROUND(C953/C952-1,8)</f>
        <v/>
      </c>
      <c r="H953" s="4">
        <f>ROUND(D953/100/(DATE(YEAR(A953)+1,1,1)-DATE(YEAR(A953),1,1))*E953,8)</f>
        <v/>
      </c>
      <c r="I953" s="4">
        <f>ROUND(I952*(1+F953),8)</f>
        <v/>
      </c>
      <c r="J953" s="4">
        <f>ROUND(J952*(1+G953),8)</f>
        <v/>
      </c>
      <c r="K953" s="4">
        <f>ROUND(K952+H953,8)</f>
        <v/>
      </c>
      <c r="L953" s="4">
        <f>ROUND(0.9*F953+0.05*G953+0.05*H953,8)</f>
        <v/>
      </c>
    </row>
    <row r="954">
      <c r="A954" s="2" t="n">
        <v>45173</v>
      </c>
      <c r="B954" s="8" t="n">
        <v>2379.5</v>
      </c>
      <c r="C954" s="8" t="n">
        <v>125.4409</v>
      </c>
      <c r="D954" s="8" t="n">
        <v>0.35</v>
      </c>
      <c r="E954">
        <f>A954-A953</f>
        <v/>
      </c>
      <c r="F954" s="4">
        <f>ROUND(B954/B953-1,8)</f>
        <v/>
      </c>
      <c r="G954" s="4">
        <f>ROUND(C954/C953-1,8)</f>
        <v/>
      </c>
      <c r="H954" s="4">
        <f>ROUND(D954/100/(DATE(YEAR(A954)+1,1,1)-DATE(YEAR(A954),1,1))*E954,8)</f>
        <v/>
      </c>
      <c r="I954" s="4">
        <f>ROUND(I953*(1+F954),8)</f>
        <v/>
      </c>
      <c r="J954" s="4">
        <f>ROUND(J953*(1+G954),8)</f>
        <v/>
      </c>
      <c r="K954" s="4">
        <f>ROUND(K953+H954,8)</f>
        <v/>
      </c>
      <c r="L954" s="4">
        <f>ROUND(0.9*F954+0.05*G954+0.05*H954,8)</f>
        <v/>
      </c>
    </row>
    <row r="955">
      <c r="A955" s="2" t="n">
        <v>45174</v>
      </c>
      <c r="B955" s="8" t="n">
        <v>2369.8</v>
      </c>
      <c r="C955" s="8" t="n">
        <v>125.4109</v>
      </c>
      <c r="D955" s="8" t="n">
        <v>0.35</v>
      </c>
      <c r="E955">
        <f>A955-A954</f>
        <v/>
      </c>
      <c r="F955" s="4">
        <f>ROUND(B955/B954-1,8)</f>
        <v/>
      </c>
      <c r="G955" s="4">
        <f>ROUND(C955/C954-1,8)</f>
        <v/>
      </c>
      <c r="H955" s="4">
        <f>ROUND(D955/100/(DATE(YEAR(A955)+1,1,1)-DATE(YEAR(A955),1,1))*E955,8)</f>
        <v/>
      </c>
      <c r="I955" s="4">
        <f>ROUND(I954*(1+F955),8)</f>
        <v/>
      </c>
      <c r="J955" s="4">
        <f>ROUND(J954*(1+G955),8)</f>
        <v/>
      </c>
      <c r="K955" s="4">
        <f>ROUND(K954+H955,8)</f>
        <v/>
      </c>
      <c r="L955" s="4">
        <f>ROUND(0.9*F955+0.05*G955+0.05*H955,8)</f>
        <v/>
      </c>
    </row>
    <row r="956">
      <c r="A956" s="2" t="n">
        <v>45175</v>
      </c>
      <c r="B956" s="8" t="n">
        <v>2384.77</v>
      </c>
      <c r="C956" s="8" t="n">
        <v>125.3072</v>
      </c>
      <c r="D956" s="8" t="n">
        <v>0.35</v>
      </c>
      <c r="E956">
        <f>A956-A955</f>
        <v/>
      </c>
      <c r="F956" s="4">
        <f>ROUND(B956/B955-1,8)</f>
        <v/>
      </c>
      <c r="G956" s="4">
        <f>ROUND(C956/C955-1,8)</f>
        <v/>
      </c>
      <c r="H956" s="4">
        <f>ROUND(D956/100/(DATE(YEAR(A956)+1,1,1)-DATE(YEAR(A956),1,1))*E956,8)</f>
        <v/>
      </c>
      <c r="I956" s="4">
        <f>ROUND(I955*(1+F956),8)</f>
        <v/>
      </c>
      <c r="J956" s="4">
        <f>ROUND(J955*(1+G956),8)</f>
        <v/>
      </c>
      <c r="K956" s="4">
        <f>ROUND(K955+H956,8)</f>
        <v/>
      </c>
      <c r="L956" s="4">
        <f>ROUND(0.9*F956+0.05*G956+0.05*H956,8)</f>
        <v/>
      </c>
    </row>
    <row r="957">
      <c r="A957" s="2" t="n">
        <v>45176</v>
      </c>
      <c r="B957" s="8" t="n">
        <v>2343.31</v>
      </c>
      <c r="C957" s="8" t="n">
        <v>125.2145</v>
      </c>
      <c r="D957" s="8" t="n">
        <v>0.35</v>
      </c>
      <c r="E957">
        <f>A957-A956</f>
        <v/>
      </c>
      <c r="F957" s="4">
        <f>ROUND(B957/B956-1,8)</f>
        <v/>
      </c>
      <c r="G957" s="4">
        <f>ROUND(C957/C956-1,8)</f>
        <v/>
      </c>
      <c r="H957" s="4">
        <f>ROUND(D957/100/(DATE(YEAR(A957)+1,1,1)-DATE(YEAR(A957),1,1))*E957,8)</f>
        <v/>
      </c>
      <c r="I957" s="4">
        <f>ROUND(I956*(1+F957),8)</f>
        <v/>
      </c>
      <c r="J957" s="4">
        <f>ROUND(J956*(1+G957),8)</f>
        <v/>
      </c>
      <c r="K957" s="4">
        <f>ROUND(K956+H957,8)</f>
        <v/>
      </c>
      <c r="L957" s="4">
        <f>ROUND(0.9*F957+0.05*G957+0.05*H957,8)</f>
        <v/>
      </c>
    </row>
    <row r="958">
      <c r="A958" s="2" t="n">
        <v>45177</v>
      </c>
      <c r="B958" s="8" t="n">
        <v>2351.04</v>
      </c>
      <c r="C958" s="8" t="n">
        <v>125.1608</v>
      </c>
      <c r="D958" s="8" t="n">
        <v>0.35</v>
      </c>
      <c r="E958">
        <f>A958-A957</f>
        <v/>
      </c>
      <c r="F958" s="4">
        <f>ROUND(B958/B957-1,8)</f>
        <v/>
      </c>
      <c r="G958" s="4">
        <f>ROUND(C958/C957-1,8)</f>
        <v/>
      </c>
      <c r="H958" s="4">
        <f>ROUND(D958/100/(DATE(YEAR(A958)+1,1,1)-DATE(YEAR(A958),1,1))*E958,8)</f>
        <v/>
      </c>
      <c r="I958" s="4">
        <f>ROUND(I957*(1+F958),8)</f>
        <v/>
      </c>
      <c r="J958" s="4">
        <f>ROUND(J957*(1+G958),8)</f>
        <v/>
      </c>
      <c r="K958" s="4">
        <f>ROUND(K957+H958,8)</f>
        <v/>
      </c>
      <c r="L958" s="4">
        <f>ROUND(0.9*F958+0.05*G958+0.05*H958,8)</f>
        <v/>
      </c>
    </row>
    <row r="959">
      <c r="A959" s="2" t="n">
        <v>45180</v>
      </c>
      <c r="B959" s="8" t="n">
        <v>2375.71</v>
      </c>
      <c r="C959" s="8" t="n">
        <v>125.0993</v>
      </c>
      <c r="D959" s="8" t="n">
        <v>0.35</v>
      </c>
      <c r="E959">
        <f>A959-A958</f>
        <v/>
      </c>
      <c r="F959" s="4">
        <f>ROUND(B959/B958-1,8)</f>
        <v/>
      </c>
      <c r="G959" s="4">
        <f>ROUND(C959/C958-1,8)</f>
        <v/>
      </c>
      <c r="H959" s="4">
        <f>ROUND(D959/100/(DATE(YEAR(A959)+1,1,1)-DATE(YEAR(A959),1,1))*E959,8)</f>
        <v/>
      </c>
      <c r="I959" s="4">
        <f>ROUND(I958*(1+F959),8)</f>
        <v/>
      </c>
      <c r="J959" s="4">
        <f>ROUND(J958*(1+G959),8)</f>
        <v/>
      </c>
      <c r="K959" s="4">
        <f>ROUND(K958+H959,8)</f>
        <v/>
      </c>
      <c r="L959" s="4">
        <f>ROUND(0.9*F959+0.05*G959+0.05*H959,8)</f>
        <v/>
      </c>
    </row>
    <row r="960">
      <c r="A960" s="2" t="n">
        <v>45181</v>
      </c>
      <c r="B960" s="8" t="n">
        <v>2375.71</v>
      </c>
      <c r="C960" s="8" t="n">
        <v>125.1359</v>
      </c>
      <c r="D960" s="8" t="n">
        <v>0.35</v>
      </c>
      <c r="E960">
        <f>A960-A959</f>
        <v/>
      </c>
      <c r="F960" s="4">
        <f>ROUND(B960/B959-1,8)</f>
        <v/>
      </c>
      <c r="G960" s="4">
        <f>ROUND(C960/C959-1,8)</f>
        <v/>
      </c>
      <c r="H960" s="4">
        <f>ROUND(D960/100/(DATE(YEAR(A960)+1,1,1)-DATE(YEAR(A960),1,1))*E960,8)</f>
        <v/>
      </c>
      <c r="I960" s="4">
        <f>ROUND(I959*(1+F960),8)</f>
        <v/>
      </c>
      <c r="J960" s="4">
        <f>ROUND(J959*(1+G960),8)</f>
        <v/>
      </c>
      <c r="K960" s="4">
        <f>ROUND(K959+H960,8)</f>
        <v/>
      </c>
      <c r="L960" s="4">
        <f>ROUND(0.9*F960+0.05*G960+0.05*H960,8)</f>
        <v/>
      </c>
    </row>
    <row r="961">
      <c r="A961" s="2" t="n">
        <v>45182</v>
      </c>
      <c r="B961" s="8" t="n">
        <v>2345.22</v>
      </c>
      <c r="C961" s="8" t="n">
        <v>125.1734</v>
      </c>
      <c r="D961" s="8" t="n">
        <v>0.35</v>
      </c>
      <c r="E961">
        <f>A961-A960</f>
        <v/>
      </c>
      <c r="F961" s="4">
        <f>ROUND(B961/B960-1,8)</f>
        <v/>
      </c>
      <c r="G961" s="4">
        <f>ROUND(C961/C960-1,8)</f>
        <v/>
      </c>
      <c r="H961" s="4">
        <f>ROUND(D961/100/(DATE(YEAR(A961)+1,1,1)-DATE(YEAR(A961),1,1))*E961,8)</f>
        <v/>
      </c>
      <c r="I961" s="4">
        <f>ROUND(I960*(1+F961),8)</f>
        <v/>
      </c>
      <c r="J961" s="4">
        <f>ROUND(J960*(1+G961),8)</f>
        <v/>
      </c>
      <c r="K961" s="4">
        <f>ROUND(K960+H961,8)</f>
        <v/>
      </c>
      <c r="L961" s="4">
        <f>ROUND(0.9*F961+0.05*G961+0.05*H961,8)</f>
        <v/>
      </c>
    </row>
    <row r="962">
      <c r="A962" s="2" t="n">
        <v>45183</v>
      </c>
      <c r="B962" s="8" t="n">
        <v>2323.9</v>
      </c>
      <c r="C962" s="8" t="n">
        <v>125.2134</v>
      </c>
      <c r="D962" s="8" t="n">
        <v>0.35</v>
      </c>
      <c r="E962">
        <f>A962-A961</f>
        <v/>
      </c>
      <c r="F962" s="4">
        <f>ROUND(B962/B961-1,8)</f>
        <v/>
      </c>
      <c r="G962" s="4">
        <f>ROUND(C962/C961-1,8)</f>
        <v/>
      </c>
      <c r="H962" s="4">
        <f>ROUND(D962/100/(DATE(YEAR(A962)+1,1,1)-DATE(YEAR(A962),1,1))*E962,8)</f>
        <v/>
      </c>
      <c r="I962" s="4">
        <f>ROUND(I961*(1+F962),8)</f>
        <v/>
      </c>
      <c r="J962" s="4">
        <f>ROUND(J961*(1+G962),8)</f>
        <v/>
      </c>
      <c r="K962" s="4">
        <f>ROUND(K961+H962,8)</f>
        <v/>
      </c>
      <c r="L962" s="4">
        <f>ROUND(0.9*F962+0.05*G962+0.05*H962,8)</f>
        <v/>
      </c>
    </row>
    <row r="963">
      <c r="A963" s="2" t="n">
        <v>45184</v>
      </c>
      <c r="B963" s="8" t="n">
        <v>2327.36</v>
      </c>
      <c r="C963" s="8" t="n">
        <v>125.1693</v>
      </c>
      <c r="D963" s="8" t="n">
        <v>0.35</v>
      </c>
      <c r="E963">
        <f>A963-A962</f>
        <v/>
      </c>
      <c r="F963" s="4">
        <f>ROUND(B963/B962-1,8)</f>
        <v/>
      </c>
      <c r="G963" s="4">
        <f>ROUND(C963/C962-1,8)</f>
        <v/>
      </c>
      <c r="H963" s="4">
        <f>ROUND(D963/100/(DATE(YEAR(A963)+1,1,1)-DATE(YEAR(A963),1,1))*E963,8)</f>
        <v/>
      </c>
      <c r="I963" s="4">
        <f>ROUND(I962*(1+F963),8)</f>
        <v/>
      </c>
      <c r="J963" s="4">
        <f>ROUND(J962*(1+G963),8)</f>
        <v/>
      </c>
      <c r="K963" s="4">
        <f>ROUND(K962+H963,8)</f>
        <v/>
      </c>
      <c r="L963" s="4">
        <f>ROUND(0.9*F963+0.05*G963+0.05*H963,8)</f>
        <v/>
      </c>
    </row>
    <row r="964">
      <c r="A964" s="2" t="n">
        <v>45187</v>
      </c>
      <c r="B964" s="8" t="n">
        <v>2341.34</v>
      </c>
      <c r="C964" s="8" t="n">
        <v>125.0869</v>
      </c>
      <c r="D964" s="8" t="n">
        <v>0.35</v>
      </c>
      <c r="E964">
        <f>A964-A963</f>
        <v/>
      </c>
      <c r="F964" s="4">
        <f>ROUND(B964/B963-1,8)</f>
        <v/>
      </c>
      <c r="G964" s="4">
        <f>ROUND(C964/C963-1,8)</f>
        <v/>
      </c>
      <c r="H964" s="4">
        <f>ROUND(D964/100/(DATE(YEAR(A964)+1,1,1)-DATE(YEAR(A964),1,1))*E964,8)</f>
        <v/>
      </c>
      <c r="I964" s="4">
        <f>ROUND(I963*(1+F964),8)</f>
        <v/>
      </c>
      <c r="J964" s="4">
        <f>ROUND(J963*(1+G964),8)</f>
        <v/>
      </c>
      <c r="K964" s="4">
        <f>ROUND(K963+H964,8)</f>
        <v/>
      </c>
      <c r="L964" s="4">
        <f>ROUND(0.9*F964+0.05*G964+0.05*H964,8)</f>
        <v/>
      </c>
    </row>
    <row r="965">
      <c r="A965" s="2" t="n">
        <v>45188</v>
      </c>
      <c r="B965" s="8" t="n">
        <v>2311.25</v>
      </c>
      <c r="C965" s="8" t="n">
        <v>125.061</v>
      </c>
      <c r="D965" s="8" t="n">
        <v>0.35</v>
      </c>
      <c r="E965">
        <f>A965-A964</f>
        <v/>
      </c>
      <c r="F965" s="4">
        <f>ROUND(B965/B964-1,8)</f>
        <v/>
      </c>
      <c r="G965" s="4">
        <f>ROUND(C965/C964-1,8)</f>
        <v/>
      </c>
      <c r="H965" s="4">
        <f>ROUND(D965/100/(DATE(YEAR(A965)+1,1,1)-DATE(YEAR(A965),1,1))*E965,8)</f>
        <v/>
      </c>
      <c r="I965" s="4">
        <f>ROUND(I964*(1+F965),8)</f>
        <v/>
      </c>
      <c r="J965" s="4">
        <f>ROUND(J964*(1+G965),8)</f>
        <v/>
      </c>
      <c r="K965" s="4">
        <f>ROUND(K964+H965,8)</f>
        <v/>
      </c>
      <c r="L965" s="4">
        <f>ROUND(0.9*F965+0.05*G965+0.05*H965,8)</f>
        <v/>
      </c>
    </row>
    <row r="966">
      <c r="A966" s="2" t="n">
        <v>45189</v>
      </c>
      <c r="B966" s="8" t="n">
        <v>2291.25</v>
      </c>
      <c r="C966" s="8" t="n">
        <v>125.0389</v>
      </c>
      <c r="D966" s="8" t="n">
        <v>0.35</v>
      </c>
      <c r="E966">
        <f>A966-A965</f>
        <v/>
      </c>
      <c r="F966" s="4">
        <f>ROUND(B966/B965-1,8)</f>
        <v/>
      </c>
      <c r="G966" s="4">
        <f>ROUND(C966/C965-1,8)</f>
        <v/>
      </c>
      <c r="H966" s="4">
        <f>ROUND(D966/100/(DATE(YEAR(A966)+1,1,1)-DATE(YEAR(A966),1,1))*E966,8)</f>
        <v/>
      </c>
      <c r="I966" s="4">
        <f>ROUND(I965*(1+F966),8)</f>
        <v/>
      </c>
      <c r="J966" s="4">
        <f>ROUND(J965*(1+G966),8)</f>
        <v/>
      </c>
      <c r="K966" s="4">
        <f>ROUND(K965+H966,8)</f>
        <v/>
      </c>
      <c r="L966" s="4">
        <f>ROUND(0.9*F966+0.05*G966+0.05*H966,8)</f>
        <v/>
      </c>
    </row>
    <row r="967">
      <c r="A967" s="2" t="n">
        <v>45190</v>
      </c>
      <c r="B967" s="8" t="n">
        <v>2276.13</v>
      </c>
      <c r="C967" s="8" t="n">
        <v>125.057</v>
      </c>
      <c r="D967" s="8" t="n">
        <v>0.35</v>
      </c>
      <c r="E967">
        <f>A967-A966</f>
        <v/>
      </c>
      <c r="F967" s="4">
        <f>ROUND(B967/B966-1,8)</f>
        <v/>
      </c>
      <c r="G967" s="4">
        <f>ROUND(C967/C966-1,8)</f>
        <v/>
      </c>
      <c r="H967" s="4">
        <f>ROUND(D967/100/(DATE(YEAR(A967)+1,1,1)-DATE(YEAR(A967),1,1))*E967,8)</f>
        <v/>
      </c>
      <c r="I967" s="4">
        <f>ROUND(I966*(1+F967),8)</f>
        <v/>
      </c>
      <c r="J967" s="4">
        <f>ROUND(J966*(1+G967),8)</f>
        <v/>
      </c>
      <c r="K967" s="4">
        <f>ROUND(K966+H967,8)</f>
        <v/>
      </c>
      <c r="L967" s="4">
        <f>ROUND(0.9*F967+0.05*G967+0.05*H967,8)</f>
        <v/>
      </c>
    </row>
    <row r="968">
      <c r="A968" s="2" t="n">
        <v>45191</v>
      </c>
      <c r="B968" s="8" t="n">
        <v>2326.01</v>
      </c>
      <c r="C968" s="8" t="n">
        <v>125.0283</v>
      </c>
      <c r="D968" s="8" t="n">
        <v>0.35</v>
      </c>
      <c r="E968">
        <f>A968-A967</f>
        <v/>
      </c>
      <c r="F968" s="4">
        <f>ROUND(B968/B967-1,8)</f>
        <v/>
      </c>
      <c r="G968" s="4">
        <f>ROUND(C968/C967-1,8)</f>
        <v/>
      </c>
      <c r="H968" s="4">
        <f>ROUND(D968/100/(DATE(YEAR(A968)+1,1,1)-DATE(YEAR(A968),1,1))*E968,8)</f>
        <v/>
      </c>
      <c r="I968" s="4">
        <f>ROUND(I967*(1+F968),8)</f>
        <v/>
      </c>
      <c r="J968" s="4">
        <f>ROUND(J967*(1+G968),8)</f>
        <v/>
      </c>
      <c r="K968" s="4">
        <f>ROUND(K967+H968,8)</f>
        <v/>
      </c>
      <c r="L968" s="4">
        <f>ROUND(0.9*F968+0.05*G968+0.05*H968,8)</f>
        <v/>
      </c>
    </row>
    <row r="969">
      <c r="A969" s="2" t="n">
        <v>45194</v>
      </c>
      <c r="B969" s="8" t="n">
        <v>2320.32</v>
      </c>
      <c r="C969" s="8" t="n">
        <v>124.9508</v>
      </c>
      <c r="D969" s="8" t="n">
        <v>0.35</v>
      </c>
      <c r="E969">
        <f>A969-A968</f>
        <v/>
      </c>
      <c r="F969" s="4">
        <f>ROUND(B969/B968-1,8)</f>
        <v/>
      </c>
      <c r="G969" s="4">
        <f>ROUND(C969/C968-1,8)</f>
        <v/>
      </c>
      <c r="H969" s="4">
        <f>ROUND(D969/100/(DATE(YEAR(A969)+1,1,1)-DATE(YEAR(A969),1,1))*E969,8)</f>
        <v/>
      </c>
      <c r="I969" s="4">
        <f>ROUND(I968*(1+F969),8)</f>
        <v/>
      </c>
      <c r="J969" s="4">
        <f>ROUND(J968*(1+G969),8)</f>
        <v/>
      </c>
      <c r="K969" s="4">
        <f>ROUND(K968+H969,8)</f>
        <v/>
      </c>
      <c r="L969" s="4">
        <f>ROUND(0.9*F969+0.05*G969+0.05*H969,8)</f>
        <v/>
      </c>
    </row>
    <row r="970">
      <c r="A970" s="2" t="n">
        <v>45195</v>
      </c>
      <c r="B970" s="8" t="n">
        <v>2313.52</v>
      </c>
      <c r="C970" s="8" t="n">
        <v>124.8854</v>
      </c>
      <c r="D970" s="8" t="n">
        <v>0.35</v>
      </c>
      <c r="E970">
        <f>A970-A969</f>
        <v/>
      </c>
      <c r="F970" s="4">
        <f>ROUND(B970/B969-1,8)</f>
        <v/>
      </c>
      <c r="G970" s="4">
        <f>ROUND(C970/C969-1,8)</f>
        <v/>
      </c>
      <c r="H970" s="4">
        <f>ROUND(D970/100/(DATE(YEAR(A970)+1,1,1)-DATE(YEAR(A970),1,1))*E970,8)</f>
        <v/>
      </c>
      <c r="I970" s="4">
        <f>ROUND(I969*(1+F970),8)</f>
        <v/>
      </c>
      <c r="J970" s="4">
        <f>ROUND(J969*(1+G970),8)</f>
        <v/>
      </c>
      <c r="K970" s="4">
        <f>ROUND(K969+H970,8)</f>
        <v/>
      </c>
      <c r="L970" s="4">
        <f>ROUND(0.9*F970+0.05*G970+0.05*H970,8)</f>
        <v/>
      </c>
    </row>
    <row r="971">
      <c r="A971" s="2" t="n">
        <v>45196</v>
      </c>
      <c r="B971" s="8" t="n">
        <v>2322.89</v>
      </c>
      <c r="C971" s="8" t="n">
        <v>124.8805</v>
      </c>
      <c r="D971" s="8" t="n">
        <v>0.35</v>
      </c>
      <c r="E971">
        <f>A971-A970</f>
        <v/>
      </c>
      <c r="F971" s="4">
        <f>ROUND(B971/B970-1,8)</f>
        <v/>
      </c>
      <c r="G971" s="4">
        <f>ROUND(C971/C970-1,8)</f>
        <v/>
      </c>
      <c r="H971" s="4">
        <f>ROUND(D971/100/(DATE(YEAR(A971)+1,1,1)-DATE(YEAR(A971),1,1))*E971,8)</f>
        <v/>
      </c>
      <c r="I971" s="4">
        <f>ROUND(I970*(1+F971),8)</f>
        <v/>
      </c>
      <c r="J971" s="4">
        <f>ROUND(J970*(1+G971),8)</f>
        <v/>
      </c>
      <c r="K971" s="4">
        <f>ROUND(K970+H971,8)</f>
        <v/>
      </c>
      <c r="L971" s="4">
        <f>ROUND(0.9*F971+0.05*G971+0.05*H971,8)</f>
        <v/>
      </c>
    </row>
    <row r="972">
      <c r="A972" s="2" t="n">
        <v>45197</v>
      </c>
      <c r="B972" s="8" t="n">
        <v>2354.17</v>
      </c>
      <c r="C972" s="8" t="n">
        <v>124.9491</v>
      </c>
      <c r="D972" s="8" t="n">
        <v>0.35</v>
      </c>
      <c r="E972">
        <f>A972-A971</f>
        <v/>
      </c>
      <c r="F972" s="4">
        <f>ROUND(B972/B971-1,8)</f>
        <v/>
      </c>
      <c r="G972" s="4">
        <f>ROUND(C972/C971-1,8)</f>
        <v/>
      </c>
      <c r="H972" s="4">
        <f>ROUND(D972/100/(DATE(YEAR(A972)+1,1,1)-DATE(YEAR(A972),1,1))*E972,8)</f>
        <v/>
      </c>
      <c r="I972" s="4">
        <f>ROUND(I971*(1+F972),8)</f>
        <v/>
      </c>
      <c r="J972" s="4">
        <f>ROUND(J971*(1+G972),8)</f>
        <v/>
      </c>
      <c r="K972" s="4">
        <f>ROUND(K971+H972,8)</f>
        <v/>
      </c>
      <c r="L972" s="4">
        <f>ROUND(0.9*F972+0.05*G972+0.05*H972,8)</f>
        <v/>
      </c>
    </row>
    <row r="973">
      <c r="A973" s="2" t="n">
        <v>45208</v>
      </c>
      <c r="B973" s="8" t="n">
        <v>2347.09</v>
      </c>
      <c r="C973" s="8" t="n">
        <v>125.0532</v>
      </c>
      <c r="D973" s="8" t="n">
        <v>0.35</v>
      </c>
      <c r="E973">
        <f>A973-A972</f>
        <v/>
      </c>
      <c r="F973" s="4">
        <f>ROUND(B973/B972-1,8)</f>
        <v/>
      </c>
      <c r="G973" s="4">
        <f>ROUND(C973/C972-1,8)</f>
        <v/>
      </c>
      <c r="H973" s="4">
        <f>ROUND(D973/100/(DATE(YEAR(A973)+1,1,1)-DATE(YEAR(A973),1,1))*E973,8)</f>
        <v/>
      </c>
      <c r="I973" s="4">
        <f>ROUND(I972*(1+F973),8)</f>
        <v/>
      </c>
      <c r="J973" s="4">
        <f>ROUND(J972*(1+G973),8)</f>
        <v/>
      </c>
      <c r="K973" s="4">
        <f>ROUND(K972+H973,8)</f>
        <v/>
      </c>
      <c r="L973" s="4">
        <f>ROUND(0.9*F973+0.05*G973+0.05*H973,8)</f>
        <v/>
      </c>
    </row>
    <row r="974">
      <c r="A974" s="2" t="n">
        <v>45209</v>
      </c>
      <c r="B974" s="8" t="n">
        <v>2347.52</v>
      </c>
      <c r="C974" s="8" t="n">
        <v>124.9898</v>
      </c>
      <c r="D974" s="8" t="n">
        <v>0.35</v>
      </c>
      <c r="E974">
        <f>A974-A973</f>
        <v/>
      </c>
      <c r="F974" s="4">
        <f>ROUND(B974/B973-1,8)</f>
        <v/>
      </c>
      <c r="G974" s="4">
        <f>ROUND(C974/C973-1,8)</f>
        <v/>
      </c>
      <c r="H974" s="4">
        <f>ROUND(D974/100/(DATE(YEAR(A974)+1,1,1)-DATE(YEAR(A974),1,1))*E974,8)</f>
        <v/>
      </c>
      <c r="I974" s="4">
        <f>ROUND(I973*(1+F974),8)</f>
        <v/>
      </c>
      <c r="J974" s="4">
        <f>ROUND(J973*(1+G974),8)</f>
        <v/>
      </c>
      <c r="K974" s="4">
        <f>ROUND(K973+H974,8)</f>
        <v/>
      </c>
      <c r="L974" s="4">
        <f>ROUND(0.9*F974+0.05*G974+0.05*H974,8)</f>
        <v/>
      </c>
    </row>
    <row r="975">
      <c r="A975" s="2" t="n">
        <v>45210</v>
      </c>
      <c r="B975" s="8" t="n">
        <v>2355.66</v>
      </c>
      <c r="C975" s="8" t="n">
        <v>124.8953</v>
      </c>
      <c r="D975" s="8" t="n">
        <v>0.35</v>
      </c>
      <c r="E975">
        <f>A975-A974</f>
        <v/>
      </c>
      <c r="F975" s="4">
        <f>ROUND(B975/B974-1,8)</f>
        <v/>
      </c>
      <c r="G975" s="4">
        <f>ROUND(C975/C974-1,8)</f>
        <v/>
      </c>
      <c r="H975" s="4">
        <f>ROUND(D975/100/(DATE(YEAR(A975)+1,1,1)-DATE(YEAR(A975),1,1))*E975,8)</f>
        <v/>
      </c>
      <c r="I975" s="4">
        <f>ROUND(I974*(1+F975),8)</f>
        <v/>
      </c>
      <c r="J975" s="4">
        <f>ROUND(J974*(1+G975),8)</f>
        <v/>
      </c>
      <c r="K975" s="4">
        <f>ROUND(K974+H975,8)</f>
        <v/>
      </c>
      <c r="L975" s="4">
        <f>ROUND(0.9*F975+0.05*G975+0.05*H975,8)</f>
        <v/>
      </c>
    </row>
    <row r="976">
      <c r="A976" s="2" t="n">
        <v>45211</v>
      </c>
      <c r="B976" s="8" t="n">
        <v>2366.31</v>
      </c>
      <c r="C976" s="8" t="n">
        <v>124.849</v>
      </c>
      <c r="D976" s="8" t="n">
        <v>0.35</v>
      </c>
      <c r="E976">
        <f>A976-A975</f>
        <v/>
      </c>
      <c r="F976" s="4">
        <f>ROUND(B976/B975-1,8)</f>
        <v/>
      </c>
      <c r="G976" s="4">
        <f>ROUND(C976/C975-1,8)</f>
        <v/>
      </c>
      <c r="H976" s="4">
        <f>ROUND(D976/100/(DATE(YEAR(A976)+1,1,1)-DATE(YEAR(A976),1,1))*E976,8)</f>
        <v/>
      </c>
      <c r="I976" s="4">
        <f>ROUND(I975*(1+F976),8)</f>
        <v/>
      </c>
      <c r="J976" s="4">
        <f>ROUND(J975*(1+G976),8)</f>
        <v/>
      </c>
      <c r="K976" s="4">
        <f>ROUND(K975+H976,8)</f>
        <v/>
      </c>
      <c r="L976" s="4">
        <f>ROUND(0.9*F976+0.05*G976+0.05*H976,8)</f>
        <v/>
      </c>
    </row>
    <row r="977">
      <c r="A977" s="2" t="n">
        <v>45212</v>
      </c>
      <c r="B977" s="8" t="n">
        <v>2354.99</v>
      </c>
      <c r="C977" s="8" t="n">
        <v>124.9016</v>
      </c>
      <c r="D977" s="8" t="n">
        <v>0.35</v>
      </c>
      <c r="E977">
        <f>A977-A976</f>
        <v/>
      </c>
      <c r="F977" s="4">
        <f>ROUND(B977/B976-1,8)</f>
        <v/>
      </c>
      <c r="G977" s="4">
        <f>ROUND(C977/C976-1,8)</f>
        <v/>
      </c>
      <c r="H977" s="4">
        <f>ROUND(D977/100/(DATE(YEAR(A977)+1,1,1)-DATE(YEAR(A977),1,1))*E977,8)</f>
        <v/>
      </c>
      <c r="I977" s="4">
        <f>ROUND(I976*(1+F977),8)</f>
        <v/>
      </c>
      <c r="J977" s="4">
        <f>ROUND(J976*(1+G977),8)</f>
        <v/>
      </c>
      <c r="K977" s="4">
        <f>ROUND(K976+H977,8)</f>
        <v/>
      </c>
      <c r="L977" s="4">
        <f>ROUND(0.9*F977+0.05*G977+0.05*H977,8)</f>
        <v/>
      </c>
    </row>
    <row r="978">
      <c r="A978" s="2" t="n">
        <v>45215</v>
      </c>
      <c r="B978" s="8" t="n">
        <v>2341.63</v>
      </c>
      <c r="C978" s="8" t="n">
        <v>124.8883</v>
      </c>
      <c r="D978" s="8" t="n">
        <v>0.35</v>
      </c>
      <c r="E978">
        <f>A978-A977</f>
        <v/>
      </c>
      <c r="F978" s="4">
        <f>ROUND(B978/B977-1,8)</f>
        <v/>
      </c>
      <c r="G978" s="4">
        <f>ROUND(C978/C977-1,8)</f>
        <v/>
      </c>
      <c r="H978" s="4">
        <f>ROUND(D978/100/(DATE(YEAR(A978)+1,1,1)-DATE(YEAR(A978),1,1))*E978,8)</f>
        <v/>
      </c>
      <c r="I978" s="4">
        <f>ROUND(I977*(1+F978),8)</f>
        <v/>
      </c>
      <c r="J978" s="4">
        <f>ROUND(J977*(1+G978),8)</f>
        <v/>
      </c>
      <c r="K978" s="4">
        <f>ROUND(K977+H978,8)</f>
        <v/>
      </c>
      <c r="L978" s="4">
        <f>ROUND(0.9*F978+0.05*G978+0.05*H978,8)</f>
        <v/>
      </c>
    </row>
    <row r="979">
      <c r="A979" s="2" t="n">
        <v>45216</v>
      </c>
      <c r="B979" s="8" t="n">
        <v>2334.65</v>
      </c>
      <c r="C979" s="8" t="n">
        <v>124.8352</v>
      </c>
      <c r="D979" s="8" t="n">
        <v>0.35</v>
      </c>
      <c r="E979">
        <f>A979-A978</f>
        <v/>
      </c>
      <c r="F979" s="4">
        <f>ROUND(B979/B978-1,8)</f>
        <v/>
      </c>
      <c r="G979" s="4">
        <f>ROUND(C979/C978-1,8)</f>
        <v/>
      </c>
      <c r="H979" s="4">
        <f>ROUND(D979/100/(DATE(YEAR(A979)+1,1,1)-DATE(YEAR(A979),1,1))*E979,8)</f>
        <v/>
      </c>
      <c r="I979" s="4">
        <f>ROUND(I978*(1+F979),8)</f>
        <v/>
      </c>
      <c r="J979" s="4">
        <f>ROUND(J978*(1+G979),8)</f>
        <v/>
      </c>
      <c r="K979" s="4">
        <f>ROUND(K978+H979,8)</f>
        <v/>
      </c>
      <c r="L979" s="4">
        <f>ROUND(0.9*F979+0.05*G979+0.05*H979,8)</f>
        <v/>
      </c>
    </row>
    <row r="980">
      <c r="A980" s="2" t="n">
        <v>45217</v>
      </c>
      <c r="B980" s="8" t="n">
        <v>2289.83</v>
      </c>
      <c r="C980" s="8" t="n">
        <v>124.781</v>
      </c>
      <c r="D980" s="8" t="n">
        <v>0.35</v>
      </c>
      <c r="E980">
        <f>A980-A979</f>
        <v/>
      </c>
      <c r="F980" s="4">
        <f>ROUND(B980/B979-1,8)</f>
        <v/>
      </c>
      <c r="G980" s="4">
        <f>ROUND(C980/C979-1,8)</f>
        <v/>
      </c>
      <c r="H980" s="4">
        <f>ROUND(D980/100/(DATE(YEAR(A980)+1,1,1)-DATE(YEAR(A980),1,1))*E980,8)</f>
        <v/>
      </c>
      <c r="I980" s="4">
        <f>ROUND(I979*(1+F980),8)</f>
        <v/>
      </c>
      <c r="J980" s="4">
        <f>ROUND(J979*(1+G980),8)</f>
        <v/>
      </c>
      <c r="K980" s="4">
        <f>ROUND(K979+H980,8)</f>
        <v/>
      </c>
      <c r="L980" s="4">
        <f>ROUND(0.9*F980+0.05*G980+0.05*H980,8)</f>
        <v/>
      </c>
    </row>
    <row r="981">
      <c r="A981" s="2" t="n">
        <v>45218</v>
      </c>
      <c r="B981" s="8" t="n">
        <v>2268.04</v>
      </c>
      <c r="C981" s="8" t="n">
        <v>124.6746</v>
      </c>
      <c r="D981" s="8" t="n">
        <v>0.35</v>
      </c>
      <c r="E981">
        <f>A981-A980</f>
        <v/>
      </c>
      <c r="F981" s="4">
        <f>ROUND(B981/B980-1,8)</f>
        <v/>
      </c>
      <c r="G981" s="4">
        <f>ROUND(C981/C980-1,8)</f>
        <v/>
      </c>
      <c r="H981" s="4">
        <f>ROUND(D981/100/(DATE(YEAR(A981)+1,1,1)-DATE(YEAR(A981),1,1))*E981,8)</f>
        <v/>
      </c>
      <c r="I981" s="4">
        <f>ROUND(I980*(1+F981),8)</f>
        <v/>
      </c>
      <c r="J981" s="4">
        <f>ROUND(J980*(1+G981),8)</f>
        <v/>
      </c>
      <c r="K981" s="4">
        <f>ROUND(K980+H981,8)</f>
        <v/>
      </c>
      <c r="L981" s="4">
        <f>ROUND(0.9*F981+0.05*G981+0.05*H981,8)</f>
        <v/>
      </c>
    </row>
    <row r="982">
      <c r="A982" s="2" t="n">
        <v>45219</v>
      </c>
      <c r="B982" s="8" t="n">
        <v>2237.7</v>
      </c>
      <c r="C982" s="8" t="n">
        <v>124.6426</v>
      </c>
      <c r="D982" s="8" t="n">
        <v>0.35</v>
      </c>
      <c r="E982">
        <f>A982-A981</f>
        <v/>
      </c>
      <c r="F982" s="4">
        <f>ROUND(B982/B981-1,8)</f>
        <v/>
      </c>
      <c r="G982" s="4">
        <f>ROUND(C982/C981-1,8)</f>
        <v/>
      </c>
      <c r="H982" s="4">
        <f>ROUND(D982/100/(DATE(YEAR(A982)+1,1,1)-DATE(YEAR(A982),1,1))*E982,8)</f>
        <v/>
      </c>
      <c r="I982" s="4">
        <f>ROUND(I981*(1+F982),8)</f>
        <v/>
      </c>
      <c r="J982" s="4">
        <f>ROUND(J981*(1+G982),8)</f>
        <v/>
      </c>
      <c r="K982" s="4">
        <f>ROUND(K981+H982,8)</f>
        <v/>
      </c>
      <c r="L982" s="4">
        <f>ROUND(0.9*F982+0.05*G982+0.05*H982,8)</f>
        <v/>
      </c>
    </row>
    <row r="983">
      <c r="A983" s="2" t="n">
        <v>45222</v>
      </c>
      <c r="B983" s="8" t="n">
        <v>2183.46</v>
      </c>
      <c r="C983" s="8" t="n">
        <v>124.6593</v>
      </c>
      <c r="D983" s="8" t="n">
        <v>0.35</v>
      </c>
      <c r="E983">
        <f>A983-A982</f>
        <v/>
      </c>
      <c r="F983" s="4">
        <f>ROUND(B983/B982-1,8)</f>
        <v/>
      </c>
      <c r="G983" s="4">
        <f>ROUND(C983/C982-1,8)</f>
        <v/>
      </c>
      <c r="H983" s="4">
        <f>ROUND(D983/100/(DATE(YEAR(A983)+1,1,1)-DATE(YEAR(A983),1,1))*E983,8)</f>
        <v/>
      </c>
      <c r="I983" s="4">
        <f>ROUND(I982*(1+F983),8)</f>
        <v/>
      </c>
      <c r="J983" s="4">
        <f>ROUND(J982*(1+G983),8)</f>
        <v/>
      </c>
      <c r="K983" s="4">
        <f>ROUND(K982+H983,8)</f>
        <v/>
      </c>
      <c r="L983" s="4">
        <f>ROUND(0.9*F983+0.05*G983+0.05*H983,8)</f>
        <v/>
      </c>
    </row>
    <row r="984">
      <c r="A984" s="2" t="n">
        <v>45223</v>
      </c>
      <c r="B984" s="8" t="n">
        <v>2240.34</v>
      </c>
      <c r="C984" s="8" t="n">
        <v>124.5868</v>
      </c>
      <c r="D984" s="8" t="n">
        <v>0.35</v>
      </c>
      <c r="E984">
        <f>A984-A983</f>
        <v/>
      </c>
      <c r="F984" s="4">
        <f>ROUND(B984/B983-1,8)</f>
        <v/>
      </c>
      <c r="G984" s="4">
        <f>ROUND(C984/C983-1,8)</f>
        <v/>
      </c>
      <c r="H984" s="4">
        <f>ROUND(D984/100/(DATE(YEAR(A984)+1,1,1)-DATE(YEAR(A984),1,1))*E984,8)</f>
        <v/>
      </c>
      <c r="I984" s="4">
        <f>ROUND(I983*(1+F984),8)</f>
        <v/>
      </c>
      <c r="J984" s="4">
        <f>ROUND(J983*(1+G984),8)</f>
        <v/>
      </c>
      <c r="K984" s="4">
        <f>ROUND(K983+H984,8)</f>
        <v/>
      </c>
      <c r="L984" s="4">
        <f>ROUND(0.9*F984+0.05*G984+0.05*H984,8)</f>
        <v/>
      </c>
    </row>
    <row r="985">
      <c r="A985" s="2" t="n">
        <v>45224</v>
      </c>
      <c r="B985" s="8" t="n">
        <v>2280.01</v>
      </c>
      <c r="C985" s="8" t="n">
        <v>124.61</v>
      </c>
      <c r="D985" s="8" t="n">
        <v>0.35</v>
      </c>
      <c r="E985">
        <f>A985-A984</f>
        <v/>
      </c>
      <c r="F985" s="4">
        <f>ROUND(B985/B984-1,8)</f>
        <v/>
      </c>
      <c r="G985" s="4">
        <f>ROUND(C985/C984-1,8)</f>
        <v/>
      </c>
      <c r="H985" s="4">
        <f>ROUND(D985/100/(DATE(YEAR(A985)+1,1,1)-DATE(YEAR(A985),1,1))*E985,8)</f>
        <v/>
      </c>
      <c r="I985" s="4">
        <f>ROUND(I984*(1+F985),8)</f>
        <v/>
      </c>
      <c r="J985" s="4">
        <f>ROUND(J984*(1+G985),8)</f>
        <v/>
      </c>
      <c r="K985" s="4">
        <f>ROUND(K984+H985,8)</f>
        <v/>
      </c>
      <c r="L985" s="4">
        <f>ROUND(0.9*F985+0.05*G985+0.05*H985,8)</f>
        <v/>
      </c>
    </row>
    <row r="986">
      <c r="A986" s="2" t="n">
        <v>45225</v>
      </c>
      <c r="B986" s="8" t="n">
        <v>2291.13</v>
      </c>
      <c r="C986" s="8" t="n">
        <v>124.6217</v>
      </c>
      <c r="D986" s="8" t="n">
        <v>0.35</v>
      </c>
      <c r="E986">
        <f>A986-A985</f>
        <v/>
      </c>
      <c r="F986" s="4">
        <f>ROUND(B986/B985-1,8)</f>
        <v/>
      </c>
      <c r="G986" s="4">
        <f>ROUND(C986/C985-1,8)</f>
        <v/>
      </c>
      <c r="H986" s="4">
        <f>ROUND(D986/100/(DATE(YEAR(A986)+1,1,1)-DATE(YEAR(A986),1,1))*E986,8)</f>
        <v/>
      </c>
      <c r="I986" s="4">
        <f>ROUND(I985*(1+F986),8)</f>
        <v/>
      </c>
      <c r="J986" s="4">
        <f>ROUND(J985*(1+G986),8)</f>
        <v/>
      </c>
      <c r="K986" s="4">
        <f>ROUND(K985+H986,8)</f>
        <v/>
      </c>
      <c r="L986" s="4">
        <f>ROUND(0.9*F986+0.05*G986+0.05*H986,8)</f>
        <v/>
      </c>
    </row>
    <row r="987">
      <c r="A987" s="2" t="n">
        <v>45226</v>
      </c>
      <c r="B987" s="8" t="n">
        <v>2317.37</v>
      </c>
      <c r="C987" s="8" t="n">
        <v>124.6047</v>
      </c>
      <c r="D987" s="8" t="n">
        <v>0.35</v>
      </c>
      <c r="E987">
        <f>A987-A986</f>
        <v/>
      </c>
      <c r="F987" s="4">
        <f>ROUND(B987/B986-1,8)</f>
        <v/>
      </c>
      <c r="G987" s="4">
        <f>ROUND(C987/C986-1,8)</f>
        <v/>
      </c>
      <c r="H987" s="4">
        <f>ROUND(D987/100/(DATE(YEAR(A987)+1,1,1)-DATE(YEAR(A987),1,1))*E987,8)</f>
        <v/>
      </c>
      <c r="I987" s="4">
        <f>ROUND(I986*(1+F987),8)</f>
        <v/>
      </c>
      <c r="J987" s="4">
        <f>ROUND(J986*(1+G987),8)</f>
        <v/>
      </c>
      <c r="K987" s="4">
        <f>ROUND(K986+H987,8)</f>
        <v/>
      </c>
      <c r="L987" s="4">
        <f>ROUND(0.9*F987+0.05*G987+0.05*H987,8)</f>
        <v/>
      </c>
    </row>
    <row r="988">
      <c r="A988" s="2" t="n">
        <v>45229</v>
      </c>
      <c r="B988" s="8" t="n">
        <v>2350.85</v>
      </c>
      <c r="C988" s="8" t="n">
        <v>124.6302</v>
      </c>
      <c r="D988" s="8" t="n">
        <v>0.35</v>
      </c>
      <c r="E988">
        <f>A988-A987</f>
        <v/>
      </c>
      <c r="F988" s="4">
        <f>ROUND(B988/B987-1,8)</f>
        <v/>
      </c>
      <c r="G988" s="4">
        <f>ROUND(C988/C987-1,8)</f>
        <v/>
      </c>
      <c r="H988" s="4">
        <f>ROUND(D988/100/(DATE(YEAR(A988)+1,1,1)-DATE(YEAR(A988),1,1))*E988,8)</f>
        <v/>
      </c>
      <c r="I988" s="4">
        <f>ROUND(I987*(1+F988),8)</f>
        <v/>
      </c>
      <c r="J988" s="4">
        <f>ROUND(J987*(1+G988),8)</f>
        <v/>
      </c>
      <c r="K988" s="4">
        <f>ROUND(K987+H988,8)</f>
        <v/>
      </c>
      <c r="L988" s="4">
        <f>ROUND(0.9*F988+0.05*G988+0.05*H988,8)</f>
        <v/>
      </c>
    </row>
    <row r="989">
      <c r="A989" s="2" t="n">
        <v>45230</v>
      </c>
      <c r="B989" s="8" t="n">
        <v>2336.73</v>
      </c>
      <c r="C989" s="8" t="n">
        <v>124.6715</v>
      </c>
      <c r="D989" s="8" t="n">
        <v>0.35</v>
      </c>
      <c r="E989">
        <f>A989-A988</f>
        <v/>
      </c>
      <c r="F989" s="4">
        <f>ROUND(B989/B988-1,8)</f>
        <v/>
      </c>
      <c r="G989" s="4">
        <f>ROUND(C989/C988-1,8)</f>
        <v/>
      </c>
      <c r="H989" s="4">
        <f>ROUND(D989/100/(DATE(YEAR(A989)+1,1,1)-DATE(YEAR(A989),1,1))*E989,8)</f>
        <v/>
      </c>
      <c r="I989" s="4">
        <f>ROUND(I988*(1+F989),8)</f>
        <v/>
      </c>
      <c r="J989" s="4">
        <f>ROUND(J988*(1+G989),8)</f>
        <v/>
      </c>
      <c r="K989" s="4">
        <f>ROUND(K988+H989,8)</f>
        <v/>
      </c>
      <c r="L989" s="4">
        <f>ROUND(0.9*F989+0.05*G989+0.05*H989,8)</f>
        <v/>
      </c>
    </row>
    <row r="990">
      <c r="A990" s="2" t="n">
        <v>45231</v>
      </c>
      <c r="B990" s="8" t="n">
        <v>2343.45</v>
      </c>
      <c r="C990" s="8" t="n">
        <v>124.6823</v>
      </c>
      <c r="D990" s="8" t="n">
        <v>0.35</v>
      </c>
      <c r="E990">
        <f>A990-A989</f>
        <v/>
      </c>
      <c r="F990" s="4">
        <f>ROUND(B990/B989-1,8)</f>
        <v/>
      </c>
      <c r="G990" s="4">
        <f>ROUND(C990/C989-1,8)</f>
        <v/>
      </c>
      <c r="H990" s="4">
        <f>ROUND(D990/100/(DATE(YEAR(A990)+1,1,1)-DATE(YEAR(A990),1,1))*E990,8)</f>
        <v/>
      </c>
      <c r="I990" s="4">
        <f>ROUND(I989*(1+F990),8)</f>
        <v/>
      </c>
      <c r="J990" s="4">
        <f>ROUND(J989*(1+G990),8)</f>
        <v/>
      </c>
      <c r="K990" s="4">
        <f>ROUND(K989+H990,8)</f>
        <v/>
      </c>
      <c r="L990" s="4">
        <f>ROUND(0.9*F990+0.05*G990+0.05*H990,8)</f>
        <v/>
      </c>
    </row>
    <row r="991">
      <c r="A991" s="2" t="n">
        <v>45232</v>
      </c>
      <c r="B991" s="8" t="n">
        <v>2317.09</v>
      </c>
      <c r="C991" s="8" t="n">
        <v>124.7574</v>
      </c>
      <c r="D991" s="8" t="n">
        <v>0.35</v>
      </c>
      <c r="E991">
        <f>A991-A990</f>
        <v/>
      </c>
      <c r="F991" s="4">
        <f>ROUND(B991/B990-1,8)</f>
        <v/>
      </c>
      <c r="G991" s="4">
        <f>ROUND(C991/C990-1,8)</f>
        <v/>
      </c>
      <c r="H991" s="4">
        <f>ROUND(D991/100/(DATE(YEAR(A991)+1,1,1)-DATE(YEAR(A991),1,1))*E991,8)</f>
        <v/>
      </c>
      <c r="I991" s="4">
        <f>ROUND(I990*(1+F991),8)</f>
        <v/>
      </c>
      <c r="J991" s="4">
        <f>ROUND(J990*(1+G991),8)</f>
        <v/>
      </c>
      <c r="K991" s="4">
        <f>ROUND(K990+H991,8)</f>
        <v/>
      </c>
      <c r="L991" s="4">
        <f>ROUND(0.9*F991+0.05*G991+0.05*H991,8)</f>
        <v/>
      </c>
    </row>
    <row r="992">
      <c r="A992" s="2" t="n">
        <v>45233</v>
      </c>
      <c r="B992" s="8" t="n">
        <v>2347.31</v>
      </c>
      <c r="C992" s="8" t="n">
        <v>124.7582</v>
      </c>
      <c r="D992" s="8" t="n">
        <v>0.35</v>
      </c>
      <c r="E992">
        <f>A992-A991</f>
        <v/>
      </c>
      <c r="F992" s="4">
        <f>ROUND(B992/B991-1,8)</f>
        <v/>
      </c>
      <c r="G992" s="4">
        <f>ROUND(C992/C991-1,8)</f>
        <v/>
      </c>
      <c r="H992" s="4">
        <f>ROUND(D992/100/(DATE(YEAR(A992)+1,1,1)-DATE(YEAR(A992),1,1))*E992,8)</f>
        <v/>
      </c>
      <c r="I992" s="4">
        <f>ROUND(I991*(1+F992),8)</f>
        <v/>
      </c>
      <c r="J992" s="4">
        <f>ROUND(J991*(1+G992),8)</f>
        <v/>
      </c>
      <c r="K992" s="4">
        <f>ROUND(K991+H992,8)</f>
        <v/>
      </c>
      <c r="L992" s="4">
        <f>ROUND(0.9*F992+0.05*G992+0.05*H992,8)</f>
        <v/>
      </c>
    </row>
    <row r="993">
      <c r="A993" s="2" t="n">
        <v>45236</v>
      </c>
      <c r="B993" s="8" t="n">
        <v>2403.94</v>
      </c>
      <c r="C993" s="8" t="n">
        <v>124.7735</v>
      </c>
      <c r="D993" s="8" t="n">
        <v>0.35</v>
      </c>
      <c r="E993">
        <f>A993-A992</f>
        <v/>
      </c>
      <c r="F993" s="4">
        <f>ROUND(B993/B992-1,8)</f>
        <v/>
      </c>
      <c r="G993" s="4">
        <f>ROUND(C993/C992-1,8)</f>
        <v/>
      </c>
      <c r="H993" s="4">
        <f>ROUND(D993/100/(DATE(YEAR(A993)+1,1,1)-DATE(YEAR(A993),1,1))*E993,8)</f>
        <v/>
      </c>
      <c r="I993" s="4">
        <f>ROUND(I992*(1+F993),8)</f>
        <v/>
      </c>
      <c r="J993" s="4">
        <f>ROUND(J992*(1+G993),8)</f>
        <v/>
      </c>
      <c r="K993" s="4">
        <f>ROUND(K992+H993,8)</f>
        <v/>
      </c>
      <c r="L993" s="4">
        <f>ROUND(0.9*F993+0.05*G993+0.05*H993,8)</f>
        <v/>
      </c>
    </row>
    <row r="994">
      <c r="A994" s="2" t="n">
        <v>45237</v>
      </c>
      <c r="B994" s="8" t="n">
        <v>2427.09</v>
      </c>
      <c r="C994" s="8" t="n">
        <v>124.7717</v>
      </c>
      <c r="D994" s="8" t="n">
        <v>0.35</v>
      </c>
      <c r="E994">
        <f>A994-A993</f>
        <v/>
      </c>
      <c r="F994" s="4">
        <f>ROUND(B994/B993-1,8)</f>
        <v/>
      </c>
      <c r="G994" s="4">
        <f>ROUND(C994/C993-1,8)</f>
        <v/>
      </c>
      <c r="H994" s="4">
        <f>ROUND(D994/100/(DATE(YEAR(A994)+1,1,1)-DATE(YEAR(A994),1,1))*E994,8)</f>
        <v/>
      </c>
      <c r="I994" s="4">
        <f>ROUND(I993*(1+F994),8)</f>
        <v/>
      </c>
      <c r="J994" s="4">
        <f>ROUND(J993*(1+G994),8)</f>
        <v/>
      </c>
      <c r="K994" s="4">
        <f>ROUND(K993+H994,8)</f>
        <v/>
      </c>
      <c r="L994" s="4">
        <f>ROUND(0.9*F994+0.05*G994+0.05*H994,8)</f>
        <v/>
      </c>
    </row>
    <row r="995">
      <c r="A995" s="2" t="n">
        <v>45238</v>
      </c>
      <c r="B995" s="8" t="n">
        <v>2439.03</v>
      </c>
      <c r="C995" s="8" t="n">
        <v>124.7703</v>
      </c>
      <c r="D995" s="8" t="n">
        <v>0.35</v>
      </c>
      <c r="E995">
        <f>A995-A994</f>
        <v/>
      </c>
      <c r="F995" s="4">
        <f>ROUND(B995/B994-1,8)</f>
        <v/>
      </c>
      <c r="G995" s="4">
        <f>ROUND(C995/C994-1,8)</f>
        <v/>
      </c>
      <c r="H995" s="4">
        <f>ROUND(D995/100/(DATE(YEAR(A995)+1,1,1)-DATE(YEAR(A995),1,1))*E995,8)</f>
        <v/>
      </c>
      <c r="I995" s="4">
        <f>ROUND(I994*(1+F995),8)</f>
        <v/>
      </c>
      <c r="J995" s="4">
        <f>ROUND(J994*(1+G995),8)</f>
        <v/>
      </c>
      <c r="K995" s="4">
        <f>ROUND(K994+H995,8)</f>
        <v/>
      </c>
      <c r="L995" s="4">
        <f>ROUND(0.9*F995+0.05*G995+0.05*H995,8)</f>
        <v/>
      </c>
    </row>
    <row r="996">
      <c r="A996" s="2" t="n">
        <v>45239</v>
      </c>
      <c r="B996" s="8" t="n">
        <v>2418.91</v>
      </c>
      <c r="C996" s="8" t="n">
        <v>124.7966</v>
      </c>
      <c r="D996" s="8" t="n">
        <v>0.35</v>
      </c>
      <c r="E996">
        <f>A996-A995</f>
        <v/>
      </c>
      <c r="F996" s="4">
        <f>ROUND(B996/B995-1,8)</f>
        <v/>
      </c>
      <c r="G996" s="4">
        <f>ROUND(C996/C995-1,8)</f>
        <v/>
      </c>
      <c r="H996" s="4">
        <f>ROUND(D996/100/(DATE(YEAR(A996)+1,1,1)-DATE(YEAR(A996),1,1))*E996,8)</f>
        <v/>
      </c>
      <c r="I996" s="4">
        <f>ROUND(I995*(1+F996),8)</f>
        <v/>
      </c>
      <c r="J996" s="4">
        <f>ROUND(J995*(1+G996),8)</f>
        <v/>
      </c>
      <c r="K996" s="4">
        <f>ROUND(K995+H996,8)</f>
        <v/>
      </c>
      <c r="L996" s="4">
        <f>ROUND(0.9*F996+0.05*G996+0.05*H996,8)</f>
        <v/>
      </c>
    </row>
    <row r="997">
      <c r="A997" s="2" t="n">
        <v>45240</v>
      </c>
      <c r="B997" s="8" t="n">
        <v>2412.52</v>
      </c>
      <c r="C997" s="8" t="n">
        <v>124.8291</v>
      </c>
      <c r="D997" s="8" t="n">
        <v>0.35</v>
      </c>
      <c r="E997">
        <f>A997-A996</f>
        <v/>
      </c>
      <c r="F997" s="4">
        <f>ROUND(B997/B996-1,8)</f>
        <v/>
      </c>
      <c r="G997" s="4">
        <f>ROUND(C997/C996-1,8)</f>
        <v/>
      </c>
      <c r="H997" s="4">
        <f>ROUND(D997/100/(DATE(YEAR(A997)+1,1,1)-DATE(YEAR(A997),1,1))*E997,8)</f>
        <v/>
      </c>
      <c r="I997" s="4">
        <f>ROUND(I996*(1+F997),8)</f>
        <v/>
      </c>
      <c r="J997" s="4">
        <f>ROUND(J996*(1+G997),8)</f>
        <v/>
      </c>
      <c r="K997" s="4">
        <f>ROUND(K996+H997,8)</f>
        <v/>
      </c>
      <c r="L997" s="4">
        <f>ROUND(0.9*F997+0.05*G997+0.05*H997,8)</f>
        <v/>
      </c>
    </row>
    <row r="998">
      <c r="A998" s="2" t="n">
        <v>45243</v>
      </c>
      <c r="B998" s="8" t="n">
        <v>2442.61</v>
      </c>
      <c r="C998" s="8" t="n">
        <v>124.8694</v>
      </c>
      <c r="D998" s="8" t="n">
        <v>0.35</v>
      </c>
      <c r="E998">
        <f>A998-A997</f>
        <v/>
      </c>
      <c r="F998" s="4">
        <f>ROUND(B998/B997-1,8)</f>
        <v/>
      </c>
      <c r="G998" s="4">
        <f>ROUND(C998/C997-1,8)</f>
        <v/>
      </c>
      <c r="H998" s="4">
        <f>ROUND(D998/100/(DATE(YEAR(A998)+1,1,1)-DATE(YEAR(A998),1,1))*E998,8)</f>
        <v/>
      </c>
      <c r="I998" s="4">
        <f>ROUND(I997*(1+F998),8)</f>
        <v/>
      </c>
      <c r="J998" s="4">
        <f>ROUND(J997*(1+G998),8)</f>
        <v/>
      </c>
      <c r="K998" s="4">
        <f>ROUND(K997+H998,8)</f>
        <v/>
      </c>
      <c r="L998" s="4">
        <f>ROUND(0.9*F998+0.05*G998+0.05*H998,8)</f>
        <v/>
      </c>
    </row>
    <row r="999">
      <c r="A999" s="2" t="n">
        <v>45244</v>
      </c>
      <c r="B999" s="8" t="n">
        <v>2462.23</v>
      </c>
      <c r="C999" s="8" t="n">
        <v>124.8864</v>
      </c>
      <c r="D999" s="8" t="n">
        <v>0.35</v>
      </c>
      <c r="E999">
        <f>A999-A998</f>
        <v/>
      </c>
      <c r="F999" s="4">
        <f>ROUND(B999/B998-1,8)</f>
        <v/>
      </c>
      <c r="G999" s="4">
        <f>ROUND(C999/C998-1,8)</f>
        <v/>
      </c>
      <c r="H999" s="4">
        <f>ROUND(D999/100/(DATE(YEAR(A999)+1,1,1)-DATE(YEAR(A999),1,1))*E999,8)</f>
        <v/>
      </c>
      <c r="I999" s="4">
        <f>ROUND(I998*(1+F999),8)</f>
        <v/>
      </c>
      <c r="J999" s="4">
        <f>ROUND(J998*(1+G999),8)</f>
        <v/>
      </c>
      <c r="K999" s="4">
        <f>ROUND(K998+H999,8)</f>
        <v/>
      </c>
      <c r="L999" s="4">
        <f>ROUND(0.9*F999+0.05*G999+0.05*H999,8)</f>
        <v/>
      </c>
    </row>
    <row r="1000">
      <c r="A1000" s="2" t="n">
        <v>45245</v>
      </c>
      <c r="B1000" s="8" t="n">
        <v>2478.25</v>
      </c>
      <c r="C1000" s="8" t="n">
        <v>124.9001</v>
      </c>
      <c r="D1000" s="8" t="n">
        <v>0.35</v>
      </c>
      <c r="E1000">
        <f>A1000-A999</f>
        <v/>
      </c>
      <c r="F1000" s="4">
        <f>ROUND(B1000/B999-1,8)</f>
        <v/>
      </c>
      <c r="G1000" s="4">
        <f>ROUND(C1000/C999-1,8)</f>
        <v/>
      </c>
      <c r="H1000" s="4">
        <f>ROUND(D1000/100/(DATE(YEAR(A1000)+1,1,1)-DATE(YEAR(A1000),1,1))*E1000,8)</f>
        <v/>
      </c>
      <c r="I1000" s="4">
        <f>ROUND(I999*(1+F1000),8)</f>
        <v/>
      </c>
      <c r="J1000" s="4">
        <f>ROUND(J999*(1+G1000),8)</f>
        <v/>
      </c>
      <c r="K1000" s="4">
        <f>ROUND(K999+H1000,8)</f>
        <v/>
      </c>
      <c r="L1000" s="4">
        <f>ROUND(0.9*F1000+0.05*G1000+0.05*H1000,8)</f>
        <v/>
      </c>
    </row>
    <row r="1001">
      <c r="A1001" s="2" t="n">
        <v>45246</v>
      </c>
      <c r="B1001" s="8" t="n">
        <v>2464.77</v>
      </c>
      <c r="C1001" s="8" t="n">
        <v>124.9689</v>
      </c>
      <c r="D1001" s="8" t="n">
        <v>0.35</v>
      </c>
      <c r="E1001">
        <f>A1001-A1000</f>
        <v/>
      </c>
      <c r="F1001" s="4">
        <f>ROUND(B1001/B1000-1,8)</f>
        <v/>
      </c>
      <c r="G1001" s="4">
        <f>ROUND(C1001/C1000-1,8)</f>
        <v/>
      </c>
      <c r="H1001" s="4">
        <f>ROUND(D1001/100/(DATE(YEAR(A1001)+1,1,1)-DATE(YEAR(A1001),1,1))*E1001,8)</f>
        <v/>
      </c>
      <c r="I1001" s="4">
        <f>ROUND(I1000*(1+F1001),8)</f>
        <v/>
      </c>
      <c r="J1001" s="4">
        <f>ROUND(J1000*(1+G1001),8)</f>
        <v/>
      </c>
      <c r="K1001" s="4">
        <f>ROUND(K1000+H1001,8)</f>
        <v/>
      </c>
      <c r="L1001" s="4">
        <f>ROUND(0.9*F1001+0.05*G1001+0.05*H1001,8)</f>
        <v/>
      </c>
    </row>
    <row r="1002">
      <c r="A1002" s="2" t="n">
        <v>45247</v>
      </c>
      <c r="B1002" s="8" t="n">
        <v>2489.41</v>
      </c>
      <c r="C1002" s="8" t="n">
        <v>125.0163</v>
      </c>
      <c r="D1002" s="8" t="n">
        <v>0.35</v>
      </c>
      <c r="E1002">
        <f>A1002-A1001</f>
        <v/>
      </c>
      <c r="F1002" s="4">
        <f>ROUND(B1002/B1001-1,8)</f>
        <v/>
      </c>
      <c r="G1002" s="4">
        <f>ROUND(C1002/C1001-1,8)</f>
        <v/>
      </c>
      <c r="H1002" s="4">
        <f>ROUND(D1002/100/(DATE(YEAR(A1002)+1,1,1)-DATE(YEAR(A1002),1,1))*E1002,8)</f>
        <v/>
      </c>
      <c r="I1002" s="4">
        <f>ROUND(I1001*(1+F1002),8)</f>
        <v/>
      </c>
      <c r="J1002" s="4">
        <f>ROUND(J1001*(1+G1002),8)</f>
        <v/>
      </c>
      <c r="K1002" s="4">
        <f>ROUND(K1001+H1002,8)</f>
        <v/>
      </c>
      <c r="L1002" s="4">
        <f>ROUND(0.9*F1002+0.05*G1002+0.05*H1002,8)</f>
        <v/>
      </c>
    </row>
    <row r="1003">
      <c r="A1003" s="2" t="n">
        <v>45250</v>
      </c>
      <c r="B1003" s="8" t="n">
        <v>2515.5</v>
      </c>
      <c r="C1003" s="8" t="n">
        <v>125.0238</v>
      </c>
      <c r="D1003" s="8" t="n">
        <v>0.35</v>
      </c>
      <c r="E1003">
        <f>A1003-A1002</f>
        <v/>
      </c>
      <c r="F1003" s="4">
        <f>ROUND(B1003/B1002-1,8)</f>
        <v/>
      </c>
      <c r="G1003" s="4">
        <f>ROUND(C1003/C1002-1,8)</f>
        <v/>
      </c>
      <c r="H1003" s="4">
        <f>ROUND(D1003/100/(DATE(YEAR(A1003)+1,1,1)-DATE(YEAR(A1003),1,1))*E1003,8)</f>
        <v/>
      </c>
      <c r="I1003" s="4">
        <f>ROUND(I1002*(1+F1003),8)</f>
        <v/>
      </c>
      <c r="J1003" s="4">
        <f>ROUND(J1002*(1+G1003),8)</f>
        <v/>
      </c>
      <c r="K1003" s="4">
        <f>ROUND(K1002+H1003,8)</f>
        <v/>
      </c>
      <c r="L1003" s="4">
        <f>ROUND(0.9*F1003+0.05*G1003+0.05*H1003,8)</f>
        <v/>
      </c>
    </row>
    <row r="1004">
      <c r="A1004" s="2" t="n">
        <v>45251</v>
      </c>
      <c r="B1004" s="8" t="n">
        <v>2498.37</v>
      </c>
      <c r="C1004" s="8" t="n">
        <v>125.0296</v>
      </c>
      <c r="D1004" s="8" t="n">
        <v>0.35</v>
      </c>
      <c r="E1004">
        <f>A1004-A1003</f>
        <v/>
      </c>
      <c r="F1004" s="4">
        <f>ROUND(B1004/B1003-1,8)</f>
        <v/>
      </c>
      <c r="G1004" s="4">
        <f>ROUND(C1004/C1003-1,8)</f>
        <v/>
      </c>
      <c r="H1004" s="4">
        <f>ROUND(D1004/100/(DATE(YEAR(A1004)+1,1,1)-DATE(YEAR(A1004),1,1))*E1004,8)</f>
        <v/>
      </c>
      <c r="I1004" s="4">
        <f>ROUND(I1003*(1+F1004),8)</f>
        <v/>
      </c>
      <c r="J1004" s="4">
        <f>ROUND(J1003*(1+G1004),8)</f>
        <v/>
      </c>
      <c r="K1004" s="4">
        <f>ROUND(K1003+H1004,8)</f>
        <v/>
      </c>
      <c r="L1004" s="4">
        <f>ROUND(0.9*F1004+0.05*G1004+0.05*H1004,8)</f>
        <v/>
      </c>
    </row>
    <row r="1005">
      <c r="A1005" s="2" t="n">
        <v>45252</v>
      </c>
      <c r="B1005" s="8" t="n">
        <v>2472.2</v>
      </c>
      <c r="C1005" s="8" t="n">
        <v>124.9975</v>
      </c>
      <c r="D1005" s="8" t="n">
        <v>0.35</v>
      </c>
      <c r="E1005">
        <f>A1005-A1004</f>
        <v/>
      </c>
      <c r="F1005" s="4">
        <f>ROUND(B1005/B1004-1,8)</f>
        <v/>
      </c>
      <c r="G1005" s="4">
        <f>ROUND(C1005/C1004-1,8)</f>
        <v/>
      </c>
      <c r="H1005" s="4">
        <f>ROUND(D1005/100/(DATE(YEAR(A1005)+1,1,1)-DATE(YEAR(A1005),1,1))*E1005,8)</f>
        <v/>
      </c>
      <c r="I1005" s="4">
        <f>ROUND(I1004*(1+F1005),8)</f>
        <v/>
      </c>
      <c r="J1005" s="4">
        <f>ROUND(J1004*(1+G1005),8)</f>
        <v/>
      </c>
      <c r="K1005" s="4">
        <f>ROUND(K1004+H1005,8)</f>
        <v/>
      </c>
      <c r="L1005" s="4">
        <f>ROUND(0.9*F1005+0.05*G1005+0.05*H1005,8)</f>
        <v/>
      </c>
    </row>
    <row r="1006">
      <c r="A1006" s="2" t="n">
        <v>45253</v>
      </c>
      <c r="B1006" s="8" t="n">
        <v>2493.76</v>
      </c>
      <c r="C1006" s="8" t="n">
        <v>124.9163</v>
      </c>
      <c r="D1006" s="8" t="n">
        <v>0.35</v>
      </c>
      <c r="E1006">
        <f>A1006-A1005</f>
        <v/>
      </c>
      <c r="F1006" s="4">
        <f>ROUND(B1006/B1005-1,8)</f>
        <v/>
      </c>
      <c r="G1006" s="4">
        <f>ROUND(C1006/C1005-1,8)</f>
        <v/>
      </c>
      <c r="H1006" s="4">
        <f>ROUND(D1006/100/(DATE(YEAR(A1006)+1,1,1)-DATE(YEAR(A1006),1,1))*E1006,8)</f>
        <v/>
      </c>
      <c r="I1006" s="4">
        <f>ROUND(I1005*(1+F1006),8)</f>
        <v/>
      </c>
      <c r="J1006" s="4">
        <f>ROUND(J1005*(1+G1006),8)</f>
        <v/>
      </c>
      <c r="K1006" s="4">
        <f>ROUND(K1005+H1006,8)</f>
        <v/>
      </c>
      <c r="L1006" s="4">
        <f>ROUND(0.9*F1006+0.05*G1006+0.05*H1006,8)</f>
        <v/>
      </c>
    </row>
    <row r="1007">
      <c r="A1007" s="2" t="n">
        <v>45254</v>
      </c>
      <c r="B1007" s="8" t="n">
        <v>2462.3</v>
      </c>
      <c r="C1007" s="8" t="n">
        <v>124.9051</v>
      </c>
      <c r="D1007" s="8" t="n">
        <v>0.35</v>
      </c>
      <c r="E1007">
        <f>A1007-A1006</f>
        <v/>
      </c>
      <c r="F1007" s="4">
        <f>ROUND(B1007/B1006-1,8)</f>
        <v/>
      </c>
      <c r="G1007" s="4">
        <f>ROUND(C1007/C1006-1,8)</f>
        <v/>
      </c>
      <c r="H1007" s="4">
        <f>ROUND(D1007/100/(DATE(YEAR(A1007)+1,1,1)-DATE(YEAR(A1007),1,1))*E1007,8)</f>
        <v/>
      </c>
      <c r="I1007" s="4">
        <f>ROUND(I1006*(1+F1007),8)</f>
        <v/>
      </c>
      <c r="J1007" s="4">
        <f>ROUND(J1006*(1+G1007),8)</f>
        <v/>
      </c>
      <c r="K1007" s="4">
        <f>ROUND(K1006+H1007,8)</f>
        <v/>
      </c>
      <c r="L1007" s="4">
        <f>ROUND(0.9*F1007+0.05*G1007+0.05*H1007,8)</f>
        <v/>
      </c>
    </row>
    <row r="1008">
      <c r="A1008" s="2" t="n">
        <v>45257</v>
      </c>
      <c r="B1008" s="8" t="n">
        <v>2464.12</v>
      </c>
      <c r="C1008" s="8" t="n">
        <v>124.8435</v>
      </c>
      <c r="D1008" s="8" t="n">
        <v>0.35</v>
      </c>
      <c r="E1008">
        <f>A1008-A1007</f>
        <v/>
      </c>
      <c r="F1008" s="4">
        <f>ROUND(B1008/B1007-1,8)</f>
        <v/>
      </c>
      <c r="G1008" s="4">
        <f>ROUND(C1008/C1007-1,8)</f>
        <v/>
      </c>
      <c r="H1008" s="4">
        <f>ROUND(D1008/100/(DATE(YEAR(A1008)+1,1,1)-DATE(YEAR(A1008),1,1))*E1008,8)</f>
        <v/>
      </c>
      <c r="I1008" s="4">
        <f>ROUND(I1007*(1+F1008),8)</f>
        <v/>
      </c>
      <c r="J1008" s="4">
        <f>ROUND(J1007*(1+G1008),8)</f>
        <v/>
      </c>
      <c r="K1008" s="4">
        <f>ROUND(K1007+H1008,8)</f>
        <v/>
      </c>
      <c r="L1008" s="4">
        <f>ROUND(0.9*F1008+0.05*G1008+0.05*H1008,8)</f>
        <v/>
      </c>
    </row>
    <row r="1009">
      <c r="A1009" s="2" t="n">
        <v>45258</v>
      </c>
      <c r="B1009" s="8" t="n">
        <v>2481.73</v>
      </c>
      <c r="C1009" s="8" t="n">
        <v>124.8673</v>
      </c>
      <c r="D1009" s="8" t="n">
        <v>0.35</v>
      </c>
      <c r="E1009">
        <f>A1009-A1008</f>
        <v/>
      </c>
      <c r="F1009" s="4">
        <f>ROUND(B1009/B1008-1,8)</f>
        <v/>
      </c>
      <c r="G1009" s="4">
        <f>ROUND(C1009/C1008-1,8)</f>
        <v/>
      </c>
      <c r="H1009" s="4">
        <f>ROUND(D1009/100/(DATE(YEAR(A1009)+1,1,1)-DATE(YEAR(A1009),1,1))*E1009,8)</f>
        <v/>
      </c>
      <c r="I1009" s="4">
        <f>ROUND(I1008*(1+F1009),8)</f>
        <v/>
      </c>
      <c r="J1009" s="4">
        <f>ROUND(J1008*(1+G1009),8)</f>
        <v/>
      </c>
      <c r="K1009" s="4">
        <f>ROUND(K1008+H1009,8)</f>
        <v/>
      </c>
      <c r="L1009" s="4">
        <f>ROUND(0.9*F1009+0.05*G1009+0.05*H1009,8)</f>
        <v/>
      </c>
    </row>
    <row r="1010">
      <c r="A1010" s="2" t="n">
        <v>45259</v>
      </c>
      <c r="B1010" s="8" t="n">
        <v>2468.87</v>
      </c>
      <c r="C1010" s="8" t="n">
        <v>124.866</v>
      </c>
      <c r="D1010" s="8" t="n">
        <v>0.35</v>
      </c>
      <c r="E1010">
        <f>A1010-A1009</f>
        <v/>
      </c>
      <c r="F1010" s="4">
        <f>ROUND(B1010/B1009-1,8)</f>
        <v/>
      </c>
      <c r="G1010" s="4">
        <f>ROUND(C1010/C1009-1,8)</f>
        <v/>
      </c>
      <c r="H1010" s="4">
        <f>ROUND(D1010/100/(DATE(YEAR(A1010)+1,1,1)-DATE(YEAR(A1010),1,1))*E1010,8)</f>
        <v/>
      </c>
      <c r="I1010" s="4">
        <f>ROUND(I1009*(1+F1010),8)</f>
        <v/>
      </c>
      <c r="J1010" s="4">
        <f>ROUND(J1009*(1+G1010),8)</f>
        <v/>
      </c>
      <c r="K1010" s="4">
        <f>ROUND(K1009+H1010,8)</f>
        <v/>
      </c>
      <c r="L1010" s="4">
        <f>ROUND(0.9*F1010+0.05*G1010+0.05*H1010,8)</f>
        <v/>
      </c>
    </row>
    <row r="1011">
      <c r="A1011" s="2" t="n">
        <v>45260</v>
      </c>
      <c r="B1011" s="8" t="n">
        <v>2453.68</v>
      </c>
      <c r="C1011" s="8" t="n">
        <v>124.9128</v>
      </c>
      <c r="D1011" s="8" t="n">
        <v>0.35</v>
      </c>
      <c r="E1011">
        <f>A1011-A1010</f>
        <v/>
      </c>
      <c r="F1011" s="4">
        <f>ROUND(B1011/B1010-1,8)</f>
        <v/>
      </c>
      <c r="G1011" s="4">
        <f>ROUND(C1011/C1010-1,8)</f>
        <v/>
      </c>
      <c r="H1011" s="4">
        <f>ROUND(D1011/100/(DATE(YEAR(A1011)+1,1,1)-DATE(YEAR(A1011),1,1))*E1011,8)</f>
        <v/>
      </c>
      <c r="I1011" s="4">
        <f>ROUND(I1010*(1+F1011),8)</f>
        <v/>
      </c>
      <c r="J1011" s="4">
        <f>ROUND(J1010*(1+G1011),8)</f>
        <v/>
      </c>
      <c r="K1011" s="4">
        <f>ROUND(K1010+H1011,8)</f>
        <v/>
      </c>
      <c r="L1011" s="4">
        <f>ROUND(0.9*F1011+0.05*G1011+0.05*H1011,8)</f>
        <v/>
      </c>
    </row>
    <row r="1012">
      <c r="A1012" s="2" t="n">
        <v>45261</v>
      </c>
      <c r="B1012" s="8" t="n">
        <v>2477.46</v>
      </c>
      <c r="C1012" s="8" t="n">
        <v>124.901</v>
      </c>
      <c r="D1012" s="8" t="n">
        <v>0.35</v>
      </c>
      <c r="E1012">
        <f>A1012-A1011</f>
        <v/>
      </c>
      <c r="F1012" s="4">
        <f>ROUND(B1012/B1011-1,8)</f>
        <v/>
      </c>
      <c r="G1012" s="4">
        <f>ROUND(C1012/C1011-1,8)</f>
        <v/>
      </c>
      <c r="H1012" s="4">
        <f>ROUND(D1012/100/(DATE(YEAR(A1012)+1,1,1)-DATE(YEAR(A1012),1,1))*E1012,8)</f>
        <v/>
      </c>
      <c r="I1012" s="4">
        <f>ROUND(I1011*(1+F1012),8)</f>
        <v/>
      </c>
      <c r="J1012" s="4">
        <f>ROUND(J1011*(1+G1012),8)</f>
        <v/>
      </c>
      <c r="K1012" s="4">
        <f>ROUND(K1011+H1012,8)</f>
        <v/>
      </c>
      <c r="L1012" s="4">
        <f>ROUND(0.9*F1012+0.05*G1012+0.05*H1012,8)</f>
        <v/>
      </c>
    </row>
    <row r="1013">
      <c r="A1013" s="2" t="n">
        <v>45264</v>
      </c>
      <c r="B1013" s="8" t="n">
        <v>2481.35</v>
      </c>
      <c r="C1013" s="8" t="n">
        <v>124.8918</v>
      </c>
      <c r="D1013" s="8" t="n">
        <v>0.35</v>
      </c>
      <c r="E1013">
        <f>A1013-A1012</f>
        <v/>
      </c>
      <c r="F1013" s="4">
        <f>ROUND(B1013/B1012-1,8)</f>
        <v/>
      </c>
      <c r="G1013" s="4">
        <f>ROUND(C1013/C1012-1,8)</f>
        <v/>
      </c>
      <c r="H1013" s="4">
        <f>ROUND(D1013/100/(DATE(YEAR(A1013)+1,1,1)-DATE(YEAR(A1013),1,1))*E1013,8)</f>
        <v/>
      </c>
      <c r="I1013" s="4">
        <f>ROUND(I1012*(1+F1013),8)</f>
        <v/>
      </c>
      <c r="J1013" s="4">
        <f>ROUND(J1012*(1+G1013),8)</f>
        <v/>
      </c>
      <c r="K1013" s="4">
        <f>ROUND(K1012+H1013,8)</f>
        <v/>
      </c>
      <c r="L1013" s="4">
        <f>ROUND(0.9*F1013+0.05*G1013+0.05*H1013,8)</f>
        <v/>
      </c>
    </row>
    <row r="1014">
      <c r="A1014" s="2" t="n">
        <v>45265</v>
      </c>
      <c r="B1014" s="8" t="n">
        <v>2434.55</v>
      </c>
      <c r="C1014" s="8" t="n">
        <v>124.8723</v>
      </c>
      <c r="D1014" s="8" t="n">
        <v>0.35</v>
      </c>
      <c r="E1014">
        <f>A1014-A1013</f>
        <v/>
      </c>
      <c r="F1014" s="4">
        <f>ROUND(B1014/B1013-1,8)</f>
        <v/>
      </c>
      <c r="G1014" s="4">
        <f>ROUND(C1014/C1013-1,8)</f>
        <v/>
      </c>
      <c r="H1014" s="4">
        <f>ROUND(D1014/100/(DATE(YEAR(A1014)+1,1,1)-DATE(YEAR(A1014),1,1))*E1014,8)</f>
        <v/>
      </c>
      <c r="I1014" s="4">
        <f>ROUND(I1013*(1+F1014),8)</f>
        <v/>
      </c>
      <c r="J1014" s="4">
        <f>ROUND(J1013*(1+G1014),8)</f>
        <v/>
      </c>
      <c r="K1014" s="4">
        <f>ROUND(K1013+H1014,8)</f>
        <v/>
      </c>
      <c r="L1014" s="4">
        <f>ROUND(0.9*F1014+0.05*G1014+0.05*H1014,8)</f>
        <v/>
      </c>
    </row>
    <row r="1015">
      <c r="A1015" s="2" t="n">
        <v>45266</v>
      </c>
      <c r="B1015" s="8" t="n">
        <v>2446.75</v>
      </c>
      <c r="C1015" s="8" t="n">
        <v>124.8493</v>
      </c>
      <c r="D1015" s="8" t="n">
        <v>0.35</v>
      </c>
      <c r="E1015">
        <f>A1015-A1014</f>
        <v/>
      </c>
      <c r="F1015" s="4">
        <f>ROUND(B1015/B1014-1,8)</f>
        <v/>
      </c>
      <c r="G1015" s="4">
        <f>ROUND(C1015/C1014-1,8)</f>
        <v/>
      </c>
      <c r="H1015" s="4">
        <f>ROUND(D1015/100/(DATE(YEAR(A1015)+1,1,1)-DATE(YEAR(A1015),1,1))*E1015,8)</f>
        <v/>
      </c>
      <c r="I1015" s="4">
        <f>ROUND(I1014*(1+F1015),8)</f>
        <v/>
      </c>
      <c r="J1015" s="4">
        <f>ROUND(J1014*(1+G1015),8)</f>
        <v/>
      </c>
      <c r="K1015" s="4">
        <f>ROUND(K1014+H1015,8)</f>
        <v/>
      </c>
      <c r="L1015" s="4">
        <f>ROUND(0.9*F1015+0.05*G1015+0.05*H1015,8)</f>
        <v/>
      </c>
    </row>
    <row r="1016">
      <c r="A1016" s="2" t="n">
        <v>45267</v>
      </c>
      <c r="B1016" s="8" t="n">
        <v>2439.36</v>
      </c>
      <c r="C1016" s="8" t="n">
        <v>124.8677</v>
      </c>
      <c r="D1016" s="8" t="n">
        <v>0.35</v>
      </c>
      <c r="E1016">
        <f>A1016-A1015</f>
        <v/>
      </c>
      <c r="F1016" s="4">
        <f>ROUND(B1016/B1015-1,8)</f>
        <v/>
      </c>
      <c r="G1016" s="4">
        <f>ROUND(C1016/C1015-1,8)</f>
        <v/>
      </c>
      <c r="H1016" s="4">
        <f>ROUND(D1016/100/(DATE(YEAR(A1016)+1,1,1)-DATE(YEAR(A1016),1,1))*E1016,8)</f>
        <v/>
      </c>
      <c r="I1016" s="4">
        <f>ROUND(I1015*(1+F1016),8)</f>
        <v/>
      </c>
      <c r="J1016" s="4">
        <f>ROUND(J1015*(1+G1016),8)</f>
        <v/>
      </c>
      <c r="K1016" s="4">
        <f>ROUND(K1015+H1016,8)</f>
        <v/>
      </c>
      <c r="L1016" s="4">
        <f>ROUND(0.9*F1016+0.05*G1016+0.05*H1016,8)</f>
        <v/>
      </c>
    </row>
    <row r="1017">
      <c r="A1017" s="2" t="n">
        <v>45268</v>
      </c>
      <c r="B1017" s="8" t="n">
        <v>2414.51</v>
      </c>
      <c r="C1017" s="8" t="n">
        <v>124.8934</v>
      </c>
      <c r="D1017" s="8" t="n">
        <v>0.35</v>
      </c>
      <c r="E1017">
        <f>A1017-A1016</f>
        <v/>
      </c>
      <c r="F1017" s="4">
        <f>ROUND(B1017/B1016-1,8)</f>
        <v/>
      </c>
      <c r="G1017" s="4">
        <f>ROUND(C1017/C1016-1,8)</f>
        <v/>
      </c>
      <c r="H1017" s="4">
        <f>ROUND(D1017/100/(DATE(YEAR(A1017)+1,1,1)-DATE(YEAR(A1017),1,1))*E1017,8)</f>
        <v/>
      </c>
      <c r="I1017" s="4">
        <f>ROUND(I1016*(1+F1017),8)</f>
        <v/>
      </c>
      <c r="J1017" s="4">
        <f>ROUND(J1016*(1+G1017),8)</f>
        <v/>
      </c>
      <c r="K1017" s="4">
        <f>ROUND(K1016+H1017,8)</f>
        <v/>
      </c>
      <c r="L1017" s="4">
        <f>ROUND(0.9*F1017+0.05*G1017+0.05*H1017,8)</f>
        <v/>
      </c>
    </row>
    <row r="1018">
      <c r="A1018" s="2" t="n">
        <v>45271</v>
      </c>
      <c r="B1018" s="8" t="n">
        <v>2440.35</v>
      </c>
      <c r="C1018" s="8" t="n">
        <v>124.965</v>
      </c>
      <c r="D1018" s="8" t="n">
        <v>0.35</v>
      </c>
      <c r="E1018">
        <f>A1018-A1017</f>
        <v/>
      </c>
      <c r="F1018" s="4">
        <f>ROUND(B1018/B1017-1,8)</f>
        <v/>
      </c>
      <c r="G1018" s="4">
        <f>ROUND(C1018/C1017-1,8)</f>
        <v/>
      </c>
      <c r="H1018" s="4">
        <f>ROUND(D1018/100/(DATE(YEAR(A1018)+1,1,1)-DATE(YEAR(A1018),1,1))*E1018,8)</f>
        <v/>
      </c>
      <c r="I1018" s="4">
        <f>ROUND(I1017*(1+F1018),8)</f>
        <v/>
      </c>
      <c r="J1018" s="4">
        <f>ROUND(J1017*(1+G1018),8)</f>
        <v/>
      </c>
      <c r="K1018" s="4">
        <f>ROUND(K1017+H1018,8)</f>
        <v/>
      </c>
      <c r="L1018" s="4">
        <f>ROUND(0.9*F1018+0.05*G1018+0.05*H1018,8)</f>
        <v/>
      </c>
    </row>
    <row r="1019">
      <c r="A1019" s="2" t="n">
        <v>45272</v>
      </c>
      <c r="B1019" s="8" t="n">
        <v>2453.29</v>
      </c>
      <c r="C1019" s="8" t="n">
        <v>124.9834</v>
      </c>
      <c r="D1019" s="8" t="n">
        <v>0.35</v>
      </c>
      <c r="E1019">
        <f>A1019-A1018</f>
        <v/>
      </c>
      <c r="F1019" s="4">
        <f>ROUND(B1019/B1018-1,8)</f>
        <v/>
      </c>
      <c r="G1019" s="4">
        <f>ROUND(C1019/C1018-1,8)</f>
        <v/>
      </c>
      <c r="H1019" s="4">
        <f>ROUND(D1019/100/(DATE(YEAR(A1019)+1,1,1)-DATE(YEAR(A1019),1,1))*E1019,8)</f>
        <v/>
      </c>
      <c r="I1019" s="4">
        <f>ROUND(I1018*(1+F1019),8)</f>
        <v/>
      </c>
      <c r="J1019" s="4">
        <f>ROUND(J1018*(1+G1019),8)</f>
        <v/>
      </c>
      <c r="K1019" s="4">
        <f>ROUND(K1018+H1019,8)</f>
        <v/>
      </c>
      <c r="L1019" s="4">
        <f>ROUND(0.9*F1019+0.05*G1019+0.05*H1019,8)</f>
        <v/>
      </c>
    </row>
    <row r="1020">
      <c r="A1020" s="2" t="n">
        <v>45273</v>
      </c>
      <c r="B1020" s="8" t="n">
        <v>2443.02</v>
      </c>
      <c r="C1020" s="8" t="n">
        <v>125.0773</v>
      </c>
      <c r="D1020" s="8" t="n">
        <v>0.35</v>
      </c>
      <c r="E1020">
        <f>A1020-A1019</f>
        <v/>
      </c>
      <c r="F1020" s="4">
        <f>ROUND(B1020/B1019-1,8)</f>
        <v/>
      </c>
      <c r="G1020" s="4">
        <f>ROUND(C1020/C1019-1,8)</f>
        <v/>
      </c>
      <c r="H1020" s="4">
        <f>ROUND(D1020/100/(DATE(YEAR(A1020)+1,1,1)-DATE(YEAR(A1020),1,1))*E1020,8)</f>
        <v/>
      </c>
      <c r="I1020" s="4">
        <f>ROUND(I1019*(1+F1020),8)</f>
        <v/>
      </c>
      <c r="J1020" s="4">
        <f>ROUND(J1019*(1+G1020),8)</f>
        <v/>
      </c>
      <c r="K1020" s="4">
        <f>ROUND(K1019+H1020,8)</f>
        <v/>
      </c>
      <c r="L1020" s="4">
        <f>ROUND(0.9*F1020+0.05*G1020+0.05*H1020,8)</f>
        <v/>
      </c>
    </row>
    <row r="1021">
      <c r="A1021" s="2" t="n">
        <v>45274</v>
      </c>
      <c r="B1021" s="8" t="n">
        <v>2433.72</v>
      </c>
      <c r="C1021" s="8" t="n">
        <v>125.1336</v>
      </c>
      <c r="D1021" s="8" t="n">
        <v>0.35</v>
      </c>
      <c r="E1021">
        <f>A1021-A1020</f>
        <v/>
      </c>
      <c r="F1021" s="4">
        <f>ROUND(B1021/B1020-1,8)</f>
        <v/>
      </c>
      <c r="G1021" s="4">
        <f>ROUND(C1021/C1020-1,8)</f>
        <v/>
      </c>
      <c r="H1021" s="4">
        <f>ROUND(D1021/100/(DATE(YEAR(A1021)+1,1,1)-DATE(YEAR(A1021),1,1))*E1021,8)</f>
        <v/>
      </c>
      <c r="I1021" s="4">
        <f>ROUND(I1020*(1+F1021),8)</f>
        <v/>
      </c>
      <c r="J1021" s="4">
        <f>ROUND(J1020*(1+G1021),8)</f>
        <v/>
      </c>
      <c r="K1021" s="4">
        <f>ROUND(K1020+H1021,8)</f>
        <v/>
      </c>
      <c r="L1021" s="4">
        <f>ROUND(0.9*F1021+0.05*G1021+0.05*H1021,8)</f>
        <v/>
      </c>
    </row>
    <row r="1022">
      <c r="A1022" s="2" t="n">
        <v>45275</v>
      </c>
      <c r="B1022" s="8" t="n">
        <v>2420.81</v>
      </c>
      <c r="C1022" s="8" t="n">
        <v>125.2311</v>
      </c>
      <c r="D1022" s="8" t="n">
        <v>0.35</v>
      </c>
      <c r="E1022">
        <f>A1022-A1021</f>
        <v/>
      </c>
      <c r="F1022" s="4">
        <f>ROUND(B1022/B1021-1,8)</f>
        <v/>
      </c>
      <c r="G1022" s="4">
        <f>ROUND(C1022/C1021-1,8)</f>
        <v/>
      </c>
      <c r="H1022" s="4">
        <f>ROUND(D1022/100/(DATE(YEAR(A1022)+1,1,1)-DATE(YEAR(A1022),1,1))*E1022,8)</f>
        <v/>
      </c>
      <c r="I1022" s="4">
        <f>ROUND(I1021*(1+F1022),8)</f>
        <v/>
      </c>
      <c r="J1022" s="4">
        <f>ROUND(J1021*(1+G1022),8)</f>
        <v/>
      </c>
      <c r="K1022" s="4">
        <f>ROUND(K1021+H1022,8)</f>
        <v/>
      </c>
      <c r="L1022" s="4">
        <f>ROUND(0.9*F1022+0.05*G1022+0.05*H1022,8)</f>
        <v/>
      </c>
    </row>
    <row r="1023">
      <c r="A1023" s="2" t="n">
        <v>45278</v>
      </c>
      <c r="B1023" s="8" t="n">
        <v>2386.56</v>
      </c>
      <c r="C1023" s="8" t="n">
        <v>125.325</v>
      </c>
      <c r="D1023" s="8" t="n">
        <v>0.35</v>
      </c>
      <c r="E1023">
        <f>A1023-A1022</f>
        <v/>
      </c>
      <c r="F1023" s="4">
        <f>ROUND(B1023/B1022-1,8)</f>
        <v/>
      </c>
      <c r="G1023" s="4">
        <f>ROUND(C1023/C1022-1,8)</f>
        <v/>
      </c>
      <c r="H1023" s="4">
        <f>ROUND(D1023/100/(DATE(YEAR(A1023)+1,1,1)-DATE(YEAR(A1023),1,1))*E1023,8)</f>
        <v/>
      </c>
      <c r="I1023" s="4">
        <f>ROUND(I1022*(1+F1023),8)</f>
        <v/>
      </c>
      <c r="J1023" s="4">
        <f>ROUND(J1022*(1+G1023),8)</f>
        <v/>
      </c>
      <c r="K1023" s="4">
        <f>ROUND(K1022+H1023,8)</f>
        <v/>
      </c>
      <c r="L1023" s="4">
        <f>ROUND(0.9*F1023+0.05*G1023+0.05*H1023,8)</f>
        <v/>
      </c>
    </row>
    <row r="1024">
      <c r="A1024" s="2" t="n">
        <v>45279</v>
      </c>
      <c r="B1024" s="8" t="n">
        <v>2392.43</v>
      </c>
      <c r="C1024" s="8" t="n">
        <v>125.3686</v>
      </c>
      <c r="D1024" s="8" t="n">
        <v>0.35</v>
      </c>
      <c r="E1024">
        <f>A1024-A1023</f>
        <v/>
      </c>
      <c r="F1024" s="4">
        <f>ROUND(B1024/B1023-1,8)</f>
        <v/>
      </c>
      <c r="G1024" s="4">
        <f>ROUND(C1024/C1023-1,8)</f>
        <v/>
      </c>
      <c r="H1024" s="4">
        <f>ROUND(D1024/100/(DATE(YEAR(A1024)+1,1,1)-DATE(YEAR(A1024),1,1))*E1024,8)</f>
        <v/>
      </c>
      <c r="I1024" s="4">
        <f>ROUND(I1023*(1+F1024),8)</f>
        <v/>
      </c>
      <c r="J1024" s="4">
        <f>ROUND(J1023*(1+G1024),8)</f>
        <v/>
      </c>
      <c r="K1024" s="4">
        <f>ROUND(K1023+H1024,8)</f>
        <v/>
      </c>
      <c r="L1024" s="4">
        <f>ROUND(0.9*F1024+0.05*G1024+0.05*H1024,8)</f>
        <v/>
      </c>
    </row>
    <row r="1025">
      <c r="A1025" s="2" t="n">
        <v>45280</v>
      </c>
      <c r="B1025" s="8" t="n">
        <v>2362.98</v>
      </c>
      <c r="C1025" s="8" t="n">
        <v>125.4179</v>
      </c>
      <c r="D1025" s="8" t="n">
        <v>0.35</v>
      </c>
      <c r="E1025">
        <f>A1025-A1024</f>
        <v/>
      </c>
      <c r="F1025" s="4">
        <f>ROUND(B1025/B1024-1,8)</f>
        <v/>
      </c>
      <c r="G1025" s="4">
        <f>ROUND(C1025/C1024-1,8)</f>
        <v/>
      </c>
      <c r="H1025" s="4">
        <f>ROUND(D1025/100/(DATE(YEAR(A1025)+1,1,1)-DATE(YEAR(A1025),1,1))*E1025,8)</f>
        <v/>
      </c>
      <c r="I1025" s="4">
        <f>ROUND(I1024*(1+F1025),8)</f>
        <v/>
      </c>
      <c r="J1025" s="4">
        <f>ROUND(J1024*(1+G1025),8)</f>
        <v/>
      </c>
      <c r="K1025" s="4">
        <f>ROUND(K1024+H1025,8)</f>
        <v/>
      </c>
      <c r="L1025" s="4">
        <f>ROUND(0.9*F1025+0.05*G1025+0.05*H1025,8)</f>
        <v/>
      </c>
    </row>
    <row r="1026">
      <c r="A1026" s="2" t="n">
        <v>45281</v>
      </c>
      <c r="B1026" s="8" t="n">
        <v>2380.24</v>
      </c>
      <c r="C1026" s="8" t="n">
        <v>125.5001</v>
      </c>
      <c r="D1026" s="8" t="n">
        <v>0.35</v>
      </c>
      <c r="E1026">
        <f>A1026-A1025</f>
        <v/>
      </c>
      <c r="F1026" s="4">
        <f>ROUND(B1026/B1025-1,8)</f>
        <v/>
      </c>
      <c r="G1026" s="4">
        <f>ROUND(C1026/C1025-1,8)</f>
        <v/>
      </c>
      <c r="H1026" s="4">
        <f>ROUND(D1026/100/(DATE(YEAR(A1026)+1,1,1)-DATE(YEAR(A1026),1,1))*E1026,8)</f>
        <v/>
      </c>
      <c r="I1026" s="4">
        <f>ROUND(I1025*(1+F1026),8)</f>
        <v/>
      </c>
      <c r="J1026" s="4">
        <f>ROUND(J1025*(1+G1026),8)</f>
        <v/>
      </c>
      <c r="K1026" s="4">
        <f>ROUND(K1025+H1026,8)</f>
        <v/>
      </c>
      <c r="L1026" s="4">
        <f>ROUND(0.9*F1026+0.05*G1026+0.05*H1026,8)</f>
        <v/>
      </c>
    </row>
    <row r="1027">
      <c r="A1027" s="2" t="n">
        <v>45282</v>
      </c>
      <c r="B1027" s="8" t="n">
        <v>2337.22</v>
      </c>
      <c r="C1027" s="8" t="n">
        <v>125.612</v>
      </c>
      <c r="D1027" s="8" t="n">
        <v>0.35</v>
      </c>
      <c r="E1027">
        <f>A1027-A1026</f>
        <v/>
      </c>
      <c r="F1027" s="4">
        <f>ROUND(B1027/B1026-1,8)</f>
        <v/>
      </c>
      <c r="G1027" s="4">
        <f>ROUND(C1027/C1026-1,8)</f>
        <v/>
      </c>
      <c r="H1027" s="4">
        <f>ROUND(D1027/100/(DATE(YEAR(A1027)+1,1,1)-DATE(YEAR(A1027),1,1))*E1027,8)</f>
        <v/>
      </c>
      <c r="I1027" s="4">
        <f>ROUND(I1026*(1+F1027),8)</f>
        <v/>
      </c>
      <c r="J1027" s="4">
        <f>ROUND(J1026*(1+G1027),8)</f>
        <v/>
      </c>
      <c r="K1027" s="4">
        <f>ROUND(K1026+H1027,8)</f>
        <v/>
      </c>
      <c r="L1027" s="4">
        <f>ROUND(0.9*F1027+0.05*G1027+0.05*H1027,8)</f>
        <v/>
      </c>
    </row>
    <row r="1028">
      <c r="A1028" s="2" t="n">
        <v>45285</v>
      </c>
      <c r="B1028" s="8" t="n">
        <v>2331.32</v>
      </c>
      <c r="C1028" s="8" t="n">
        <v>125.7194</v>
      </c>
      <c r="D1028" s="8" t="n">
        <v>0.35</v>
      </c>
      <c r="E1028">
        <f>A1028-A1027</f>
        <v/>
      </c>
      <c r="F1028" s="4">
        <f>ROUND(B1028/B1027-1,8)</f>
        <v/>
      </c>
      <c r="G1028" s="4">
        <f>ROUND(C1028/C1027-1,8)</f>
        <v/>
      </c>
      <c r="H1028" s="4">
        <f>ROUND(D1028/100/(DATE(YEAR(A1028)+1,1,1)-DATE(YEAR(A1028),1,1))*E1028,8)</f>
        <v/>
      </c>
      <c r="I1028" s="4">
        <f>ROUND(I1027*(1+F1028),8)</f>
        <v/>
      </c>
      <c r="J1028" s="4">
        <f>ROUND(J1027*(1+G1028),8)</f>
        <v/>
      </c>
      <c r="K1028" s="4">
        <f>ROUND(K1027+H1028,8)</f>
        <v/>
      </c>
      <c r="L1028" s="4">
        <f>ROUND(0.9*F1028+0.05*G1028+0.05*H1028,8)</f>
        <v/>
      </c>
    </row>
    <row r="1029">
      <c r="A1029" s="2" t="n">
        <v>45286</v>
      </c>
      <c r="B1029" s="8" t="n">
        <v>2295.97</v>
      </c>
      <c r="C1029" s="8" t="n">
        <v>125.7936</v>
      </c>
      <c r="D1029" s="8" t="n">
        <v>0.35</v>
      </c>
      <c r="E1029">
        <f>A1029-A1028</f>
        <v/>
      </c>
      <c r="F1029" s="4">
        <f>ROUND(B1029/B1028-1,8)</f>
        <v/>
      </c>
      <c r="G1029" s="4">
        <f>ROUND(C1029/C1028-1,8)</f>
        <v/>
      </c>
      <c r="H1029" s="4">
        <f>ROUND(D1029/100/(DATE(YEAR(A1029)+1,1,1)-DATE(YEAR(A1029),1,1))*E1029,8)</f>
        <v/>
      </c>
      <c r="I1029" s="4">
        <f>ROUND(I1028*(1+F1029),8)</f>
        <v/>
      </c>
      <c r="J1029" s="4">
        <f>ROUND(J1028*(1+G1029),8)</f>
        <v/>
      </c>
      <c r="K1029" s="4">
        <f>ROUND(K1028+H1029,8)</f>
        <v/>
      </c>
      <c r="L1029" s="4">
        <f>ROUND(0.9*F1029+0.05*G1029+0.05*H1029,8)</f>
        <v/>
      </c>
    </row>
    <row r="1030">
      <c r="A1030" s="2" t="n">
        <v>45287</v>
      </c>
      <c r="B1030" s="8" t="n">
        <v>2315.08</v>
      </c>
      <c r="C1030" s="8" t="n">
        <v>125.8607</v>
      </c>
      <c r="D1030" s="8" t="n">
        <v>0.35</v>
      </c>
      <c r="E1030">
        <f>A1030-A1029</f>
        <v/>
      </c>
      <c r="F1030" s="4">
        <f>ROUND(B1030/B1029-1,8)</f>
        <v/>
      </c>
      <c r="G1030" s="4">
        <f>ROUND(C1030/C1029-1,8)</f>
        <v/>
      </c>
      <c r="H1030" s="4">
        <f>ROUND(D1030/100/(DATE(YEAR(A1030)+1,1,1)-DATE(YEAR(A1030),1,1))*E1030,8)</f>
        <v/>
      </c>
      <c r="I1030" s="4">
        <f>ROUND(I1029*(1+F1030),8)</f>
        <v/>
      </c>
      <c r="J1030" s="4">
        <f>ROUND(J1029*(1+G1030),8)</f>
        <v/>
      </c>
      <c r="K1030" s="4">
        <f>ROUND(K1029+H1030,8)</f>
        <v/>
      </c>
      <c r="L1030" s="4">
        <f>ROUND(0.9*F1030+0.05*G1030+0.05*H1030,8)</f>
        <v/>
      </c>
    </row>
    <row r="1031">
      <c r="A1031" s="2" t="n">
        <v>45288</v>
      </c>
      <c r="B1031" s="8" t="n">
        <v>2353.93</v>
      </c>
      <c r="C1031" s="8" t="n">
        <v>125.9168</v>
      </c>
      <c r="D1031" s="8" t="n">
        <v>0.35</v>
      </c>
      <c r="E1031">
        <f>A1031-A1030</f>
        <v/>
      </c>
      <c r="F1031" s="4">
        <f>ROUND(B1031/B1030-1,8)</f>
        <v/>
      </c>
      <c r="G1031" s="4">
        <f>ROUND(C1031/C1030-1,8)</f>
        <v/>
      </c>
      <c r="H1031" s="4">
        <f>ROUND(D1031/100/(DATE(YEAR(A1031)+1,1,1)-DATE(YEAR(A1031),1,1))*E1031,8)</f>
        <v/>
      </c>
      <c r="I1031" s="4">
        <f>ROUND(I1030*(1+F1031),8)</f>
        <v/>
      </c>
      <c r="J1031" s="4">
        <f>ROUND(J1030*(1+G1031),8)</f>
        <v/>
      </c>
      <c r="K1031" s="4">
        <f>ROUND(K1030+H1031,8)</f>
        <v/>
      </c>
      <c r="L1031" s="4">
        <f>ROUND(0.9*F1031+0.05*G1031+0.05*H1031,8)</f>
        <v/>
      </c>
    </row>
    <row r="1032">
      <c r="A1032" s="2" t="n">
        <v>45289</v>
      </c>
      <c r="B1032" s="8" t="n">
        <v>2399.47</v>
      </c>
      <c r="C1032" s="8" t="n">
        <v>125.9493</v>
      </c>
      <c r="D1032" s="8" t="n">
        <v>0.35</v>
      </c>
      <c r="E1032">
        <f>A1032-A1031</f>
        <v/>
      </c>
      <c r="F1032" s="4">
        <f>ROUND(B1032/B1031-1,8)</f>
        <v/>
      </c>
      <c r="G1032" s="4">
        <f>ROUND(C1032/C1031-1,8)</f>
        <v/>
      </c>
      <c r="H1032" s="4">
        <f>ROUND(D1032/100/(DATE(YEAR(A1032)+1,1,1)-DATE(YEAR(A1032),1,1))*E1032,8)</f>
        <v/>
      </c>
      <c r="I1032" s="4">
        <f>ROUND(I1031*(1+F1032),8)</f>
        <v/>
      </c>
      <c r="J1032" s="4">
        <f>ROUND(J1031*(1+G1032),8)</f>
        <v/>
      </c>
      <c r="K1032" s="4">
        <f>ROUND(K1031+H1032,8)</f>
        <v/>
      </c>
      <c r="L1032" s="4">
        <f>ROUND(0.9*F1032+0.05*G1032+0.05*H1032,8)</f>
        <v/>
      </c>
    </row>
    <row r="1033">
      <c r="A1033" s="2" t="n">
        <v>45293</v>
      </c>
      <c r="B1033" s="8" t="n">
        <v>2402.03</v>
      </c>
      <c r="C1033" s="8" t="n">
        <v>125.9646</v>
      </c>
      <c r="D1033" s="8" t="n">
        <v>0.35</v>
      </c>
      <c r="E1033">
        <f>A1033-A1032</f>
        <v/>
      </c>
      <c r="F1033" s="4">
        <f>ROUND(B1033/B1032-1,8)</f>
        <v/>
      </c>
      <c r="G1033" s="4">
        <f>ROUND(C1033/C1032-1,8)</f>
        <v/>
      </c>
      <c r="H1033" s="4">
        <f>ROUND(D1033/100/(DATE(YEAR(A1033)+1,1,1)-DATE(YEAR(A1033),1,1))*E1033,8)</f>
        <v/>
      </c>
      <c r="I1033" s="4">
        <f>ROUND(I1032*(1+F1033),8)</f>
        <v/>
      </c>
      <c r="J1033" s="4">
        <f>ROUND(J1032*(1+G1033),8)</f>
        <v/>
      </c>
      <c r="K1033" s="4">
        <f>ROUND(K1032+H1033,8)</f>
        <v/>
      </c>
      <c r="L1033" s="4">
        <f>ROUND(0.9*F1033+0.05*G1033+0.05*H1033,8)</f>
        <v/>
      </c>
    </row>
    <row r="1034">
      <c r="A1034" s="2" t="n">
        <v>45294</v>
      </c>
      <c r="B1034" s="8" t="n">
        <v>2389.21</v>
      </c>
      <c r="C1034" s="8" t="n">
        <v>125.9338</v>
      </c>
      <c r="D1034" s="8" t="n">
        <v>0.35</v>
      </c>
      <c r="E1034">
        <f>A1034-A1033</f>
        <v/>
      </c>
      <c r="F1034" s="4">
        <f>ROUND(B1034/B1033-1,8)</f>
        <v/>
      </c>
      <c r="G1034" s="4">
        <f>ROUND(C1034/C1033-1,8)</f>
        <v/>
      </c>
      <c r="H1034" s="4">
        <f>ROUND(D1034/100/(DATE(YEAR(A1034)+1,1,1)-DATE(YEAR(A1034),1,1))*E1034,8)</f>
        <v/>
      </c>
      <c r="I1034" s="4">
        <f>ROUND(I1033*(1+F1034),8)</f>
        <v/>
      </c>
      <c r="J1034" s="4">
        <f>ROUND(J1033*(1+G1034),8)</f>
        <v/>
      </c>
      <c r="K1034" s="4">
        <f>ROUND(K1033+H1034,8)</f>
        <v/>
      </c>
      <c r="L1034" s="4">
        <f>ROUND(0.9*F1034+0.05*G1034+0.05*H1034,8)</f>
        <v/>
      </c>
    </row>
    <row r="1035">
      <c r="A1035" s="2" t="n">
        <v>45295</v>
      </c>
      <c r="B1035" s="8" t="n">
        <v>2382</v>
      </c>
      <c r="C1035" s="8" t="n">
        <v>125.9853</v>
      </c>
      <c r="D1035" s="8" t="n">
        <v>0.35</v>
      </c>
      <c r="E1035">
        <f>A1035-A1034</f>
        <v/>
      </c>
      <c r="F1035" s="4">
        <f>ROUND(B1035/B1034-1,8)</f>
        <v/>
      </c>
      <c r="G1035" s="4">
        <f>ROUND(C1035/C1034-1,8)</f>
        <v/>
      </c>
      <c r="H1035" s="4">
        <f>ROUND(D1035/100/(DATE(YEAR(A1035)+1,1,1)-DATE(YEAR(A1035),1,1))*E1035,8)</f>
        <v/>
      </c>
      <c r="I1035" s="4">
        <f>ROUND(I1034*(1+F1035),8)</f>
        <v/>
      </c>
      <c r="J1035" s="4">
        <f>ROUND(J1034*(1+G1035),8)</f>
        <v/>
      </c>
      <c r="K1035" s="4">
        <f>ROUND(K1034+H1035,8)</f>
        <v/>
      </c>
      <c r="L1035" s="4">
        <f>ROUND(0.9*F1035+0.05*G1035+0.05*H1035,8)</f>
        <v/>
      </c>
    </row>
    <row r="1036">
      <c r="A1036" s="2" t="n">
        <v>45296</v>
      </c>
      <c r="B1036" s="8" t="n">
        <v>2334.87</v>
      </c>
      <c r="C1036" s="8" t="n">
        <v>126.0728</v>
      </c>
      <c r="D1036" s="8" t="n">
        <v>0.35</v>
      </c>
      <c r="E1036">
        <f>A1036-A1035</f>
        <v/>
      </c>
      <c r="F1036" s="4">
        <f>ROUND(B1036/B1035-1,8)</f>
        <v/>
      </c>
      <c r="G1036" s="4">
        <f>ROUND(C1036/C1035-1,8)</f>
        <v/>
      </c>
      <c r="H1036" s="4">
        <f>ROUND(D1036/100/(DATE(YEAR(A1036)+1,1,1)-DATE(YEAR(A1036),1,1))*E1036,8)</f>
        <v/>
      </c>
      <c r="I1036" s="4">
        <f>ROUND(I1035*(1+F1036),8)</f>
        <v/>
      </c>
      <c r="J1036" s="4">
        <f>ROUND(J1035*(1+G1036),8)</f>
        <v/>
      </c>
      <c r="K1036" s="4">
        <f>ROUND(K1035+H1036,8)</f>
        <v/>
      </c>
      <c r="L1036" s="4">
        <f>ROUND(0.9*F1036+0.05*G1036+0.05*H1036,8)</f>
        <v/>
      </c>
    </row>
    <row r="1037">
      <c r="A1037" s="2" t="n">
        <v>45299</v>
      </c>
      <c r="B1037" s="8" t="n">
        <v>2290.79</v>
      </c>
      <c r="C1037" s="8" t="n">
        <v>126.0915</v>
      </c>
      <c r="D1037" s="8" t="n">
        <v>0.35</v>
      </c>
      <c r="E1037">
        <f>A1037-A1036</f>
        <v/>
      </c>
      <c r="F1037" s="4">
        <f>ROUND(B1037/B1036-1,8)</f>
        <v/>
      </c>
      <c r="G1037" s="4">
        <f>ROUND(C1037/C1036-1,8)</f>
        <v/>
      </c>
      <c r="H1037" s="4">
        <f>ROUND(D1037/100/(DATE(YEAR(A1037)+1,1,1)-DATE(YEAR(A1037),1,1))*E1037,8)</f>
        <v/>
      </c>
      <c r="I1037" s="4">
        <f>ROUND(I1036*(1+F1037),8)</f>
        <v/>
      </c>
      <c r="J1037" s="4">
        <f>ROUND(J1036*(1+G1037),8)</f>
        <v/>
      </c>
      <c r="K1037" s="4">
        <f>ROUND(K1036+H1037,8)</f>
        <v/>
      </c>
      <c r="L1037" s="4">
        <f>ROUND(0.9*F1037+0.05*G1037+0.05*H1037,8)</f>
        <v/>
      </c>
    </row>
    <row r="1038">
      <c r="A1038" s="2" t="n">
        <v>45300</v>
      </c>
      <c r="B1038" s="8" t="n">
        <v>2304.96</v>
      </c>
      <c r="C1038" s="8" t="n">
        <v>126.213</v>
      </c>
      <c r="D1038" s="8" t="n">
        <v>0.35</v>
      </c>
      <c r="E1038">
        <f>A1038-A1037</f>
        <v/>
      </c>
      <c r="F1038" s="4">
        <f>ROUND(B1038/B1037-1,8)</f>
        <v/>
      </c>
      <c r="G1038" s="4">
        <f>ROUND(C1038/C1037-1,8)</f>
        <v/>
      </c>
      <c r="H1038" s="4">
        <f>ROUND(D1038/100/(DATE(YEAR(A1038)+1,1,1)-DATE(YEAR(A1038),1,1))*E1038,8)</f>
        <v/>
      </c>
      <c r="I1038" s="4">
        <f>ROUND(I1037*(1+F1038),8)</f>
        <v/>
      </c>
      <c r="J1038" s="4">
        <f>ROUND(J1037*(1+G1038),8)</f>
        <v/>
      </c>
      <c r="K1038" s="4">
        <f>ROUND(K1037+H1038,8)</f>
        <v/>
      </c>
      <c r="L1038" s="4">
        <f>ROUND(0.9*F1038+0.05*G1038+0.05*H1038,8)</f>
        <v/>
      </c>
    </row>
    <row r="1039">
      <c r="A1039" s="2" t="n">
        <v>45301</v>
      </c>
      <c r="B1039" s="8" t="n">
        <v>2274.59</v>
      </c>
      <c r="C1039" s="8" t="n">
        <v>126.2148</v>
      </c>
      <c r="D1039" s="8" t="n">
        <v>0.35</v>
      </c>
      <c r="E1039">
        <f>A1039-A1038</f>
        <v/>
      </c>
      <c r="F1039" s="4">
        <f>ROUND(B1039/B1038-1,8)</f>
        <v/>
      </c>
      <c r="G1039" s="4">
        <f>ROUND(C1039/C1038-1,8)</f>
        <v/>
      </c>
      <c r="H1039" s="4">
        <f>ROUND(D1039/100/(DATE(YEAR(A1039)+1,1,1)-DATE(YEAR(A1039),1,1))*E1039,8)</f>
        <v/>
      </c>
      <c r="I1039" s="4">
        <f>ROUND(I1038*(1+F1039),8)</f>
        <v/>
      </c>
      <c r="J1039" s="4">
        <f>ROUND(J1038*(1+G1039),8)</f>
        <v/>
      </c>
      <c r="K1039" s="4">
        <f>ROUND(K1038+H1039,8)</f>
        <v/>
      </c>
      <c r="L1039" s="4">
        <f>ROUND(0.9*F1039+0.05*G1039+0.05*H1039,8)</f>
        <v/>
      </c>
    </row>
    <row r="1040">
      <c r="A1040" s="2" t="n">
        <v>45302</v>
      </c>
      <c r="B1040" s="8" t="n">
        <v>2319.44</v>
      </c>
      <c r="C1040" s="8" t="n">
        <v>126.2074</v>
      </c>
      <c r="D1040" s="8" t="n">
        <v>0.35</v>
      </c>
      <c r="E1040">
        <f>A1040-A1039</f>
        <v/>
      </c>
      <c r="F1040" s="4">
        <f>ROUND(B1040/B1039-1,8)</f>
        <v/>
      </c>
      <c r="G1040" s="4">
        <f>ROUND(C1040/C1039-1,8)</f>
        <v/>
      </c>
      <c r="H1040" s="4">
        <f>ROUND(D1040/100/(DATE(YEAR(A1040)+1,1,1)-DATE(YEAR(A1040),1,1))*E1040,8)</f>
        <v/>
      </c>
      <c r="I1040" s="4">
        <f>ROUND(I1039*(1+F1040),8)</f>
        <v/>
      </c>
      <c r="J1040" s="4">
        <f>ROUND(J1039*(1+G1040),8)</f>
        <v/>
      </c>
      <c r="K1040" s="4">
        <f>ROUND(K1039+H1040,8)</f>
        <v/>
      </c>
      <c r="L1040" s="4">
        <f>ROUND(0.9*F1040+0.05*G1040+0.05*H1040,8)</f>
        <v/>
      </c>
    </row>
    <row r="1041">
      <c r="A1041" s="2" t="n">
        <v>45303</v>
      </c>
      <c r="B1041" s="8" t="n">
        <v>2296.51</v>
      </c>
      <c r="C1041" s="8" t="n">
        <v>126.1774</v>
      </c>
      <c r="D1041" s="8" t="n">
        <v>0.35</v>
      </c>
      <c r="E1041">
        <f>A1041-A1040</f>
        <v/>
      </c>
      <c r="F1041" s="4">
        <f>ROUND(B1041/B1040-1,8)</f>
        <v/>
      </c>
      <c r="G1041" s="4">
        <f>ROUND(C1041/C1040-1,8)</f>
        <v/>
      </c>
      <c r="H1041" s="4">
        <f>ROUND(D1041/100/(DATE(YEAR(A1041)+1,1,1)-DATE(YEAR(A1041),1,1))*E1041,8)</f>
        <v/>
      </c>
      <c r="I1041" s="4">
        <f>ROUND(I1040*(1+F1041),8)</f>
        <v/>
      </c>
      <c r="J1041" s="4">
        <f>ROUND(J1040*(1+G1041),8)</f>
        <v/>
      </c>
      <c r="K1041" s="4">
        <f>ROUND(K1040+H1041,8)</f>
        <v/>
      </c>
      <c r="L1041" s="4">
        <f>ROUND(0.9*F1041+0.05*G1041+0.05*H1041,8)</f>
        <v/>
      </c>
    </row>
    <row r="1042">
      <c r="A1042" s="2" t="n">
        <v>45306</v>
      </c>
      <c r="B1042" s="8" t="n">
        <v>2293.28</v>
      </c>
      <c r="C1042" s="8" t="n">
        <v>126.1819</v>
      </c>
      <c r="D1042" s="8" t="n">
        <v>0.35</v>
      </c>
      <c r="E1042">
        <f>A1042-A1041</f>
        <v/>
      </c>
      <c r="F1042" s="4">
        <f>ROUND(B1042/B1041-1,8)</f>
        <v/>
      </c>
      <c r="G1042" s="4">
        <f>ROUND(C1042/C1041-1,8)</f>
        <v/>
      </c>
      <c r="H1042" s="4">
        <f>ROUND(D1042/100/(DATE(YEAR(A1042)+1,1,1)-DATE(YEAR(A1042),1,1))*E1042,8)</f>
        <v/>
      </c>
      <c r="I1042" s="4">
        <f>ROUND(I1041*(1+F1042),8)</f>
        <v/>
      </c>
      <c r="J1042" s="4">
        <f>ROUND(J1041*(1+G1042),8)</f>
        <v/>
      </c>
      <c r="K1042" s="4">
        <f>ROUND(K1041+H1042,8)</f>
        <v/>
      </c>
      <c r="L1042" s="4">
        <f>ROUND(0.9*F1042+0.05*G1042+0.05*H1042,8)</f>
        <v/>
      </c>
    </row>
    <row r="1043">
      <c r="A1043" s="2" t="n">
        <v>45307</v>
      </c>
      <c r="B1043" s="8" t="n">
        <v>2280.91</v>
      </c>
      <c r="C1043" s="8" t="n">
        <v>126.1782</v>
      </c>
      <c r="D1043" s="8" t="n">
        <v>0.35</v>
      </c>
      <c r="E1043">
        <f>A1043-A1042</f>
        <v/>
      </c>
      <c r="F1043" s="4">
        <f>ROUND(B1043/B1042-1,8)</f>
        <v/>
      </c>
      <c r="G1043" s="4">
        <f>ROUND(C1043/C1042-1,8)</f>
        <v/>
      </c>
      <c r="H1043" s="4">
        <f>ROUND(D1043/100/(DATE(YEAR(A1043)+1,1,1)-DATE(YEAR(A1043),1,1))*E1043,8)</f>
        <v/>
      </c>
      <c r="I1043" s="4">
        <f>ROUND(I1042*(1+F1043),8)</f>
        <v/>
      </c>
      <c r="J1043" s="4">
        <f>ROUND(J1042*(1+G1043),8)</f>
        <v/>
      </c>
      <c r="K1043" s="4">
        <f>ROUND(K1042+H1043,8)</f>
        <v/>
      </c>
      <c r="L1043" s="4">
        <f>ROUND(0.9*F1043+0.05*G1043+0.05*H1043,8)</f>
        <v/>
      </c>
    </row>
    <row r="1044">
      <c r="A1044" s="2" t="n">
        <v>45308</v>
      </c>
      <c r="B1044" s="8" t="n">
        <v>2222.05</v>
      </c>
      <c r="C1044" s="8" t="n">
        <v>126.2049</v>
      </c>
      <c r="D1044" s="8" t="n">
        <v>0.35</v>
      </c>
      <c r="E1044">
        <f>A1044-A1043</f>
        <v/>
      </c>
      <c r="F1044" s="4">
        <f>ROUND(B1044/B1043-1,8)</f>
        <v/>
      </c>
      <c r="G1044" s="4">
        <f>ROUND(C1044/C1043-1,8)</f>
        <v/>
      </c>
      <c r="H1044" s="4">
        <f>ROUND(D1044/100/(DATE(YEAR(A1044)+1,1,1)-DATE(YEAR(A1044),1,1))*E1044,8)</f>
        <v/>
      </c>
      <c r="I1044" s="4">
        <f>ROUND(I1043*(1+F1044),8)</f>
        <v/>
      </c>
      <c r="J1044" s="4">
        <f>ROUND(J1043*(1+G1044),8)</f>
        <v/>
      </c>
      <c r="K1044" s="4">
        <f>ROUND(K1043+H1044,8)</f>
        <v/>
      </c>
      <c r="L1044" s="4">
        <f>ROUND(0.9*F1044+0.05*G1044+0.05*H1044,8)</f>
        <v/>
      </c>
    </row>
    <row r="1045">
      <c r="A1045" s="2" t="n">
        <v>45309</v>
      </c>
      <c r="B1045" s="8" t="n">
        <v>2205.2</v>
      </c>
      <c r="C1045" s="8" t="n">
        <v>126.2775</v>
      </c>
      <c r="D1045" s="8" t="n">
        <v>0.35</v>
      </c>
      <c r="E1045">
        <f>A1045-A1044</f>
        <v/>
      </c>
      <c r="F1045" s="4">
        <f>ROUND(B1045/B1044-1,8)</f>
        <v/>
      </c>
      <c r="G1045" s="4">
        <f>ROUND(C1045/C1044-1,8)</f>
        <v/>
      </c>
      <c r="H1045" s="4">
        <f>ROUND(D1045/100/(DATE(YEAR(A1045)+1,1,1)-DATE(YEAR(A1045),1,1))*E1045,8)</f>
        <v/>
      </c>
      <c r="I1045" s="4">
        <f>ROUND(I1044*(1+F1045),8)</f>
        <v/>
      </c>
      <c r="J1045" s="4">
        <f>ROUND(J1044*(1+G1045),8)</f>
        <v/>
      </c>
      <c r="K1045" s="4">
        <f>ROUND(K1044+H1045,8)</f>
        <v/>
      </c>
      <c r="L1045" s="4">
        <f>ROUND(0.9*F1045+0.05*G1045+0.05*H1045,8)</f>
        <v/>
      </c>
    </row>
    <row r="1046">
      <c r="A1046" s="2" t="n">
        <v>45310</v>
      </c>
      <c r="B1046" s="8" t="n">
        <v>2172.82</v>
      </c>
      <c r="C1046" s="8" t="n">
        <v>126.3324</v>
      </c>
      <c r="D1046" s="8" t="n">
        <v>0.35</v>
      </c>
      <c r="E1046">
        <f>A1046-A1045</f>
        <v/>
      </c>
      <c r="F1046" s="4">
        <f>ROUND(B1046/B1045-1,8)</f>
        <v/>
      </c>
      <c r="G1046" s="4">
        <f>ROUND(C1046/C1045-1,8)</f>
        <v/>
      </c>
      <c r="H1046" s="4">
        <f>ROUND(D1046/100/(DATE(YEAR(A1046)+1,1,1)-DATE(YEAR(A1046),1,1))*E1046,8)</f>
        <v/>
      </c>
      <c r="I1046" s="4">
        <f>ROUND(I1045*(1+F1046),8)</f>
        <v/>
      </c>
      <c r="J1046" s="4">
        <f>ROUND(J1045*(1+G1046),8)</f>
        <v/>
      </c>
      <c r="K1046" s="4">
        <f>ROUND(K1045+H1046,8)</f>
        <v/>
      </c>
      <c r="L1046" s="4">
        <f>ROUND(0.9*F1046+0.05*G1046+0.05*H1046,8)</f>
        <v/>
      </c>
    </row>
    <row r="1047">
      <c r="A1047" s="2" t="n">
        <v>45313</v>
      </c>
      <c r="B1047" s="8" t="n">
        <v>2038.44</v>
      </c>
      <c r="C1047" s="8" t="n">
        <v>126.4475</v>
      </c>
      <c r="D1047" s="8" t="n">
        <v>0.35</v>
      </c>
      <c r="E1047">
        <f>A1047-A1046</f>
        <v/>
      </c>
      <c r="F1047" s="4">
        <f>ROUND(B1047/B1046-1,8)</f>
        <v/>
      </c>
      <c r="G1047" s="4">
        <f>ROUND(C1047/C1046-1,8)</f>
        <v/>
      </c>
      <c r="H1047" s="4">
        <f>ROUND(D1047/100/(DATE(YEAR(A1047)+1,1,1)-DATE(YEAR(A1047),1,1))*E1047,8)</f>
        <v/>
      </c>
      <c r="I1047" s="4">
        <f>ROUND(I1046*(1+F1047),8)</f>
        <v/>
      </c>
      <c r="J1047" s="4">
        <f>ROUND(J1046*(1+G1047),8)</f>
        <v/>
      </c>
      <c r="K1047" s="4">
        <f>ROUND(K1046+H1047,8)</f>
        <v/>
      </c>
      <c r="L1047" s="4">
        <f>ROUND(0.9*F1047+0.05*G1047+0.05*H1047,8)</f>
        <v/>
      </c>
    </row>
    <row r="1048">
      <c r="A1048" s="2" t="n">
        <v>45314</v>
      </c>
      <c r="B1048" s="8" t="n">
        <v>2043.57</v>
      </c>
      <c r="C1048" s="8" t="n">
        <v>126.4753</v>
      </c>
      <c r="D1048" s="8" t="n">
        <v>0.35</v>
      </c>
      <c r="E1048">
        <f>A1048-A1047</f>
        <v/>
      </c>
      <c r="F1048" s="4">
        <f>ROUND(B1048/B1047-1,8)</f>
        <v/>
      </c>
      <c r="G1048" s="4">
        <f>ROUND(C1048/C1047-1,8)</f>
        <v/>
      </c>
      <c r="H1048" s="4">
        <f>ROUND(D1048/100/(DATE(YEAR(A1048)+1,1,1)-DATE(YEAR(A1048),1,1))*E1048,8)</f>
        <v/>
      </c>
      <c r="I1048" s="4">
        <f>ROUND(I1047*(1+F1048),8)</f>
        <v/>
      </c>
      <c r="J1048" s="4">
        <f>ROUND(J1047*(1+G1048),8)</f>
        <v/>
      </c>
      <c r="K1048" s="4">
        <f>ROUND(K1047+H1048,8)</f>
        <v/>
      </c>
      <c r="L1048" s="4">
        <f>ROUND(0.9*F1048+0.05*G1048+0.05*H1048,8)</f>
        <v/>
      </c>
    </row>
    <row r="1049">
      <c r="A1049" s="2" t="n">
        <v>45315</v>
      </c>
      <c r="B1049" s="8" t="n">
        <v>2072.88</v>
      </c>
      <c r="C1049" s="8" t="n">
        <v>126.5068</v>
      </c>
      <c r="D1049" s="8" t="n">
        <v>0.35</v>
      </c>
      <c r="E1049">
        <f>A1049-A1048</f>
        <v/>
      </c>
      <c r="F1049" s="4">
        <f>ROUND(B1049/B1048-1,8)</f>
        <v/>
      </c>
      <c r="G1049" s="4">
        <f>ROUND(C1049/C1048-1,8)</f>
        <v/>
      </c>
      <c r="H1049" s="4">
        <f>ROUND(D1049/100/(DATE(YEAR(A1049)+1,1,1)-DATE(YEAR(A1049),1,1))*E1049,8)</f>
        <v/>
      </c>
      <c r="I1049" s="4">
        <f>ROUND(I1048*(1+F1049),8)</f>
        <v/>
      </c>
      <c r="J1049" s="4">
        <f>ROUND(J1048*(1+G1049),8)</f>
        <v/>
      </c>
      <c r="K1049" s="4">
        <f>ROUND(K1048+H1049,8)</f>
        <v/>
      </c>
      <c r="L1049" s="4">
        <f>ROUND(0.9*F1049+0.05*G1049+0.05*H1049,8)</f>
        <v/>
      </c>
    </row>
    <row r="1050">
      <c r="A1050" s="2" t="n">
        <v>45316</v>
      </c>
      <c r="B1050" s="8" t="n">
        <v>2150.06</v>
      </c>
      <c r="C1050" s="8" t="n">
        <v>126.5599</v>
      </c>
      <c r="D1050" s="8" t="n">
        <v>0.35</v>
      </c>
      <c r="E1050">
        <f>A1050-A1049</f>
        <v/>
      </c>
      <c r="F1050" s="4">
        <f>ROUND(B1050/B1049-1,8)</f>
        <v/>
      </c>
      <c r="G1050" s="4">
        <f>ROUND(C1050/C1049-1,8)</f>
        <v/>
      </c>
      <c r="H1050" s="4">
        <f>ROUND(D1050/100/(DATE(YEAR(A1050)+1,1,1)-DATE(YEAR(A1050),1,1))*E1050,8)</f>
        <v/>
      </c>
      <c r="I1050" s="4">
        <f>ROUND(I1049*(1+F1050),8)</f>
        <v/>
      </c>
      <c r="J1050" s="4">
        <f>ROUND(J1049*(1+G1050),8)</f>
        <v/>
      </c>
      <c r="K1050" s="4">
        <f>ROUND(K1049+H1050,8)</f>
        <v/>
      </c>
      <c r="L1050" s="4">
        <f>ROUND(0.9*F1050+0.05*G1050+0.05*H1050,8)</f>
        <v/>
      </c>
    </row>
    <row r="1051">
      <c r="A1051" s="2" t="n">
        <v>45317</v>
      </c>
      <c r="B1051" s="8" t="n">
        <v>2142.15</v>
      </c>
      <c r="C1051" s="8" t="n">
        <v>126.5822</v>
      </c>
      <c r="D1051" s="8" t="n">
        <v>0.35</v>
      </c>
      <c r="E1051">
        <f>A1051-A1050</f>
        <v/>
      </c>
      <c r="F1051" s="4">
        <f>ROUND(B1051/B1050-1,8)</f>
        <v/>
      </c>
      <c r="G1051" s="4">
        <f>ROUND(C1051/C1050-1,8)</f>
        <v/>
      </c>
      <c r="H1051" s="4">
        <f>ROUND(D1051/100/(DATE(YEAR(A1051)+1,1,1)-DATE(YEAR(A1051),1,1))*E1051,8)</f>
        <v/>
      </c>
      <c r="I1051" s="4">
        <f>ROUND(I1050*(1+F1051),8)</f>
        <v/>
      </c>
      <c r="J1051" s="4">
        <f>ROUND(J1050*(1+G1051),8)</f>
        <v/>
      </c>
      <c r="K1051" s="4">
        <f>ROUND(K1050+H1051,8)</f>
        <v/>
      </c>
      <c r="L1051" s="4">
        <f>ROUND(0.9*F1051+0.05*G1051+0.05*H1051,8)</f>
        <v/>
      </c>
    </row>
    <row r="1052">
      <c r="A1052" s="2" t="n">
        <v>45320</v>
      </c>
      <c r="B1052" s="8" t="n">
        <v>2067.44</v>
      </c>
      <c r="C1052" s="8" t="n">
        <v>126.638</v>
      </c>
      <c r="D1052" s="8" t="n">
        <v>0.35</v>
      </c>
      <c r="E1052">
        <f>A1052-A1051</f>
        <v/>
      </c>
      <c r="F1052" s="4">
        <f>ROUND(B1052/B1051-1,8)</f>
        <v/>
      </c>
      <c r="G1052" s="4">
        <f>ROUND(C1052/C1051-1,8)</f>
        <v/>
      </c>
      <c r="H1052" s="4">
        <f>ROUND(D1052/100/(DATE(YEAR(A1052)+1,1,1)-DATE(YEAR(A1052),1,1))*E1052,8)</f>
        <v/>
      </c>
      <c r="I1052" s="4">
        <f>ROUND(I1051*(1+F1052),8)</f>
        <v/>
      </c>
      <c r="J1052" s="4">
        <f>ROUND(J1051*(1+G1052),8)</f>
        <v/>
      </c>
      <c r="K1052" s="4">
        <f>ROUND(K1051+H1052,8)</f>
        <v/>
      </c>
      <c r="L1052" s="4">
        <f>ROUND(0.9*F1052+0.05*G1052+0.05*H1052,8)</f>
        <v/>
      </c>
    </row>
    <row r="1053">
      <c r="A1053" s="2" t="n">
        <v>45321</v>
      </c>
      <c r="B1053" s="8" t="n">
        <v>2001.57</v>
      </c>
      <c r="C1053" s="8" t="n">
        <v>126.8597</v>
      </c>
      <c r="D1053" s="8" t="n">
        <v>0.35</v>
      </c>
      <c r="E1053">
        <f>A1053-A1052</f>
        <v/>
      </c>
      <c r="F1053" s="4">
        <f>ROUND(B1053/B1052-1,8)</f>
        <v/>
      </c>
      <c r="G1053" s="4">
        <f>ROUND(C1053/C1052-1,8)</f>
        <v/>
      </c>
      <c r="H1053" s="4">
        <f>ROUND(D1053/100/(DATE(YEAR(A1053)+1,1,1)-DATE(YEAR(A1053),1,1))*E1053,8)</f>
        <v/>
      </c>
      <c r="I1053" s="4">
        <f>ROUND(I1052*(1+F1053),8)</f>
        <v/>
      </c>
      <c r="J1053" s="4">
        <f>ROUND(J1052*(1+G1053),8)</f>
        <v/>
      </c>
      <c r="K1053" s="4">
        <f>ROUND(K1052+H1053,8)</f>
        <v/>
      </c>
      <c r="L1053" s="4">
        <f>ROUND(0.9*F1053+0.05*G1053+0.05*H1053,8)</f>
        <v/>
      </c>
    </row>
    <row r="1054">
      <c r="A1054" s="2" t="n">
        <v>45322</v>
      </c>
      <c r="B1054" s="8" t="n">
        <v>1896.36</v>
      </c>
      <c r="C1054" s="8" t="n">
        <v>127.0648</v>
      </c>
      <c r="D1054" s="8" t="n">
        <v>0.35</v>
      </c>
      <c r="E1054">
        <f>A1054-A1053</f>
        <v/>
      </c>
      <c r="F1054" s="4">
        <f>ROUND(B1054/B1053-1,8)</f>
        <v/>
      </c>
      <c r="G1054" s="4">
        <f>ROUND(C1054/C1053-1,8)</f>
        <v/>
      </c>
      <c r="H1054" s="4">
        <f>ROUND(D1054/100/(DATE(YEAR(A1054)+1,1,1)-DATE(YEAR(A1054),1,1))*E1054,8)</f>
        <v/>
      </c>
      <c r="I1054" s="4">
        <f>ROUND(I1053*(1+F1054),8)</f>
        <v/>
      </c>
      <c r="J1054" s="4">
        <f>ROUND(J1053*(1+G1054),8)</f>
        <v/>
      </c>
      <c r="K1054" s="4">
        <f>ROUND(K1053+H1054,8)</f>
        <v/>
      </c>
      <c r="L1054" s="4">
        <f>ROUND(0.9*F1054+0.05*G1054+0.05*H1054,8)</f>
        <v/>
      </c>
    </row>
    <row r="1055">
      <c r="A1055" s="2" t="n">
        <v>45323</v>
      </c>
      <c r="B1055" s="8" t="n">
        <v>1866.01</v>
      </c>
      <c r="C1055" s="8" t="n">
        <v>127.0877</v>
      </c>
      <c r="D1055" s="8" t="n">
        <v>0.35</v>
      </c>
      <c r="E1055">
        <f>A1055-A1054</f>
        <v/>
      </c>
      <c r="F1055" s="4">
        <f>ROUND(B1055/B1054-1,8)</f>
        <v/>
      </c>
      <c r="G1055" s="4">
        <f>ROUND(C1055/C1054-1,8)</f>
        <v/>
      </c>
      <c r="H1055" s="4">
        <f>ROUND(D1055/100/(DATE(YEAR(A1055)+1,1,1)-DATE(YEAR(A1055),1,1))*E1055,8)</f>
        <v/>
      </c>
      <c r="I1055" s="4">
        <f>ROUND(I1054*(1+F1055),8)</f>
        <v/>
      </c>
      <c r="J1055" s="4">
        <f>ROUND(J1054*(1+G1055),8)</f>
        <v/>
      </c>
      <c r="K1055" s="4">
        <f>ROUND(K1054+H1055,8)</f>
        <v/>
      </c>
      <c r="L1055" s="4">
        <f>ROUND(0.9*F1055+0.05*G1055+0.05*H1055,8)</f>
        <v/>
      </c>
    </row>
    <row r="1056">
      <c r="A1056" s="2" t="n">
        <v>45324</v>
      </c>
      <c r="B1056" s="8" t="n">
        <v>1782.6</v>
      </c>
      <c r="C1056" s="8" t="n">
        <v>127.0839</v>
      </c>
      <c r="D1056" s="8" t="n">
        <v>0.35</v>
      </c>
      <c r="E1056">
        <f>A1056-A1055</f>
        <v/>
      </c>
      <c r="F1056" s="4">
        <f>ROUND(B1056/B1055-1,8)</f>
        <v/>
      </c>
      <c r="G1056" s="4">
        <f>ROUND(C1056/C1055-1,8)</f>
        <v/>
      </c>
      <c r="H1056" s="4">
        <f>ROUND(D1056/100/(DATE(YEAR(A1056)+1,1,1)-DATE(YEAR(A1056),1,1))*E1056,8)</f>
        <v/>
      </c>
      <c r="I1056" s="4">
        <f>ROUND(I1055*(1+F1056),8)</f>
        <v/>
      </c>
      <c r="J1056" s="4">
        <f>ROUND(J1055*(1+G1056),8)</f>
        <v/>
      </c>
      <c r="K1056" s="4">
        <f>ROUND(K1055+H1056,8)</f>
        <v/>
      </c>
      <c r="L1056" s="4">
        <f>ROUND(0.9*F1056+0.05*G1056+0.05*H1056,8)</f>
        <v/>
      </c>
    </row>
    <row r="1057">
      <c r="A1057" s="2" t="n">
        <v>45327</v>
      </c>
      <c r="B1057" s="8" t="n">
        <v>1613.4</v>
      </c>
      <c r="C1057" s="8" t="n">
        <v>127.208</v>
      </c>
      <c r="D1057" s="8" t="n">
        <v>0.35</v>
      </c>
      <c r="E1057">
        <f>A1057-A1056</f>
        <v/>
      </c>
      <c r="F1057" s="4">
        <f>ROUND(B1057/B1056-1,8)</f>
        <v/>
      </c>
      <c r="G1057" s="4">
        <f>ROUND(C1057/C1056-1,8)</f>
        <v/>
      </c>
      <c r="H1057" s="4">
        <f>ROUND(D1057/100/(DATE(YEAR(A1057)+1,1,1)-DATE(YEAR(A1057),1,1))*E1057,8)</f>
        <v/>
      </c>
      <c r="I1057" s="4">
        <f>ROUND(I1056*(1+F1057),8)</f>
        <v/>
      </c>
      <c r="J1057" s="4">
        <f>ROUND(J1056*(1+G1057),8)</f>
        <v/>
      </c>
      <c r="K1057" s="4">
        <f>ROUND(K1056+H1057,8)</f>
        <v/>
      </c>
      <c r="L1057" s="4">
        <f>ROUND(0.9*F1057+0.05*G1057+0.05*H1057,8)</f>
        <v/>
      </c>
    </row>
    <row r="1058">
      <c r="A1058" s="2" t="n">
        <v>45328</v>
      </c>
      <c r="B1058" s="8" t="n">
        <v>1645.96</v>
      </c>
      <c r="C1058" s="8" t="n">
        <v>127.0752</v>
      </c>
      <c r="D1058" s="8" t="n">
        <v>0.35</v>
      </c>
      <c r="E1058">
        <f>A1058-A1057</f>
        <v/>
      </c>
      <c r="F1058" s="4">
        <f>ROUND(B1058/B1057-1,8)</f>
        <v/>
      </c>
      <c r="G1058" s="4">
        <f>ROUND(C1058/C1057-1,8)</f>
        <v/>
      </c>
      <c r="H1058" s="4">
        <f>ROUND(D1058/100/(DATE(YEAR(A1058)+1,1,1)-DATE(YEAR(A1058),1,1))*E1058,8)</f>
        <v/>
      </c>
      <c r="I1058" s="4">
        <f>ROUND(I1057*(1+F1058),8)</f>
        <v/>
      </c>
      <c r="J1058" s="4">
        <f>ROUND(J1057*(1+G1058),8)</f>
        <v/>
      </c>
      <c r="K1058" s="4">
        <f>ROUND(K1057+H1058,8)</f>
        <v/>
      </c>
      <c r="L1058" s="4">
        <f>ROUND(0.9*F1058+0.05*G1058+0.05*H1058,8)</f>
        <v/>
      </c>
    </row>
    <row r="1059">
      <c r="A1059" s="2" t="n">
        <v>45329</v>
      </c>
      <c r="B1059" s="8" t="n">
        <v>1599.82</v>
      </c>
      <c r="C1059" s="8" t="n">
        <v>127.1075</v>
      </c>
      <c r="D1059" s="8" t="n">
        <v>0.35</v>
      </c>
      <c r="E1059">
        <f>A1059-A1058</f>
        <v/>
      </c>
      <c r="F1059" s="4">
        <f>ROUND(B1059/B1058-1,8)</f>
        <v/>
      </c>
      <c r="G1059" s="4">
        <f>ROUND(C1059/C1058-1,8)</f>
        <v/>
      </c>
      <c r="H1059" s="4">
        <f>ROUND(D1059/100/(DATE(YEAR(A1059)+1,1,1)-DATE(YEAR(A1059),1,1))*E1059,8)</f>
        <v/>
      </c>
      <c r="I1059" s="4">
        <f>ROUND(I1058*(1+F1059),8)</f>
        <v/>
      </c>
      <c r="J1059" s="4">
        <f>ROUND(J1058*(1+G1059),8)</f>
        <v/>
      </c>
      <c r="K1059" s="4">
        <f>ROUND(K1058+H1059,8)</f>
        <v/>
      </c>
      <c r="L1059" s="4">
        <f>ROUND(0.9*F1059+0.05*G1059+0.05*H1059,8)</f>
        <v/>
      </c>
    </row>
    <row r="1060">
      <c r="A1060" s="2" t="n">
        <v>45330</v>
      </c>
      <c r="B1060" s="8" t="n">
        <v>1739.87</v>
      </c>
      <c r="C1060" s="8" t="n">
        <v>127.0944</v>
      </c>
      <c r="D1060" s="8" t="n">
        <v>0.35</v>
      </c>
      <c r="E1060">
        <f>A1060-A1059</f>
        <v/>
      </c>
      <c r="F1060" s="4">
        <f>ROUND(B1060/B1059-1,8)</f>
        <v/>
      </c>
      <c r="G1060" s="4">
        <f>ROUND(C1060/C1059-1,8)</f>
        <v/>
      </c>
      <c r="H1060" s="4">
        <f>ROUND(D1060/100/(DATE(YEAR(A1060)+1,1,1)-DATE(YEAR(A1060),1,1))*E1060,8)</f>
        <v/>
      </c>
      <c r="I1060" s="4">
        <f>ROUND(I1059*(1+F1060),8)</f>
        <v/>
      </c>
      <c r="J1060" s="4">
        <f>ROUND(J1059*(1+G1060),8)</f>
        <v/>
      </c>
      <c r="K1060" s="4">
        <f>ROUND(K1059+H1060,8)</f>
        <v/>
      </c>
      <c r="L1060" s="4">
        <f>ROUND(0.9*F1060+0.05*G1060+0.05*H1060,8)</f>
        <v/>
      </c>
    </row>
    <row r="1061">
      <c r="A1061" s="2" t="n">
        <v>45341</v>
      </c>
      <c r="B1061" s="8" t="n">
        <v>1815.99</v>
      </c>
      <c r="C1061" s="8" t="n">
        <v>127.1556</v>
      </c>
      <c r="D1061" s="8" t="n">
        <v>0.35</v>
      </c>
      <c r="E1061">
        <f>A1061-A1060</f>
        <v/>
      </c>
      <c r="F1061" s="4">
        <f>ROUND(B1061/B1060-1,8)</f>
        <v/>
      </c>
      <c r="G1061" s="4">
        <f>ROUND(C1061/C1060-1,8)</f>
        <v/>
      </c>
      <c r="H1061" s="4">
        <f>ROUND(D1061/100/(DATE(YEAR(A1061)+1,1,1)-DATE(YEAR(A1061),1,1))*E1061,8)</f>
        <v/>
      </c>
      <c r="I1061" s="4">
        <f>ROUND(I1060*(1+F1061),8)</f>
        <v/>
      </c>
      <c r="J1061" s="4">
        <f>ROUND(J1060*(1+G1061),8)</f>
        <v/>
      </c>
      <c r="K1061" s="4">
        <f>ROUND(K1060+H1061,8)</f>
        <v/>
      </c>
      <c r="L1061" s="4">
        <f>ROUND(0.9*F1061+0.05*G1061+0.05*H1061,8)</f>
        <v/>
      </c>
    </row>
    <row r="1062">
      <c r="A1062" s="2" t="n">
        <v>45342</v>
      </c>
      <c r="B1062" s="8" t="n">
        <v>1842.4</v>
      </c>
      <c r="C1062" s="8" t="n">
        <v>127.23</v>
      </c>
      <c r="D1062" s="8" t="n">
        <v>0.35</v>
      </c>
      <c r="E1062">
        <f>A1062-A1061</f>
        <v/>
      </c>
      <c r="F1062" s="4">
        <f>ROUND(B1062/B1061-1,8)</f>
        <v/>
      </c>
      <c r="G1062" s="4">
        <f>ROUND(C1062/C1061-1,8)</f>
        <v/>
      </c>
      <c r="H1062" s="4">
        <f>ROUND(D1062/100/(DATE(YEAR(A1062)+1,1,1)-DATE(YEAR(A1062),1,1))*E1062,8)</f>
        <v/>
      </c>
      <c r="I1062" s="4">
        <f>ROUND(I1061*(1+F1062),8)</f>
        <v/>
      </c>
      <c r="J1062" s="4">
        <f>ROUND(J1061*(1+G1062),8)</f>
        <v/>
      </c>
      <c r="K1062" s="4">
        <f>ROUND(K1061+H1062,8)</f>
        <v/>
      </c>
      <c r="L1062" s="4">
        <f>ROUND(0.9*F1062+0.05*G1062+0.05*H1062,8)</f>
        <v/>
      </c>
    </row>
    <row r="1063">
      <c r="A1063" s="2" t="n">
        <v>45343</v>
      </c>
      <c r="B1063" s="8" t="n">
        <v>1868.22</v>
      </c>
      <c r="C1063" s="8" t="n">
        <v>127.2502</v>
      </c>
      <c r="D1063" s="8" t="n">
        <v>0.35</v>
      </c>
      <c r="E1063">
        <f>A1063-A1062</f>
        <v/>
      </c>
      <c r="F1063" s="4">
        <f>ROUND(B1063/B1062-1,8)</f>
        <v/>
      </c>
      <c r="G1063" s="4">
        <f>ROUND(C1063/C1062-1,8)</f>
        <v/>
      </c>
      <c r="H1063" s="4">
        <f>ROUND(D1063/100/(DATE(YEAR(A1063)+1,1,1)-DATE(YEAR(A1063),1,1))*E1063,8)</f>
        <v/>
      </c>
      <c r="I1063" s="4">
        <f>ROUND(I1062*(1+F1063),8)</f>
        <v/>
      </c>
      <c r="J1063" s="4">
        <f>ROUND(J1062*(1+G1063),8)</f>
        <v/>
      </c>
      <c r="K1063" s="4">
        <f>ROUND(K1062+H1063,8)</f>
        <v/>
      </c>
      <c r="L1063" s="4">
        <f>ROUND(0.9*F1063+0.05*G1063+0.05*H1063,8)</f>
        <v/>
      </c>
    </row>
    <row r="1064">
      <c r="A1064" s="2" t="n">
        <v>45344</v>
      </c>
      <c r="B1064" s="8" t="n">
        <v>1915.92</v>
      </c>
      <c r="C1064" s="8" t="n">
        <v>127.2924</v>
      </c>
      <c r="D1064" s="8" t="n">
        <v>0.35</v>
      </c>
      <c r="E1064">
        <f>A1064-A1063</f>
        <v/>
      </c>
      <c r="F1064" s="4">
        <f>ROUND(B1064/B1063-1,8)</f>
        <v/>
      </c>
      <c r="G1064" s="4">
        <f>ROUND(C1064/C1063-1,8)</f>
        <v/>
      </c>
      <c r="H1064" s="4">
        <f>ROUND(D1064/100/(DATE(YEAR(A1064)+1,1,1)-DATE(YEAR(A1064),1,1))*E1064,8)</f>
        <v/>
      </c>
      <c r="I1064" s="4">
        <f>ROUND(I1063*(1+F1064),8)</f>
        <v/>
      </c>
      <c r="J1064" s="4">
        <f>ROUND(J1063*(1+G1064),8)</f>
        <v/>
      </c>
      <c r="K1064" s="4">
        <f>ROUND(K1063+H1064,8)</f>
        <v/>
      </c>
      <c r="L1064" s="4">
        <f>ROUND(0.9*F1064+0.05*G1064+0.05*H1064,8)</f>
        <v/>
      </c>
    </row>
    <row r="1065">
      <c r="A1065" s="2" t="n">
        <v>45345</v>
      </c>
      <c r="B1065" s="8" t="n">
        <v>1977.89</v>
      </c>
      <c r="C1065" s="8" t="n">
        <v>127.3766</v>
      </c>
      <c r="D1065" s="8" t="n">
        <v>0.35</v>
      </c>
      <c r="E1065">
        <f>A1065-A1064</f>
        <v/>
      </c>
      <c r="F1065" s="4">
        <f>ROUND(B1065/B1064-1,8)</f>
        <v/>
      </c>
      <c r="G1065" s="4">
        <f>ROUND(C1065/C1064-1,8)</f>
        <v/>
      </c>
      <c r="H1065" s="4">
        <f>ROUND(D1065/100/(DATE(YEAR(A1065)+1,1,1)-DATE(YEAR(A1065),1,1))*E1065,8)</f>
        <v/>
      </c>
      <c r="I1065" s="4">
        <f>ROUND(I1064*(1+F1065),8)</f>
        <v/>
      </c>
      <c r="J1065" s="4">
        <f>ROUND(J1064*(1+G1065),8)</f>
        <v/>
      </c>
      <c r="K1065" s="4">
        <f>ROUND(K1064+H1065,8)</f>
        <v/>
      </c>
      <c r="L1065" s="4">
        <f>ROUND(0.9*F1065+0.05*G1065+0.05*H1065,8)</f>
        <v/>
      </c>
    </row>
    <row r="1066">
      <c r="A1066" s="2" t="n">
        <v>45348</v>
      </c>
      <c r="B1066" s="8" t="n">
        <v>2012.42</v>
      </c>
      <c r="C1066" s="8" t="n">
        <v>127.4192</v>
      </c>
      <c r="D1066" s="8" t="n">
        <v>0.35</v>
      </c>
      <c r="E1066">
        <f>A1066-A1065</f>
        <v/>
      </c>
      <c r="F1066" s="4">
        <f>ROUND(B1066/B1065-1,8)</f>
        <v/>
      </c>
      <c r="G1066" s="4">
        <f>ROUND(C1066/C1065-1,8)</f>
        <v/>
      </c>
      <c r="H1066" s="4">
        <f>ROUND(D1066/100/(DATE(YEAR(A1066)+1,1,1)-DATE(YEAR(A1066),1,1))*E1066,8)</f>
        <v/>
      </c>
      <c r="I1066" s="4">
        <f>ROUND(I1065*(1+F1066),8)</f>
        <v/>
      </c>
      <c r="J1066" s="4">
        <f>ROUND(J1065*(1+G1066),8)</f>
        <v/>
      </c>
      <c r="K1066" s="4">
        <f>ROUND(K1065+H1066,8)</f>
        <v/>
      </c>
      <c r="L1066" s="4">
        <f>ROUND(0.9*F1066+0.05*G1066+0.05*H1066,8)</f>
        <v/>
      </c>
    </row>
    <row r="1067">
      <c r="A1067" s="2" t="n">
        <v>45349</v>
      </c>
      <c r="B1067" s="8" t="n">
        <v>2071.75</v>
      </c>
      <c r="C1067" s="8" t="n">
        <v>127.5156</v>
      </c>
      <c r="D1067" s="8" t="n">
        <v>0.35</v>
      </c>
      <c r="E1067">
        <f>A1067-A1066</f>
        <v/>
      </c>
      <c r="F1067" s="4">
        <f>ROUND(B1067/B1066-1,8)</f>
        <v/>
      </c>
      <c r="G1067" s="4">
        <f>ROUND(C1067/C1066-1,8)</f>
        <v/>
      </c>
      <c r="H1067" s="4">
        <f>ROUND(D1067/100/(DATE(YEAR(A1067)+1,1,1)-DATE(YEAR(A1067),1,1))*E1067,8)</f>
        <v/>
      </c>
      <c r="I1067" s="4">
        <f>ROUND(I1066*(1+F1067),8)</f>
        <v/>
      </c>
      <c r="J1067" s="4">
        <f>ROUND(J1066*(1+G1067),8)</f>
        <v/>
      </c>
      <c r="K1067" s="4">
        <f>ROUND(K1066+H1067,8)</f>
        <v/>
      </c>
      <c r="L1067" s="4">
        <f>ROUND(0.9*F1067+0.05*G1067+0.05*H1067,8)</f>
        <v/>
      </c>
    </row>
    <row r="1068">
      <c r="A1068" s="2" t="n">
        <v>45350</v>
      </c>
      <c r="B1068" s="8" t="n">
        <v>1930.08</v>
      </c>
      <c r="C1068" s="8" t="n">
        <v>127.5937</v>
      </c>
      <c r="D1068" s="8" t="n">
        <v>0.35</v>
      </c>
      <c r="E1068">
        <f>A1068-A1067</f>
        <v/>
      </c>
      <c r="F1068" s="4">
        <f>ROUND(B1068/B1067-1,8)</f>
        <v/>
      </c>
      <c r="G1068" s="4">
        <f>ROUND(C1068/C1067-1,8)</f>
        <v/>
      </c>
      <c r="H1068" s="4">
        <f>ROUND(D1068/100/(DATE(YEAR(A1068)+1,1,1)-DATE(YEAR(A1068),1,1))*E1068,8)</f>
        <v/>
      </c>
      <c r="I1068" s="4">
        <f>ROUND(I1067*(1+F1068),8)</f>
        <v/>
      </c>
      <c r="J1068" s="4">
        <f>ROUND(J1067*(1+G1068),8)</f>
        <v/>
      </c>
      <c r="K1068" s="4">
        <f>ROUND(K1067+H1068,8)</f>
        <v/>
      </c>
      <c r="L1068" s="4">
        <f>ROUND(0.9*F1068+0.05*G1068+0.05*H1068,8)</f>
        <v/>
      </c>
    </row>
    <row r="1069">
      <c r="A1069" s="2" t="n">
        <v>45351</v>
      </c>
      <c r="B1069" s="8" t="n">
        <v>2009.66</v>
      </c>
      <c r="C1069" s="8" t="n">
        <v>127.7621</v>
      </c>
      <c r="D1069" s="8" t="n">
        <v>0.35</v>
      </c>
      <c r="E1069">
        <f>A1069-A1068</f>
        <v/>
      </c>
      <c r="F1069" s="4">
        <f>ROUND(B1069/B1068-1,8)</f>
        <v/>
      </c>
      <c r="G1069" s="4">
        <f>ROUND(C1069/C1068-1,8)</f>
        <v/>
      </c>
      <c r="H1069" s="4">
        <f>ROUND(D1069/100/(DATE(YEAR(A1069)+1,1,1)-DATE(YEAR(A1069),1,1))*E1069,8)</f>
        <v/>
      </c>
      <c r="I1069" s="4">
        <f>ROUND(I1068*(1+F1069),8)</f>
        <v/>
      </c>
      <c r="J1069" s="4">
        <f>ROUND(J1068*(1+G1069),8)</f>
        <v/>
      </c>
      <c r="K1069" s="4">
        <f>ROUND(K1068+H1069,8)</f>
        <v/>
      </c>
      <c r="L1069" s="4">
        <f>ROUND(0.9*F1069+0.05*G1069+0.05*H1069,8)</f>
        <v/>
      </c>
    </row>
    <row r="1070">
      <c r="A1070" s="2" t="n">
        <v>45352</v>
      </c>
      <c r="B1070" s="8" t="n">
        <v>2040.42</v>
      </c>
      <c r="C1070" s="8" t="n">
        <v>127.5886</v>
      </c>
      <c r="D1070" s="8" t="n">
        <v>0.35</v>
      </c>
      <c r="E1070">
        <f>A1070-A1069</f>
        <v/>
      </c>
      <c r="F1070" s="4">
        <f>ROUND(B1070/B1069-1,8)</f>
        <v/>
      </c>
      <c r="G1070" s="4">
        <f>ROUND(C1070/C1069-1,8)</f>
        <v/>
      </c>
      <c r="H1070" s="4">
        <f>ROUND(D1070/100/(DATE(YEAR(A1070)+1,1,1)-DATE(YEAR(A1070),1,1))*E1070,8)</f>
        <v/>
      </c>
      <c r="I1070" s="4">
        <f>ROUND(I1069*(1+F1070),8)</f>
        <v/>
      </c>
      <c r="J1070" s="4">
        <f>ROUND(J1069*(1+G1070),8)</f>
        <v/>
      </c>
      <c r="K1070" s="4">
        <f>ROUND(K1069+H1070,8)</f>
        <v/>
      </c>
      <c r="L1070" s="4">
        <f>ROUND(0.9*F1070+0.05*G1070+0.05*H1070,8)</f>
        <v/>
      </c>
    </row>
    <row r="1071">
      <c r="A1071" s="2" t="n">
        <v>45355</v>
      </c>
      <c r="B1071" s="8" t="n">
        <v>2056.24</v>
      </c>
      <c r="C1071" s="8" t="n">
        <v>127.6276</v>
      </c>
      <c r="D1071" s="8" t="n">
        <v>0.35</v>
      </c>
      <c r="E1071">
        <f>A1071-A1070</f>
        <v/>
      </c>
      <c r="F1071" s="4">
        <f>ROUND(B1071/B1070-1,8)</f>
        <v/>
      </c>
      <c r="G1071" s="4">
        <f>ROUND(C1071/C1070-1,8)</f>
        <v/>
      </c>
      <c r="H1071" s="4">
        <f>ROUND(D1071/100/(DATE(YEAR(A1071)+1,1,1)-DATE(YEAR(A1071),1,1))*E1071,8)</f>
        <v/>
      </c>
      <c r="I1071" s="4">
        <f>ROUND(I1070*(1+F1071),8)</f>
        <v/>
      </c>
      <c r="J1071" s="4">
        <f>ROUND(J1070*(1+G1071),8)</f>
        <v/>
      </c>
      <c r="K1071" s="4">
        <f>ROUND(K1070+H1071,8)</f>
        <v/>
      </c>
      <c r="L1071" s="4">
        <f>ROUND(0.9*F1071+0.05*G1071+0.05*H1071,8)</f>
        <v/>
      </c>
    </row>
    <row r="1072">
      <c r="A1072" s="2" t="n">
        <v>45356</v>
      </c>
      <c r="B1072" s="8" t="n">
        <v>2022.06</v>
      </c>
      <c r="C1072" s="8" t="n">
        <v>127.6613</v>
      </c>
      <c r="D1072" s="8" t="n">
        <v>0.35</v>
      </c>
      <c r="E1072">
        <f>A1072-A1071</f>
        <v/>
      </c>
      <c r="F1072" s="4">
        <f>ROUND(B1072/B1071-1,8)</f>
        <v/>
      </c>
      <c r="G1072" s="4">
        <f>ROUND(C1072/C1071-1,8)</f>
        <v/>
      </c>
      <c r="H1072" s="4">
        <f>ROUND(D1072/100/(DATE(YEAR(A1072)+1,1,1)-DATE(YEAR(A1072),1,1))*E1072,8)</f>
        <v/>
      </c>
      <c r="I1072" s="4">
        <f>ROUND(I1071*(1+F1072),8)</f>
        <v/>
      </c>
      <c r="J1072" s="4">
        <f>ROUND(J1071*(1+G1072),8)</f>
        <v/>
      </c>
      <c r="K1072" s="4">
        <f>ROUND(K1071+H1072,8)</f>
        <v/>
      </c>
      <c r="L1072" s="4">
        <f>ROUND(0.9*F1072+0.05*G1072+0.05*H1072,8)</f>
        <v/>
      </c>
    </row>
    <row r="1073">
      <c r="A1073" s="2" t="n">
        <v>45357</v>
      </c>
      <c r="B1073" s="8" t="n">
        <v>2046.52</v>
      </c>
      <c r="C1073" s="8" t="n">
        <v>127.8552</v>
      </c>
      <c r="D1073" s="8" t="n">
        <v>0.35</v>
      </c>
      <c r="E1073">
        <f>A1073-A1072</f>
        <v/>
      </c>
      <c r="F1073" s="4">
        <f>ROUND(B1073/B1072-1,8)</f>
        <v/>
      </c>
      <c r="G1073" s="4">
        <f>ROUND(C1073/C1072-1,8)</f>
        <v/>
      </c>
      <c r="H1073" s="4">
        <f>ROUND(D1073/100/(DATE(YEAR(A1073)+1,1,1)-DATE(YEAR(A1073),1,1))*E1073,8)</f>
        <v/>
      </c>
      <c r="I1073" s="4">
        <f>ROUND(I1072*(1+F1073),8)</f>
        <v/>
      </c>
      <c r="J1073" s="4">
        <f>ROUND(J1072*(1+G1073),8)</f>
        <v/>
      </c>
      <c r="K1073" s="4">
        <f>ROUND(K1072+H1073,8)</f>
        <v/>
      </c>
      <c r="L1073" s="4">
        <f>ROUND(0.9*F1073+0.05*G1073+0.05*H1073,8)</f>
        <v/>
      </c>
    </row>
    <row r="1074">
      <c r="A1074" s="2" t="n">
        <v>45358</v>
      </c>
      <c r="B1074" s="8" t="n">
        <v>2026.84</v>
      </c>
      <c r="C1074" s="8" t="n">
        <v>127.9297</v>
      </c>
      <c r="D1074" s="8" t="n">
        <v>0.35</v>
      </c>
      <c r="E1074">
        <f>A1074-A1073</f>
        <v/>
      </c>
      <c r="F1074" s="4">
        <f>ROUND(B1074/B1073-1,8)</f>
        <v/>
      </c>
      <c r="G1074" s="4">
        <f>ROUND(C1074/C1073-1,8)</f>
        <v/>
      </c>
      <c r="H1074" s="4">
        <f>ROUND(D1074/100/(DATE(YEAR(A1074)+1,1,1)-DATE(YEAR(A1074),1,1))*E1074,8)</f>
        <v/>
      </c>
      <c r="I1074" s="4">
        <f>ROUND(I1073*(1+F1074),8)</f>
        <v/>
      </c>
      <c r="J1074" s="4">
        <f>ROUND(J1073*(1+G1074),8)</f>
        <v/>
      </c>
      <c r="K1074" s="4">
        <f>ROUND(K1073+H1074,8)</f>
        <v/>
      </c>
      <c r="L1074" s="4">
        <f>ROUND(0.9*F1074+0.05*G1074+0.05*H1074,8)</f>
        <v/>
      </c>
    </row>
    <row r="1075">
      <c r="A1075" s="2" t="n">
        <v>45359</v>
      </c>
      <c r="B1075" s="8" t="n">
        <v>2053.09</v>
      </c>
      <c r="C1075" s="8" t="n">
        <v>127.9144</v>
      </c>
      <c r="D1075" s="8" t="n">
        <v>0.35</v>
      </c>
      <c r="E1075">
        <f>A1075-A1074</f>
        <v/>
      </c>
      <c r="F1075" s="4">
        <f>ROUND(B1075/B1074-1,8)</f>
        <v/>
      </c>
      <c r="G1075" s="4">
        <f>ROUND(C1075/C1074-1,8)</f>
        <v/>
      </c>
      <c r="H1075" s="4">
        <f>ROUND(D1075/100/(DATE(YEAR(A1075)+1,1,1)-DATE(YEAR(A1075),1,1))*E1075,8)</f>
        <v/>
      </c>
      <c r="I1075" s="4">
        <f>ROUND(I1074*(1+F1075),8)</f>
        <v/>
      </c>
      <c r="J1075" s="4">
        <f>ROUND(J1074*(1+G1075),8)</f>
        <v/>
      </c>
      <c r="K1075" s="4">
        <f>ROUND(K1074+H1075,8)</f>
        <v/>
      </c>
      <c r="L1075" s="4">
        <f>ROUND(0.9*F1075+0.05*G1075+0.05*H1075,8)</f>
        <v/>
      </c>
    </row>
    <row r="1076">
      <c r="A1076" s="2" t="n">
        <v>45362</v>
      </c>
      <c r="B1076" s="8" t="n">
        <v>2094.25</v>
      </c>
      <c r="C1076" s="8" t="n">
        <v>127.7984</v>
      </c>
      <c r="D1076" s="8" t="n">
        <v>0.35</v>
      </c>
      <c r="E1076">
        <f>A1076-A1075</f>
        <v/>
      </c>
      <c r="F1076" s="4">
        <f>ROUND(B1076/B1075-1,8)</f>
        <v/>
      </c>
      <c r="G1076" s="4">
        <f>ROUND(C1076/C1075-1,8)</f>
        <v/>
      </c>
      <c r="H1076" s="4">
        <f>ROUND(D1076/100/(DATE(YEAR(A1076)+1,1,1)-DATE(YEAR(A1076),1,1))*E1076,8)</f>
        <v/>
      </c>
      <c r="I1076" s="4">
        <f>ROUND(I1075*(1+F1076),8)</f>
        <v/>
      </c>
      <c r="J1076" s="4">
        <f>ROUND(J1075*(1+G1076),8)</f>
        <v/>
      </c>
      <c r="K1076" s="4">
        <f>ROUND(K1075+H1076,8)</f>
        <v/>
      </c>
      <c r="L1076" s="4">
        <f>ROUND(0.9*F1076+0.05*G1076+0.05*H1076,8)</f>
        <v/>
      </c>
    </row>
    <row r="1077">
      <c r="A1077" s="2" t="n">
        <v>45363</v>
      </c>
      <c r="B1077" s="8" t="n">
        <v>2121.16</v>
      </c>
      <c r="C1077" s="8" t="n">
        <v>127.5614</v>
      </c>
      <c r="D1077" s="8" t="n">
        <v>0.35</v>
      </c>
      <c r="E1077">
        <f>A1077-A1076</f>
        <v/>
      </c>
      <c r="F1077" s="4">
        <f>ROUND(B1077/B1076-1,8)</f>
        <v/>
      </c>
      <c r="G1077" s="4">
        <f>ROUND(C1077/C1076-1,8)</f>
        <v/>
      </c>
      <c r="H1077" s="4">
        <f>ROUND(D1077/100/(DATE(YEAR(A1077)+1,1,1)-DATE(YEAR(A1077),1,1))*E1077,8)</f>
        <v/>
      </c>
      <c r="I1077" s="4">
        <f>ROUND(I1076*(1+F1077),8)</f>
        <v/>
      </c>
      <c r="J1077" s="4">
        <f>ROUND(J1076*(1+G1077),8)</f>
        <v/>
      </c>
      <c r="K1077" s="4">
        <f>ROUND(K1076+H1077,8)</f>
        <v/>
      </c>
      <c r="L1077" s="4">
        <f>ROUND(0.9*F1077+0.05*G1077+0.05*H1077,8)</f>
        <v/>
      </c>
    </row>
    <row r="1078">
      <c r="A1078" s="2" t="n">
        <v>45364</v>
      </c>
      <c r="B1078" s="8" t="n">
        <v>2129.58</v>
      </c>
      <c r="C1078" s="8" t="n">
        <v>127.4974</v>
      </c>
      <c r="D1078" s="8" t="n">
        <v>0.35</v>
      </c>
      <c r="E1078">
        <f>A1078-A1077</f>
        <v/>
      </c>
      <c r="F1078" s="4">
        <f>ROUND(B1078/B1077-1,8)</f>
        <v/>
      </c>
      <c r="G1078" s="4">
        <f>ROUND(C1078/C1077-1,8)</f>
        <v/>
      </c>
      <c r="H1078" s="4">
        <f>ROUND(D1078/100/(DATE(YEAR(A1078)+1,1,1)-DATE(YEAR(A1078),1,1))*E1078,8)</f>
        <v/>
      </c>
      <c r="I1078" s="4">
        <f>ROUND(I1077*(1+F1078),8)</f>
        <v/>
      </c>
      <c r="J1078" s="4">
        <f>ROUND(J1077*(1+G1078),8)</f>
        <v/>
      </c>
      <c r="K1078" s="4">
        <f>ROUND(K1077+H1078,8)</f>
        <v/>
      </c>
      <c r="L1078" s="4">
        <f>ROUND(0.9*F1078+0.05*G1078+0.05*H1078,8)</f>
        <v/>
      </c>
    </row>
    <row r="1079">
      <c r="A1079" s="2" t="n">
        <v>45365</v>
      </c>
      <c r="B1079" s="8" t="n">
        <v>2114.55</v>
      </c>
      <c r="C1079" s="8" t="n">
        <v>127.4424</v>
      </c>
      <c r="D1079" s="8" t="n">
        <v>0.35</v>
      </c>
      <c r="E1079">
        <f>A1079-A1078</f>
        <v/>
      </c>
      <c r="F1079" s="4">
        <f>ROUND(B1079/B1078-1,8)</f>
        <v/>
      </c>
      <c r="G1079" s="4">
        <f>ROUND(C1079/C1078-1,8)</f>
        <v/>
      </c>
      <c r="H1079" s="4">
        <f>ROUND(D1079/100/(DATE(YEAR(A1079)+1,1,1)-DATE(YEAR(A1079),1,1))*E1079,8)</f>
        <v/>
      </c>
      <c r="I1079" s="4">
        <f>ROUND(I1078*(1+F1079),8)</f>
        <v/>
      </c>
      <c r="J1079" s="4">
        <f>ROUND(J1078*(1+G1079),8)</f>
        <v/>
      </c>
      <c r="K1079" s="4">
        <f>ROUND(K1078+H1079,8)</f>
        <v/>
      </c>
      <c r="L1079" s="4">
        <f>ROUND(0.9*F1079+0.05*G1079+0.05*H1079,8)</f>
        <v/>
      </c>
    </row>
    <row r="1080">
      <c r="A1080" s="2" t="n">
        <v>45366</v>
      </c>
      <c r="B1080" s="8" t="n">
        <v>2144.19</v>
      </c>
      <c r="C1080" s="8" t="n">
        <v>127.4831</v>
      </c>
      <c r="D1080" s="8" t="n">
        <v>0.35</v>
      </c>
      <c r="E1080">
        <f>A1080-A1079</f>
        <v/>
      </c>
      <c r="F1080" s="4">
        <f>ROUND(B1080/B1079-1,8)</f>
        <v/>
      </c>
      <c r="G1080" s="4">
        <f>ROUND(C1080/C1079-1,8)</f>
        <v/>
      </c>
      <c r="H1080" s="4">
        <f>ROUND(D1080/100/(DATE(YEAR(A1080)+1,1,1)-DATE(YEAR(A1080),1,1))*E1080,8)</f>
        <v/>
      </c>
      <c r="I1080" s="4">
        <f>ROUND(I1079*(1+F1080),8)</f>
        <v/>
      </c>
      <c r="J1080" s="4">
        <f>ROUND(J1079*(1+G1080),8)</f>
        <v/>
      </c>
      <c r="K1080" s="4">
        <f>ROUND(K1079+H1080,8)</f>
        <v/>
      </c>
      <c r="L1080" s="4">
        <f>ROUND(0.9*F1080+0.05*G1080+0.05*H1080,8)</f>
        <v/>
      </c>
    </row>
    <row r="1081">
      <c r="A1081" s="2" t="n">
        <v>45369</v>
      </c>
      <c r="B1081" s="8" t="n">
        <v>2190.65</v>
      </c>
      <c r="C1081" s="8" t="n">
        <v>127.555</v>
      </c>
      <c r="D1081" s="8" t="n">
        <v>0.35</v>
      </c>
      <c r="E1081">
        <f>A1081-A1080</f>
        <v/>
      </c>
      <c r="F1081" s="4">
        <f>ROUND(B1081/B1080-1,8)</f>
        <v/>
      </c>
      <c r="G1081" s="4">
        <f>ROUND(C1081/C1080-1,8)</f>
        <v/>
      </c>
      <c r="H1081" s="4">
        <f>ROUND(D1081/100/(DATE(YEAR(A1081)+1,1,1)-DATE(YEAR(A1081),1,1))*E1081,8)</f>
        <v/>
      </c>
      <c r="I1081" s="4">
        <f>ROUND(I1080*(1+F1081),8)</f>
        <v/>
      </c>
      <c r="J1081" s="4">
        <f>ROUND(J1080*(1+G1081),8)</f>
        <v/>
      </c>
      <c r="K1081" s="4">
        <f>ROUND(K1080+H1081,8)</f>
        <v/>
      </c>
      <c r="L1081" s="4">
        <f>ROUND(0.9*F1081+0.05*G1081+0.05*H1081,8)</f>
        <v/>
      </c>
    </row>
    <row r="1082">
      <c r="A1082" s="2" t="n">
        <v>45370</v>
      </c>
      <c r="B1082" s="8" t="n">
        <v>2185.55</v>
      </c>
      <c r="C1082" s="8" t="n">
        <v>127.6526</v>
      </c>
      <c r="D1082" s="8" t="n">
        <v>0.35</v>
      </c>
      <c r="E1082">
        <f>A1082-A1081</f>
        <v/>
      </c>
      <c r="F1082" s="4">
        <f>ROUND(B1082/B1081-1,8)</f>
        <v/>
      </c>
      <c r="G1082" s="4">
        <f>ROUND(C1082/C1081-1,8)</f>
        <v/>
      </c>
      <c r="H1082" s="4">
        <f>ROUND(D1082/100/(DATE(YEAR(A1082)+1,1,1)-DATE(YEAR(A1082),1,1))*E1082,8)</f>
        <v/>
      </c>
      <c r="I1082" s="4">
        <f>ROUND(I1081*(1+F1082),8)</f>
        <v/>
      </c>
      <c r="J1082" s="4">
        <f>ROUND(J1081*(1+G1082),8)</f>
        <v/>
      </c>
      <c r="K1082" s="4">
        <f>ROUND(K1081+H1082,8)</f>
        <v/>
      </c>
      <c r="L1082" s="4">
        <f>ROUND(0.9*F1082+0.05*G1082+0.05*H1082,8)</f>
        <v/>
      </c>
    </row>
    <row r="1083">
      <c r="A1083" s="2" t="n">
        <v>45371</v>
      </c>
      <c r="B1083" s="8" t="n">
        <v>2213.49</v>
      </c>
      <c r="C1083" s="8" t="n">
        <v>127.6322</v>
      </c>
      <c r="D1083" s="8" t="n">
        <v>0.35</v>
      </c>
      <c r="E1083">
        <f>A1083-A1082</f>
        <v/>
      </c>
      <c r="F1083" s="4">
        <f>ROUND(B1083/B1082-1,8)</f>
        <v/>
      </c>
      <c r="G1083" s="4">
        <f>ROUND(C1083/C1082-1,8)</f>
        <v/>
      </c>
      <c r="H1083" s="4">
        <f>ROUND(D1083/100/(DATE(YEAR(A1083)+1,1,1)-DATE(YEAR(A1083),1,1))*E1083,8)</f>
        <v/>
      </c>
      <c r="I1083" s="4">
        <f>ROUND(I1082*(1+F1083),8)</f>
        <v/>
      </c>
      <c r="J1083" s="4">
        <f>ROUND(J1082*(1+G1083),8)</f>
        <v/>
      </c>
      <c r="K1083" s="4">
        <f>ROUND(K1082+H1083,8)</f>
        <v/>
      </c>
      <c r="L1083" s="4">
        <f>ROUND(0.9*F1083+0.05*G1083+0.05*H1083,8)</f>
        <v/>
      </c>
    </row>
    <row r="1084">
      <c r="A1084" s="2" t="n">
        <v>45372</v>
      </c>
      <c r="B1084" s="8" t="n">
        <v>2219.4</v>
      </c>
      <c r="C1084" s="8" t="n">
        <v>127.6405</v>
      </c>
      <c r="D1084" s="8" t="n">
        <v>0.35</v>
      </c>
      <c r="E1084">
        <f>A1084-A1083</f>
        <v/>
      </c>
      <c r="F1084" s="4">
        <f>ROUND(B1084/B1083-1,8)</f>
        <v/>
      </c>
      <c r="G1084" s="4">
        <f>ROUND(C1084/C1083-1,8)</f>
        <v/>
      </c>
      <c r="H1084" s="4">
        <f>ROUND(D1084/100/(DATE(YEAR(A1084)+1,1,1)-DATE(YEAR(A1084),1,1))*E1084,8)</f>
        <v/>
      </c>
      <c r="I1084" s="4">
        <f>ROUND(I1083*(1+F1084),8)</f>
        <v/>
      </c>
      <c r="J1084" s="4">
        <f>ROUND(J1083*(1+G1084),8)</f>
        <v/>
      </c>
      <c r="K1084" s="4">
        <f>ROUND(K1083+H1084,8)</f>
        <v/>
      </c>
      <c r="L1084" s="4">
        <f>ROUND(0.9*F1084+0.05*G1084+0.05*H1084,8)</f>
        <v/>
      </c>
    </row>
    <row r="1085">
      <c r="A1085" s="2" t="n">
        <v>45373</v>
      </c>
      <c r="B1085" s="8" t="n">
        <v>2193.65</v>
      </c>
      <c r="C1085" s="8" t="n">
        <v>127.6302</v>
      </c>
      <c r="D1085" s="8" t="n">
        <v>0.35</v>
      </c>
      <c r="E1085">
        <f>A1085-A1084</f>
        <v/>
      </c>
      <c r="F1085" s="4">
        <f>ROUND(B1085/B1084-1,8)</f>
        <v/>
      </c>
      <c r="G1085" s="4">
        <f>ROUND(C1085/C1084-1,8)</f>
        <v/>
      </c>
      <c r="H1085" s="4">
        <f>ROUND(D1085/100/(DATE(YEAR(A1085)+1,1,1)-DATE(YEAR(A1085),1,1))*E1085,8)</f>
        <v/>
      </c>
      <c r="I1085" s="4">
        <f>ROUND(I1084*(1+F1085),8)</f>
        <v/>
      </c>
      <c r="J1085" s="4">
        <f>ROUND(J1084*(1+G1085),8)</f>
        <v/>
      </c>
      <c r="K1085" s="4">
        <f>ROUND(K1084+H1085,8)</f>
        <v/>
      </c>
      <c r="L1085" s="4">
        <f>ROUND(0.9*F1085+0.05*G1085+0.05*H1085,8)</f>
        <v/>
      </c>
    </row>
    <row r="1086">
      <c r="A1086" s="2" t="n">
        <v>45376</v>
      </c>
      <c r="B1086" s="8" t="n">
        <v>2132.37</v>
      </c>
      <c r="C1086" s="8" t="n">
        <v>127.5352</v>
      </c>
      <c r="D1086" s="8" t="n">
        <v>0.35</v>
      </c>
      <c r="E1086">
        <f>A1086-A1085</f>
        <v/>
      </c>
      <c r="F1086" s="4">
        <f>ROUND(B1086/B1085-1,8)</f>
        <v/>
      </c>
      <c r="G1086" s="4">
        <f>ROUND(C1086/C1085-1,8)</f>
        <v/>
      </c>
      <c r="H1086" s="4">
        <f>ROUND(D1086/100/(DATE(YEAR(A1086)+1,1,1)-DATE(YEAR(A1086),1,1))*E1086,8)</f>
        <v/>
      </c>
      <c r="I1086" s="4">
        <f>ROUND(I1085*(1+F1086),8)</f>
        <v/>
      </c>
      <c r="J1086" s="4">
        <f>ROUND(J1085*(1+G1086),8)</f>
        <v/>
      </c>
      <c r="K1086" s="4">
        <f>ROUND(K1085+H1086,8)</f>
        <v/>
      </c>
      <c r="L1086" s="4">
        <f>ROUND(0.9*F1086+0.05*G1086+0.05*H1086,8)</f>
        <v/>
      </c>
    </row>
    <row r="1087">
      <c r="A1087" s="2" t="n">
        <v>45377</v>
      </c>
      <c r="B1087" s="8" t="n">
        <v>2128.51</v>
      </c>
      <c r="C1087" s="8" t="n">
        <v>127.5163</v>
      </c>
      <c r="D1087" s="8" t="n">
        <v>0.35</v>
      </c>
      <c r="E1087">
        <f>A1087-A1086</f>
        <v/>
      </c>
      <c r="F1087" s="4">
        <f>ROUND(B1087/B1086-1,8)</f>
        <v/>
      </c>
      <c r="G1087" s="4">
        <f>ROUND(C1087/C1086-1,8)</f>
        <v/>
      </c>
      <c r="H1087" s="4">
        <f>ROUND(D1087/100/(DATE(YEAR(A1087)+1,1,1)-DATE(YEAR(A1087),1,1))*E1087,8)</f>
        <v/>
      </c>
      <c r="I1087" s="4">
        <f>ROUND(I1086*(1+F1087),8)</f>
        <v/>
      </c>
      <c r="J1087" s="4">
        <f>ROUND(J1086*(1+G1087),8)</f>
        <v/>
      </c>
      <c r="K1087" s="4">
        <f>ROUND(K1086+H1087,8)</f>
        <v/>
      </c>
      <c r="L1087" s="4">
        <f>ROUND(0.9*F1087+0.05*G1087+0.05*H1087,8)</f>
        <v/>
      </c>
    </row>
    <row r="1088">
      <c r="A1088" s="2" t="n">
        <v>45378</v>
      </c>
      <c r="B1088" s="8" t="n">
        <v>2051.63</v>
      </c>
      <c r="C1088" s="8" t="n">
        <v>127.5813</v>
      </c>
      <c r="D1088" s="8" t="n">
        <v>0.35</v>
      </c>
      <c r="E1088">
        <f>A1088-A1087</f>
        <v/>
      </c>
      <c r="F1088" s="4">
        <f>ROUND(B1088/B1087-1,8)</f>
        <v/>
      </c>
      <c r="G1088" s="4">
        <f>ROUND(C1088/C1087-1,8)</f>
        <v/>
      </c>
      <c r="H1088" s="4">
        <f>ROUND(D1088/100/(DATE(YEAR(A1088)+1,1,1)-DATE(YEAR(A1088),1,1))*E1088,8)</f>
        <v/>
      </c>
      <c r="I1088" s="4">
        <f>ROUND(I1087*(1+F1088),8)</f>
        <v/>
      </c>
      <c r="J1088" s="4">
        <f>ROUND(J1087*(1+G1088),8)</f>
        <v/>
      </c>
      <c r="K1088" s="4">
        <f>ROUND(K1087+H1088,8)</f>
        <v/>
      </c>
      <c r="L1088" s="4">
        <f>ROUND(0.9*F1088+0.05*G1088+0.05*H1088,8)</f>
        <v/>
      </c>
    </row>
    <row r="1089">
      <c r="A1089" s="2" t="n">
        <v>45379</v>
      </c>
      <c r="B1089" s="8" t="n">
        <v>2106.88</v>
      </c>
      <c r="C1089" s="8" t="n">
        <v>127.6237</v>
      </c>
      <c r="D1089" s="8" t="n">
        <v>0.35</v>
      </c>
      <c r="E1089">
        <f>A1089-A1088</f>
        <v/>
      </c>
      <c r="F1089" s="4">
        <f>ROUND(B1089/B1088-1,8)</f>
        <v/>
      </c>
      <c r="G1089" s="4">
        <f>ROUND(C1089/C1088-1,8)</f>
        <v/>
      </c>
      <c r="H1089" s="4">
        <f>ROUND(D1089/100/(DATE(YEAR(A1089)+1,1,1)-DATE(YEAR(A1089),1,1))*E1089,8)</f>
        <v/>
      </c>
      <c r="I1089" s="4">
        <f>ROUND(I1088*(1+F1089),8)</f>
        <v/>
      </c>
      <c r="J1089" s="4">
        <f>ROUND(J1088*(1+G1089),8)</f>
        <v/>
      </c>
      <c r="K1089" s="4">
        <f>ROUND(K1088+H1089,8)</f>
        <v/>
      </c>
      <c r="L1089" s="4">
        <f>ROUND(0.9*F1089+0.05*G1089+0.05*H1089,8)</f>
        <v/>
      </c>
    </row>
    <row r="1090">
      <c r="A1090" s="2" t="n">
        <v>45380</v>
      </c>
      <c r="B1090" s="8" t="n">
        <v>2134.42</v>
      </c>
      <c r="C1090" s="8" t="n">
        <v>127.6763</v>
      </c>
      <c r="D1090" s="8" t="n">
        <v>0.35</v>
      </c>
      <c r="E1090">
        <f>A1090-A1089</f>
        <v/>
      </c>
      <c r="F1090" s="4">
        <f>ROUND(B1090/B1089-1,8)</f>
        <v/>
      </c>
      <c r="G1090" s="4">
        <f>ROUND(C1090/C1089-1,8)</f>
        <v/>
      </c>
      <c r="H1090" s="4">
        <f>ROUND(D1090/100/(DATE(YEAR(A1090)+1,1,1)-DATE(YEAR(A1090),1,1))*E1090,8)</f>
        <v/>
      </c>
      <c r="I1090" s="4">
        <f>ROUND(I1089*(1+F1090),8)</f>
        <v/>
      </c>
      <c r="J1090" s="4">
        <f>ROUND(J1089*(1+G1090),8)</f>
        <v/>
      </c>
      <c r="K1090" s="4">
        <f>ROUND(K1089+H1090,8)</f>
        <v/>
      </c>
      <c r="L1090" s="4">
        <f>ROUND(0.9*F1090+0.05*G1090+0.05*H1090,8)</f>
        <v/>
      </c>
    </row>
    <row r="1091">
      <c r="A1091" s="2" t="n">
        <v>45383</v>
      </c>
      <c r="B1091" s="8" t="n">
        <v>2178.25</v>
      </c>
      <c r="C1091" s="8" t="n">
        <v>127.6262</v>
      </c>
      <c r="D1091" s="8" t="n">
        <v>0.35</v>
      </c>
      <c r="E1091">
        <f>A1091-A1090</f>
        <v/>
      </c>
      <c r="F1091" s="4">
        <f>ROUND(B1091/B1090-1,8)</f>
        <v/>
      </c>
      <c r="G1091" s="4">
        <f>ROUND(C1091/C1090-1,8)</f>
        <v/>
      </c>
      <c r="H1091" s="4">
        <f>ROUND(D1091/100/(DATE(YEAR(A1091)+1,1,1)-DATE(YEAR(A1091),1,1))*E1091,8)</f>
        <v/>
      </c>
      <c r="I1091" s="4">
        <f>ROUND(I1090*(1+F1091),8)</f>
        <v/>
      </c>
      <c r="J1091" s="4">
        <f>ROUND(J1090*(1+G1091),8)</f>
        <v/>
      </c>
      <c r="K1091" s="4">
        <f>ROUND(K1090+H1091,8)</f>
        <v/>
      </c>
      <c r="L1091" s="4">
        <f>ROUND(0.9*F1091+0.05*G1091+0.05*H1091,8)</f>
        <v/>
      </c>
    </row>
    <row r="1092">
      <c r="A1092" s="2" t="n">
        <v>45384</v>
      </c>
      <c r="B1092" s="8" t="n">
        <v>2168.65</v>
      </c>
      <c r="C1092" s="8" t="n">
        <v>127.6862</v>
      </c>
      <c r="D1092" s="8" t="n">
        <v>0.35</v>
      </c>
      <c r="E1092">
        <f>A1092-A1091</f>
        <v/>
      </c>
      <c r="F1092" s="4">
        <f>ROUND(B1092/B1091-1,8)</f>
        <v/>
      </c>
      <c r="G1092" s="4">
        <f>ROUND(C1092/C1091-1,8)</f>
        <v/>
      </c>
      <c r="H1092" s="4">
        <f>ROUND(D1092/100/(DATE(YEAR(A1092)+1,1,1)-DATE(YEAR(A1092),1,1))*E1092,8)</f>
        <v/>
      </c>
      <c r="I1092" s="4">
        <f>ROUND(I1091*(1+F1092),8)</f>
        <v/>
      </c>
      <c r="J1092" s="4">
        <f>ROUND(J1091*(1+G1092),8)</f>
        <v/>
      </c>
      <c r="K1092" s="4">
        <f>ROUND(K1091+H1092,8)</f>
        <v/>
      </c>
      <c r="L1092" s="4">
        <f>ROUND(0.9*F1092+0.05*G1092+0.05*H1092,8)</f>
        <v/>
      </c>
    </row>
    <row r="1093">
      <c r="A1093" s="2" t="n">
        <v>45385</v>
      </c>
      <c r="B1093" s="8" t="n">
        <v>2145.21</v>
      </c>
      <c r="C1093" s="8" t="n">
        <v>127.7748</v>
      </c>
      <c r="D1093" s="8" t="n">
        <v>0.35</v>
      </c>
      <c r="E1093">
        <f>A1093-A1092</f>
        <v/>
      </c>
      <c r="F1093" s="4">
        <f>ROUND(B1093/B1092-1,8)</f>
        <v/>
      </c>
      <c r="G1093" s="4">
        <f>ROUND(C1093/C1092-1,8)</f>
        <v/>
      </c>
      <c r="H1093" s="4">
        <f>ROUND(D1093/100/(DATE(YEAR(A1093)+1,1,1)-DATE(YEAR(A1093),1,1))*E1093,8)</f>
        <v/>
      </c>
      <c r="I1093" s="4">
        <f>ROUND(I1092*(1+F1093),8)</f>
        <v/>
      </c>
      <c r="J1093" s="4">
        <f>ROUND(J1092*(1+G1093),8)</f>
        <v/>
      </c>
      <c r="K1093" s="4">
        <f>ROUND(K1092+H1093,8)</f>
        <v/>
      </c>
      <c r="L1093" s="4">
        <f>ROUND(0.9*F1093+0.05*G1093+0.05*H1093,8)</f>
        <v/>
      </c>
    </row>
    <row r="1094">
      <c r="A1094" s="2" t="n">
        <v>45390</v>
      </c>
      <c r="B1094" s="8" t="n">
        <v>2097</v>
      </c>
      <c r="C1094" s="8" t="n">
        <v>127.8506</v>
      </c>
      <c r="D1094" s="8" t="n">
        <v>0.35</v>
      </c>
      <c r="E1094">
        <f>A1094-A1093</f>
        <v/>
      </c>
      <c r="F1094" s="4">
        <f>ROUND(B1094/B1093-1,8)</f>
        <v/>
      </c>
      <c r="G1094" s="4">
        <f>ROUND(C1094/C1093-1,8)</f>
        <v/>
      </c>
      <c r="H1094" s="4">
        <f>ROUND(D1094/100/(DATE(YEAR(A1094)+1,1,1)-DATE(YEAR(A1094),1,1))*E1094,8)</f>
        <v/>
      </c>
      <c r="I1094" s="4">
        <f>ROUND(I1093*(1+F1094),8)</f>
        <v/>
      </c>
      <c r="J1094" s="4">
        <f>ROUND(J1093*(1+G1094),8)</f>
        <v/>
      </c>
      <c r="K1094" s="4">
        <f>ROUND(K1093+H1094,8)</f>
        <v/>
      </c>
      <c r="L1094" s="4">
        <f>ROUND(0.9*F1094+0.05*G1094+0.05*H1094,8)</f>
        <v/>
      </c>
    </row>
    <row r="1095">
      <c r="A1095" s="2" t="n">
        <v>45391</v>
      </c>
      <c r="B1095" s="8" t="n">
        <v>2125.57</v>
      </c>
      <c r="C1095" s="8" t="n">
        <v>127.9037</v>
      </c>
      <c r="D1095" s="8" t="n">
        <v>0.35</v>
      </c>
      <c r="E1095">
        <f>A1095-A1094</f>
        <v/>
      </c>
      <c r="F1095" s="4">
        <f>ROUND(B1095/B1094-1,8)</f>
        <v/>
      </c>
      <c r="G1095" s="4">
        <f>ROUND(C1095/C1094-1,8)</f>
        <v/>
      </c>
      <c r="H1095" s="4">
        <f>ROUND(D1095/100/(DATE(YEAR(A1095)+1,1,1)-DATE(YEAR(A1095),1,1))*E1095,8)</f>
        <v/>
      </c>
      <c r="I1095" s="4">
        <f>ROUND(I1094*(1+F1095),8)</f>
        <v/>
      </c>
      <c r="J1095" s="4">
        <f>ROUND(J1094*(1+G1095),8)</f>
        <v/>
      </c>
      <c r="K1095" s="4">
        <f>ROUND(K1094+H1095,8)</f>
        <v/>
      </c>
      <c r="L1095" s="4">
        <f>ROUND(0.9*F1095+0.05*G1095+0.05*H1095,8)</f>
        <v/>
      </c>
    </row>
    <row r="1096">
      <c r="A1096" s="2" t="n">
        <v>45392</v>
      </c>
      <c r="B1096" s="8" t="n">
        <v>2075.88</v>
      </c>
      <c r="C1096" s="8" t="n">
        <v>127.8771</v>
      </c>
      <c r="D1096" s="8" t="n">
        <v>0.35</v>
      </c>
      <c r="E1096">
        <f>A1096-A1095</f>
        <v/>
      </c>
      <c r="F1096" s="4">
        <f>ROUND(B1096/B1095-1,8)</f>
        <v/>
      </c>
      <c r="G1096" s="4">
        <f>ROUND(C1096/C1095-1,8)</f>
        <v/>
      </c>
      <c r="H1096" s="4">
        <f>ROUND(D1096/100/(DATE(YEAR(A1096)+1,1,1)-DATE(YEAR(A1096),1,1))*E1096,8)</f>
        <v/>
      </c>
      <c r="I1096" s="4">
        <f>ROUND(I1095*(1+F1096),8)</f>
        <v/>
      </c>
      <c r="J1096" s="4">
        <f>ROUND(J1095*(1+G1096),8)</f>
        <v/>
      </c>
      <c r="K1096" s="4">
        <f>ROUND(K1095+H1096,8)</f>
        <v/>
      </c>
      <c r="L1096" s="4">
        <f>ROUND(0.9*F1096+0.05*G1096+0.05*H1096,8)</f>
        <v/>
      </c>
    </row>
    <row r="1097">
      <c r="A1097" s="2" t="n">
        <v>45393</v>
      </c>
      <c r="B1097" s="8" t="n">
        <v>2080.55</v>
      </c>
      <c r="C1097" s="8" t="n">
        <v>127.8956</v>
      </c>
      <c r="D1097" s="8" t="n">
        <v>0.35</v>
      </c>
      <c r="E1097">
        <f>A1097-A1096</f>
        <v/>
      </c>
      <c r="F1097" s="4">
        <f>ROUND(B1097/B1096-1,8)</f>
        <v/>
      </c>
      <c r="G1097" s="4">
        <f>ROUND(C1097/C1096-1,8)</f>
        <v/>
      </c>
      <c r="H1097" s="4">
        <f>ROUND(D1097/100/(DATE(YEAR(A1097)+1,1,1)-DATE(YEAR(A1097),1,1))*E1097,8)</f>
        <v/>
      </c>
      <c r="I1097" s="4">
        <f>ROUND(I1096*(1+F1097),8)</f>
        <v/>
      </c>
      <c r="J1097" s="4">
        <f>ROUND(J1096*(1+G1097),8)</f>
        <v/>
      </c>
      <c r="K1097" s="4">
        <f>ROUND(K1096+H1097,8)</f>
        <v/>
      </c>
      <c r="L1097" s="4">
        <f>ROUND(0.9*F1097+0.05*G1097+0.05*H1097,8)</f>
        <v/>
      </c>
    </row>
    <row r="1098">
      <c r="A1098" s="2" t="n">
        <v>45394</v>
      </c>
      <c r="B1098" s="8" t="n">
        <v>2065.62</v>
      </c>
      <c r="C1098" s="8" t="n">
        <v>128.0073</v>
      </c>
      <c r="D1098" s="8" t="n">
        <v>0.35</v>
      </c>
      <c r="E1098">
        <f>A1098-A1097</f>
        <v/>
      </c>
      <c r="F1098" s="4">
        <f>ROUND(B1098/B1097-1,8)</f>
        <v/>
      </c>
      <c r="G1098" s="4">
        <f>ROUND(C1098/C1097-1,8)</f>
        <v/>
      </c>
      <c r="H1098" s="4">
        <f>ROUND(D1098/100/(DATE(YEAR(A1098)+1,1,1)-DATE(YEAR(A1098),1,1))*E1098,8)</f>
        <v/>
      </c>
      <c r="I1098" s="4">
        <f>ROUND(I1097*(1+F1098),8)</f>
        <v/>
      </c>
      <c r="J1098" s="4">
        <f>ROUND(J1097*(1+G1098),8)</f>
        <v/>
      </c>
      <c r="K1098" s="4">
        <f>ROUND(K1097+H1098,8)</f>
        <v/>
      </c>
      <c r="L1098" s="4">
        <f>ROUND(0.9*F1098+0.05*G1098+0.05*H1098,8)</f>
        <v/>
      </c>
    </row>
    <row r="1099">
      <c r="A1099" s="2" t="n">
        <v>45397</v>
      </c>
      <c r="B1099" s="8" t="n">
        <v>1981.53</v>
      </c>
      <c r="C1099" s="8" t="n">
        <v>128.0306</v>
      </c>
      <c r="D1099" s="8" t="n">
        <v>0.35</v>
      </c>
      <c r="E1099">
        <f>A1099-A1098</f>
        <v/>
      </c>
      <c r="F1099" s="4">
        <f>ROUND(B1099/B1098-1,8)</f>
        <v/>
      </c>
      <c r="G1099" s="4">
        <f>ROUND(C1099/C1098-1,8)</f>
        <v/>
      </c>
      <c r="H1099" s="4">
        <f>ROUND(D1099/100/(DATE(YEAR(A1099)+1,1,1)-DATE(YEAR(A1099),1,1))*E1099,8)</f>
        <v/>
      </c>
      <c r="I1099" s="4">
        <f>ROUND(I1098*(1+F1099),8)</f>
        <v/>
      </c>
      <c r="J1099" s="4">
        <f>ROUND(J1098*(1+G1099),8)</f>
        <v/>
      </c>
      <c r="K1099" s="4">
        <f>ROUND(K1098+H1099,8)</f>
        <v/>
      </c>
      <c r="L1099" s="4">
        <f>ROUND(0.9*F1099+0.05*G1099+0.05*H1099,8)</f>
        <v/>
      </c>
    </row>
    <row r="1100">
      <c r="A1100" s="2" t="n">
        <v>45398</v>
      </c>
      <c r="B1100" s="8" t="n">
        <v>1839.69</v>
      </c>
      <c r="C1100" s="8" t="n">
        <v>128.056</v>
      </c>
      <c r="D1100" s="8" t="n">
        <v>0.35</v>
      </c>
      <c r="E1100">
        <f>A1100-A1099</f>
        <v/>
      </c>
      <c r="F1100" s="4">
        <f>ROUND(B1100/B1099-1,8)</f>
        <v/>
      </c>
      <c r="G1100" s="4">
        <f>ROUND(C1100/C1099-1,8)</f>
        <v/>
      </c>
      <c r="H1100" s="4">
        <f>ROUND(D1100/100/(DATE(YEAR(A1100)+1,1,1)-DATE(YEAR(A1100),1,1))*E1100,8)</f>
        <v/>
      </c>
      <c r="I1100" s="4">
        <f>ROUND(I1099*(1+F1100),8)</f>
        <v/>
      </c>
      <c r="J1100" s="4">
        <f>ROUND(J1099*(1+G1100),8)</f>
        <v/>
      </c>
      <c r="K1100" s="4">
        <f>ROUND(K1099+H1100,8)</f>
        <v/>
      </c>
      <c r="L1100" s="4">
        <f>ROUND(0.9*F1100+0.05*G1100+0.05*H1100,8)</f>
        <v/>
      </c>
    </row>
    <row r="1101">
      <c r="A1101" s="2" t="n">
        <v>45399</v>
      </c>
      <c r="B1101" s="8" t="n">
        <v>1962.13</v>
      </c>
      <c r="C1101" s="8" t="n">
        <v>128.111</v>
      </c>
      <c r="D1101" s="8" t="n">
        <v>0.35</v>
      </c>
      <c r="E1101">
        <f>A1101-A1100</f>
        <v/>
      </c>
      <c r="F1101" s="4">
        <f>ROUND(B1101/B1100-1,8)</f>
        <v/>
      </c>
      <c r="G1101" s="4">
        <f>ROUND(C1101/C1100-1,8)</f>
        <v/>
      </c>
      <c r="H1101" s="4">
        <f>ROUND(D1101/100/(DATE(YEAR(A1101)+1,1,1)-DATE(YEAR(A1101),1,1))*E1101,8)</f>
        <v/>
      </c>
      <c r="I1101" s="4">
        <f>ROUND(I1100*(1+F1101),8)</f>
        <v/>
      </c>
      <c r="J1101" s="4">
        <f>ROUND(J1100*(1+G1101),8)</f>
        <v/>
      </c>
      <c r="K1101" s="4">
        <f>ROUND(K1100+H1101,8)</f>
        <v/>
      </c>
      <c r="L1101" s="4">
        <f>ROUND(0.9*F1101+0.05*G1101+0.05*H1101,8)</f>
        <v/>
      </c>
    </row>
    <row r="1102">
      <c r="A1102" s="2" t="n">
        <v>45400</v>
      </c>
      <c r="B1102" s="8" t="n">
        <v>1959.2</v>
      </c>
      <c r="C1102" s="8" t="n">
        <v>128.232</v>
      </c>
      <c r="D1102" s="8" t="n">
        <v>0.35</v>
      </c>
      <c r="E1102">
        <f>A1102-A1101</f>
        <v/>
      </c>
      <c r="F1102" s="4">
        <f>ROUND(B1102/B1101-1,8)</f>
        <v/>
      </c>
      <c r="G1102" s="4">
        <f>ROUND(C1102/C1101-1,8)</f>
        <v/>
      </c>
      <c r="H1102" s="4">
        <f>ROUND(D1102/100/(DATE(YEAR(A1102)+1,1,1)-DATE(YEAR(A1102),1,1))*E1102,8)</f>
        <v/>
      </c>
      <c r="I1102" s="4">
        <f>ROUND(I1101*(1+F1102),8)</f>
        <v/>
      </c>
      <c r="J1102" s="4">
        <f>ROUND(J1101*(1+G1102),8)</f>
        <v/>
      </c>
      <c r="K1102" s="4">
        <f>ROUND(K1101+H1102,8)</f>
        <v/>
      </c>
      <c r="L1102" s="4">
        <f>ROUND(0.9*F1102+0.05*G1102+0.05*H1102,8)</f>
        <v/>
      </c>
    </row>
    <row r="1103">
      <c r="A1103" s="2" t="n">
        <v>45401</v>
      </c>
      <c r="B1103" s="8" t="n">
        <v>1951.26</v>
      </c>
      <c r="C1103" s="8" t="n">
        <v>128.3394</v>
      </c>
      <c r="D1103" s="8" t="n">
        <v>0.35</v>
      </c>
      <c r="E1103">
        <f>A1103-A1102</f>
        <v/>
      </c>
      <c r="F1103" s="4">
        <f>ROUND(B1103/B1102-1,8)</f>
        <v/>
      </c>
      <c r="G1103" s="4">
        <f>ROUND(C1103/C1102-1,8)</f>
        <v/>
      </c>
      <c r="H1103" s="4">
        <f>ROUND(D1103/100/(DATE(YEAR(A1103)+1,1,1)-DATE(YEAR(A1103),1,1))*E1103,8)</f>
        <v/>
      </c>
      <c r="I1103" s="4">
        <f>ROUND(I1102*(1+F1103),8)</f>
        <v/>
      </c>
      <c r="J1103" s="4">
        <f>ROUND(J1102*(1+G1103),8)</f>
        <v/>
      </c>
      <c r="K1103" s="4">
        <f>ROUND(K1102+H1103,8)</f>
        <v/>
      </c>
      <c r="L1103" s="4">
        <f>ROUND(0.9*F1103+0.05*G1103+0.05*H1103,8)</f>
        <v/>
      </c>
    </row>
    <row r="1104">
      <c r="A1104" s="2" t="n">
        <v>45404</v>
      </c>
      <c r="B1104" s="8" t="n">
        <v>1935.56</v>
      </c>
      <c r="C1104" s="8" t="n">
        <v>128.4495</v>
      </c>
      <c r="D1104" s="8" t="n">
        <v>0.35</v>
      </c>
      <c r="E1104">
        <f>A1104-A1103</f>
        <v/>
      </c>
      <c r="F1104" s="4">
        <f>ROUND(B1104/B1103-1,8)</f>
        <v/>
      </c>
      <c r="G1104" s="4">
        <f>ROUND(C1104/C1103-1,8)</f>
        <v/>
      </c>
      <c r="H1104" s="4">
        <f>ROUND(D1104/100/(DATE(YEAR(A1104)+1,1,1)-DATE(YEAR(A1104),1,1))*E1104,8)</f>
        <v/>
      </c>
      <c r="I1104" s="4">
        <f>ROUND(I1103*(1+F1104),8)</f>
        <v/>
      </c>
      <c r="J1104" s="4">
        <f>ROUND(J1103*(1+G1104),8)</f>
        <v/>
      </c>
      <c r="K1104" s="4">
        <f>ROUND(K1103+H1104,8)</f>
        <v/>
      </c>
      <c r="L1104" s="4">
        <f>ROUND(0.9*F1104+0.05*G1104+0.05*H1104,8)</f>
        <v/>
      </c>
    </row>
    <row r="1105">
      <c r="A1105" s="2" t="n">
        <v>45405</v>
      </c>
      <c r="B1105" s="8" t="n">
        <v>1949.53</v>
      </c>
      <c r="C1105" s="8" t="n">
        <v>128.6061</v>
      </c>
      <c r="D1105" s="8" t="n">
        <v>0.35</v>
      </c>
      <c r="E1105">
        <f>A1105-A1104</f>
        <v/>
      </c>
      <c r="F1105" s="4">
        <f>ROUND(B1105/B1104-1,8)</f>
        <v/>
      </c>
      <c r="G1105" s="4">
        <f>ROUND(C1105/C1104-1,8)</f>
        <v/>
      </c>
      <c r="H1105" s="4">
        <f>ROUND(D1105/100/(DATE(YEAR(A1105)+1,1,1)-DATE(YEAR(A1105),1,1))*E1105,8)</f>
        <v/>
      </c>
      <c r="I1105" s="4">
        <f>ROUND(I1104*(1+F1105),8)</f>
        <v/>
      </c>
      <c r="J1105" s="4">
        <f>ROUND(J1104*(1+G1105),8)</f>
        <v/>
      </c>
      <c r="K1105" s="4">
        <f>ROUND(K1104+H1105,8)</f>
        <v/>
      </c>
      <c r="L1105" s="4">
        <f>ROUND(0.9*F1105+0.05*G1105+0.05*H1105,8)</f>
        <v/>
      </c>
    </row>
    <row r="1106">
      <c r="A1106" s="2" t="n">
        <v>45406</v>
      </c>
      <c r="B1106" s="8" t="n">
        <v>1993.69</v>
      </c>
      <c r="C1106" s="8" t="n">
        <v>128.4105</v>
      </c>
      <c r="D1106" s="8" t="n">
        <v>0.35</v>
      </c>
      <c r="E1106">
        <f>A1106-A1105</f>
        <v/>
      </c>
      <c r="F1106" s="4">
        <f>ROUND(B1106/B1105-1,8)</f>
        <v/>
      </c>
      <c r="G1106" s="4">
        <f>ROUND(C1106/C1105-1,8)</f>
        <v/>
      </c>
      <c r="H1106" s="4">
        <f>ROUND(D1106/100/(DATE(YEAR(A1106)+1,1,1)-DATE(YEAR(A1106),1,1))*E1106,8)</f>
        <v/>
      </c>
      <c r="I1106" s="4">
        <f>ROUND(I1105*(1+F1106),8)</f>
        <v/>
      </c>
      <c r="J1106" s="4">
        <f>ROUND(J1105*(1+G1106),8)</f>
        <v/>
      </c>
      <c r="K1106" s="4">
        <f>ROUND(K1105+H1106,8)</f>
        <v/>
      </c>
      <c r="L1106" s="4">
        <f>ROUND(0.9*F1106+0.05*G1106+0.05*H1106,8)</f>
        <v/>
      </c>
    </row>
    <row r="1107">
      <c r="A1107" s="2" t="n">
        <v>45407</v>
      </c>
      <c r="B1107" s="8" t="n">
        <v>1998.78</v>
      </c>
      <c r="C1107" s="8" t="n">
        <v>128.3205</v>
      </c>
      <c r="D1107" s="8" t="n">
        <v>0.35</v>
      </c>
      <c r="E1107">
        <f>A1107-A1106</f>
        <v/>
      </c>
      <c r="F1107" s="4">
        <f>ROUND(B1107/B1106-1,8)</f>
        <v/>
      </c>
      <c r="G1107" s="4">
        <f>ROUND(C1107/C1106-1,8)</f>
        <v/>
      </c>
      <c r="H1107" s="4">
        <f>ROUND(D1107/100/(DATE(YEAR(A1107)+1,1,1)-DATE(YEAR(A1107),1,1))*E1107,8)</f>
        <v/>
      </c>
      <c r="I1107" s="4">
        <f>ROUND(I1106*(1+F1107),8)</f>
        <v/>
      </c>
      <c r="J1107" s="4">
        <f>ROUND(J1106*(1+G1107),8)</f>
        <v/>
      </c>
      <c r="K1107" s="4">
        <f>ROUND(K1106+H1107,8)</f>
        <v/>
      </c>
      <c r="L1107" s="4">
        <f>ROUND(0.9*F1107+0.05*G1107+0.05*H1107,8)</f>
        <v/>
      </c>
    </row>
    <row r="1108">
      <c r="A1108" s="2" t="n">
        <v>45408</v>
      </c>
      <c r="B1108" s="8" t="n">
        <v>2029.42</v>
      </c>
      <c r="C1108" s="8" t="n">
        <v>128.1227</v>
      </c>
      <c r="D1108" s="8" t="n">
        <v>0.35</v>
      </c>
      <c r="E1108">
        <f>A1108-A1107</f>
        <v/>
      </c>
      <c r="F1108" s="4">
        <f>ROUND(B1108/B1107-1,8)</f>
        <v/>
      </c>
      <c r="G1108" s="4">
        <f>ROUND(C1108/C1107-1,8)</f>
        <v/>
      </c>
      <c r="H1108" s="4">
        <f>ROUND(D1108/100/(DATE(YEAR(A1108)+1,1,1)-DATE(YEAR(A1108),1,1))*E1108,8)</f>
        <v/>
      </c>
      <c r="I1108" s="4">
        <f>ROUND(I1107*(1+F1108),8)</f>
        <v/>
      </c>
      <c r="J1108" s="4">
        <f>ROUND(J1107*(1+G1108),8)</f>
        <v/>
      </c>
      <c r="K1108" s="4">
        <f>ROUND(K1107+H1108,8)</f>
        <v/>
      </c>
      <c r="L1108" s="4">
        <f>ROUND(0.9*F1108+0.05*G1108+0.05*H1108,8)</f>
        <v/>
      </c>
    </row>
    <row r="1109">
      <c r="A1109" s="2" t="n">
        <v>45411</v>
      </c>
      <c r="B1109" s="8" t="n">
        <v>2084.33</v>
      </c>
      <c r="C1109" s="8" t="n">
        <v>127.7354</v>
      </c>
      <c r="D1109" s="8" t="n">
        <v>0.35</v>
      </c>
      <c r="E1109">
        <f>A1109-A1108</f>
        <v/>
      </c>
      <c r="F1109" s="4">
        <f>ROUND(B1109/B1108-1,8)</f>
        <v/>
      </c>
      <c r="G1109" s="4">
        <f>ROUND(C1109/C1108-1,8)</f>
        <v/>
      </c>
      <c r="H1109" s="4">
        <f>ROUND(D1109/100/(DATE(YEAR(A1109)+1,1,1)-DATE(YEAR(A1109),1,1))*E1109,8)</f>
        <v/>
      </c>
      <c r="I1109" s="4">
        <f>ROUND(I1108*(1+F1109),8)</f>
        <v/>
      </c>
      <c r="J1109" s="4">
        <f>ROUND(J1108*(1+G1109),8)</f>
        <v/>
      </c>
      <c r="K1109" s="4">
        <f>ROUND(K1108+H1109,8)</f>
        <v/>
      </c>
      <c r="L1109" s="4">
        <f>ROUND(0.9*F1109+0.05*G1109+0.05*H1109,8)</f>
        <v/>
      </c>
    </row>
    <row r="1110">
      <c r="A1110" s="2" t="n">
        <v>45412</v>
      </c>
      <c r="B1110" s="8" t="n">
        <v>2071.94</v>
      </c>
      <c r="C1110" s="8" t="n">
        <v>127.8968</v>
      </c>
      <c r="D1110" s="8" t="n">
        <v>0.35</v>
      </c>
      <c r="E1110">
        <f>A1110-A1109</f>
        <v/>
      </c>
      <c r="F1110" s="4">
        <f>ROUND(B1110/B1109-1,8)</f>
        <v/>
      </c>
      <c r="G1110" s="4">
        <f>ROUND(C1110/C1109-1,8)</f>
        <v/>
      </c>
      <c r="H1110" s="4">
        <f>ROUND(D1110/100/(DATE(YEAR(A1110)+1,1,1)-DATE(YEAR(A1110),1,1))*E1110,8)</f>
        <v/>
      </c>
      <c r="I1110" s="4">
        <f>ROUND(I1109*(1+F1110),8)</f>
        <v/>
      </c>
      <c r="J1110" s="4">
        <f>ROUND(J1109*(1+G1110),8)</f>
        <v/>
      </c>
      <c r="K1110" s="4">
        <f>ROUND(K1109+H1110,8)</f>
        <v/>
      </c>
      <c r="L1110" s="4">
        <f>ROUND(0.9*F1110+0.05*G1110+0.05*H1110,8)</f>
        <v/>
      </c>
    </row>
    <row r="1111">
      <c r="A1111" s="2" t="n">
        <v>45418</v>
      </c>
      <c r="B1111" s="8" t="n">
        <v>2114.38</v>
      </c>
      <c r="C1111" s="8" t="n">
        <v>127.9331</v>
      </c>
      <c r="D1111" s="8" t="n">
        <v>0.35</v>
      </c>
      <c r="E1111">
        <f>A1111-A1110</f>
        <v/>
      </c>
      <c r="F1111" s="4">
        <f>ROUND(B1111/B1110-1,8)</f>
        <v/>
      </c>
      <c r="G1111" s="4">
        <f>ROUND(C1111/C1110-1,8)</f>
        <v/>
      </c>
      <c r="H1111" s="4">
        <f>ROUND(D1111/100/(DATE(YEAR(A1111)+1,1,1)-DATE(YEAR(A1111),1,1))*E1111,8)</f>
        <v/>
      </c>
      <c r="I1111" s="4">
        <f>ROUND(I1110*(1+F1111),8)</f>
        <v/>
      </c>
      <c r="J1111" s="4">
        <f>ROUND(J1110*(1+G1111),8)</f>
        <v/>
      </c>
      <c r="K1111" s="4">
        <f>ROUND(K1110+H1111,8)</f>
        <v/>
      </c>
      <c r="L1111" s="4">
        <f>ROUND(0.9*F1111+0.05*G1111+0.05*H1111,8)</f>
        <v/>
      </c>
    </row>
    <row r="1112">
      <c r="A1112" s="2" t="n">
        <v>45419</v>
      </c>
      <c r="B1112" s="8" t="n">
        <v>2128.03</v>
      </c>
      <c r="C1112" s="8" t="n">
        <v>128.0589</v>
      </c>
      <c r="D1112" s="8" t="n">
        <v>0.35</v>
      </c>
      <c r="E1112">
        <f>A1112-A1111</f>
        <v/>
      </c>
      <c r="F1112" s="4">
        <f>ROUND(B1112/B1111-1,8)</f>
        <v/>
      </c>
      <c r="G1112" s="4">
        <f>ROUND(C1112/C1111-1,8)</f>
        <v/>
      </c>
      <c r="H1112" s="4">
        <f>ROUND(D1112/100/(DATE(YEAR(A1112)+1,1,1)-DATE(YEAR(A1112),1,1))*E1112,8)</f>
        <v/>
      </c>
      <c r="I1112" s="4">
        <f>ROUND(I1111*(1+F1112),8)</f>
        <v/>
      </c>
      <c r="J1112" s="4">
        <f>ROUND(J1111*(1+G1112),8)</f>
        <v/>
      </c>
      <c r="K1112" s="4">
        <f>ROUND(K1111+H1112,8)</f>
        <v/>
      </c>
      <c r="L1112" s="4">
        <f>ROUND(0.9*F1112+0.05*G1112+0.05*H1112,8)</f>
        <v/>
      </c>
    </row>
    <row r="1113">
      <c r="A1113" s="2" t="n">
        <v>45420</v>
      </c>
      <c r="B1113" s="8" t="n">
        <v>2099.75</v>
      </c>
      <c r="C1113" s="8" t="n">
        <v>128.099</v>
      </c>
      <c r="D1113" s="8" t="n">
        <v>0.35</v>
      </c>
      <c r="E1113">
        <f>A1113-A1112</f>
        <v/>
      </c>
      <c r="F1113" s="4">
        <f>ROUND(B1113/B1112-1,8)</f>
        <v/>
      </c>
      <c r="G1113" s="4">
        <f>ROUND(C1113/C1112-1,8)</f>
        <v/>
      </c>
      <c r="H1113" s="4">
        <f>ROUND(D1113/100/(DATE(YEAR(A1113)+1,1,1)-DATE(YEAR(A1113),1,1))*E1113,8)</f>
        <v/>
      </c>
      <c r="I1113" s="4">
        <f>ROUND(I1112*(1+F1113),8)</f>
        <v/>
      </c>
      <c r="J1113" s="4">
        <f>ROUND(J1112*(1+G1113),8)</f>
        <v/>
      </c>
      <c r="K1113" s="4">
        <f>ROUND(K1112+H1113,8)</f>
        <v/>
      </c>
      <c r="L1113" s="4">
        <f>ROUND(0.9*F1113+0.05*G1113+0.05*H1113,8)</f>
        <v/>
      </c>
    </row>
    <row r="1114">
      <c r="A1114" s="2" t="n">
        <v>45421</v>
      </c>
      <c r="B1114" s="8" t="n">
        <v>2124.21</v>
      </c>
      <c r="C1114" s="8" t="n">
        <v>128.0407</v>
      </c>
      <c r="D1114" s="8" t="n">
        <v>0.35</v>
      </c>
      <c r="E1114">
        <f>A1114-A1113</f>
        <v/>
      </c>
      <c r="F1114" s="4">
        <f>ROUND(B1114/B1113-1,8)</f>
        <v/>
      </c>
      <c r="G1114" s="4">
        <f>ROUND(C1114/C1113-1,8)</f>
        <v/>
      </c>
      <c r="H1114" s="4">
        <f>ROUND(D1114/100/(DATE(YEAR(A1114)+1,1,1)-DATE(YEAR(A1114),1,1))*E1114,8)</f>
        <v/>
      </c>
      <c r="I1114" s="4">
        <f>ROUND(I1113*(1+F1114),8)</f>
        <v/>
      </c>
      <c r="J1114" s="4">
        <f>ROUND(J1113*(1+G1114),8)</f>
        <v/>
      </c>
      <c r="K1114" s="4">
        <f>ROUND(K1113+H1114,8)</f>
        <v/>
      </c>
      <c r="L1114" s="4">
        <f>ROUND(0.9*F1114+0.05*G1114+0.05*H1114,8)</f>
        <v/>
      </c>
    </row>
    <row r="1115">
      <c r="A1115" s="2" t="n">
        <v>45422</v>
      </c>
      <c r="B1115" s="8" t="n">
        <v>2100.32</v>
      </c>
      <c r="C1115" s="8" t="n">
        <v>128.0087</v>
      </c>
      <c r="D1115" s="8" t="n">
        <v>0.35</v>
      </c>
      <c r="E1115">
        <f>A1115-A1114</f>
        <v/>
      </c>
      <c r="F1115" s="4">
        <f>ROUND(B1115/B1114-1,8)</f>
        <v/>
      </c>
      <c r="G1115" s="4">
        <f>ROUND(C1115/C1114-1,8)</f>
        <v/>
      </c>
      <c r="H1115" s="4">
        <f>ROUND(D1115/100/(DATE(YEAR(A1115)+1,1,1)-DATE(YEAR(A1115),1,1))*E1115,8)</f>
        <v/>
      </c>
      <c r="I1115" s="4">
        <f>ROUND(I1114*(1+F1115),8)</f>
        <v/>
      </c>
      <c r="J1115" s="4">
        <f>ROUND(J1114*(1+G1115),8)</f>
        <v/>
      </c>
      <c r="K1115" s="4">
        <f>ROUND(K1114+H1115,8)</f>
        <v/>
      </c>
      <c r="L1115" s="4">
        <f>ROUND(0.9*F1115+0.05*G1115+0.05*H1115,8)</f>
        <v/>
      </c>
    </row>
    <row r="1116">
      <c r="A1116" s="2" t="n">
        <v>45425</v>
      </c>
      <c r="B1116" s="8" t="n">
        <v>2064.33</v>
      </c>
      <c r="C1116" s="8" t="n">
        <v>128.0626</v>
      </c>
      <c r="D1116" s="8" t="n">
        <v>0.35</v>
      </c>
      <c r="E1116">
        <f>A1116-A1115</f>
        <v/>
      </c>
      <c r="F1116" s="4">
        <f>ROUND(B1116/B1115-1,8)</f>
        <v/>
      </c>
      <c r="G1116" s="4">
        <f>ROUND(C1116/C1115-1,8)</f>
        <v/>
      </c>
      <c r="H1116" s="4">
        <f>ROUND(D1116/100/(DATE(YEAR(A1116)+1,1,1)-DATE(YEAR(A1116),1,1))*E1116,8)</f>
        <v/>
      </c>
      <c r="I1116" s="4">
        <f>ROUND(I1115*(1+F1116),8)</f>
        <v/>
      </c>
      <c r="J1116" s="4">
        <f>ROUND(J1115*(1+G1116),8)</f>
        <v/>
      </c>
      <c r="K1116" s="4">
        <f>ROUND(K1115+H1116,8)</f>
        <v/>
      </c>
      <c r="L1116" s="4">
        <f>ROUND(0.9*F1116+0.05*G1116+0.05*H1116,8)</f>
        <v/>
      </c>
    </row>
    <row r="1117">
      <c r="A1117" s="2" t="n">
        <v>45426</v>
      </c>
      <c r="B1117" s="8" t="n">
        <v>2081.77</v>
      </c>
      <c r="C1117" s="8" t="n">
        <v>128.1459</v>
      </c>
      <c r="D1117" s="8" t="n">
        <v>0.35</v>
      </c>
      <c r="E1117">
        <f>A1117-A1116</f>
        <v/>
      </c>
      <c r="F1117" s="4">
        <f>ROUND(B1117/B1116-1,8)</f>
        <v/>
      </c>
      <c r="G1117" s="4">
        <f>ROUND(C1117/C1116-1,8)</f>
        <v/>
      </c>
      <c r="H1117" s="4">
        <f>ROUND(D1117/100/(DATE(YEAR(A1117)+1,1,1)-DATE(YEAR(A1117),1,1))*E1117,8)</f>
        <v/>
      </c>
      <c r="I1117" s="4">
        <f>ROUND(I1116*(1+F1117),8)</f>
        <v/>
      </c>
      <c r="J1117" s="4">
        <f>ROUND(J1116*(1+G1117),8)</f>
        <v/>
      </c>
      <c r="K1117" s="4">
        <f>ROUND(K1116+H1117,8)</f>
        <v/>
      </c>
      <c r="L1117" s="4">
        <f>ROUND(0.9*F1117+0.05*G1117+0.05*H1117,8)</f>
        <v/>
      </c>
    </row>
    <row r="1118">
      <c r="A1118" s="2" t="n">
        <v>45427</v>
      </c>
      <c r="B1118" s="8" t="n">
        <v>2063.97</v>
      </c>
      <c r="C1118" s="8" t="n">
        <v>128.1368</v>
      </c>
      <c r="D1118" s="8" t="n">
        <v>0.35</v>
      </c>
      <c r="E1118">
        <f>A1118-A1117</f>
        <v/>
      </c>
      <c r="F1118" s="4">
        <f>ROUND(B1118/B1117-1,8)</f>
        <v/>
      </c>
      <c r="G1118" s="4">
        <f>ROUND(C1118/C1117-1,8)</f>
        <v/>
      </c>
      <c r="H1118" s="4">
        <f>ROUND(D1118/100/(DATE(YEAR(A1118)+1,1,1)-DATE(YEAR(A1118),1,1))*E1118,8)</f>
        <v/>
      </c>
      <c r="I1118" s="4">
        <f>ROUND(I1117*(1+F1118),8)</f>
        <v/>
      </c>
      <c r="J1118" s="4">
        <f>ROUND(J1117*(1+G1118),8)</f>
        <v/>
      </c>
      <c r="K1118" s="4">
        <f>ROUND(K1117+H1118,8)</f>
        <v/>
      </c>
      <c r="L1118" s="4">
        <f>ROUND(0.9*F1118+0.05*G1118+0.05*H1118,8)</f>
        <v/>
      </c>
    </row>
    <row r="1119">
      <c r="A1119" s="2" t="n">
        <v>45428</v>
      </c>
      <c r="B1119" s="8" t="n">
        <v>2073.03</v>
      </c>
      <c r="C1119" s="8" t="n">
        <v>128.0807</v>
      </c>
      <c r="D1119" s="8" t="n">
        <v>0.35</v>
      </c>
      <c r="E1119">
        <f>A1119-A1118</f>
        <v/>
      </c>
      <c r="F1119" s="4">
        <f>ROUND(B1119/B1118-1,8)</f>
        <v/>
      </c>
      <c r="G1119" s="4">
        <f>ROUND(C1119/C1118-1,8)</f>
        <v/>
      </c>
      <c r="H1119" s="4">
        <f>ROUND(D1119/100/(DATE(YEAR(A1119)+1,1,1)-DATE(YEAR(A1119),1,1))*E1119,8)</f>
        <v/>
      </c>
      <c r="I1119" s="4">
        <f>ROUND(I1118*(1+F1119),8)</f>
        <v/>
      </c>
      <c r="J1119" s="4">
        <f>ROUND(J1118*(1+G1119),8)</f>
        <v/>
      </c>
      <c r="K1119" s="4">
        <f>ROUND(K1118+H1119,8)</f>
        <v/>
      </c>
      <c r="L1119" s="4">
        <f>ROUND(0.9*F1119+0.05*G1119+0.05*H1119,8)</f>
        <v/>
      </c>
    </row>
    <row r="1120">
      <c r="A1120" s="2" t="n">
        <v>45429</v>
      </c>
      <c r="B1120" s="8" t="n">
        <v>2095.04</v>
      </c>
      <c r="C1120" s="8" t="n">
        <v>128.0263</v>
      </c>
      <c r="D1120" s="8" t="n">
        <v>0.35</v>
      </c>
      <c r="E1120">
        <f>A1120-A1119</f>
        <v/>
      </c>
      <c r="F1120" s="4">
        <f>ROUND(B1120/B1119-1,8)</f>
        <v/>
      </c>
      <c r="G1120" s="4">
        <f>ROUND(C1120/C1119-1,8)</f>
        <v/>
      </c>
      <c r="H1120" s="4">
        <f>ROUND(D1120/100/(DATE(YEAR(A1120)+1,1,1)-DATE(YEAR(A1120),1,1))*E1120,8)</f>
        <v/>
      </c>
      <c r="I1120" s="4">
        <f>ROUND(I1119*(1+F1120),8)</f>
        <v/>
      </c>
      <c r="J1120" s="4">
        <f>ROUND(J1119*(1+G1120),8)</f>
        <v/>
      </c>
      <c r="K1120" s="4">
        <f>ROUND(K1119+H1120,8)</f>
        <v/>
      </c>
      <c r="L1120" s="4">
        <f>ROUND(0.9*F1120+0.05*G1120+0.05*H1120,8)</f>
        <v/>
      </c>
    </row>
    <row r="1121">
      <c r="A1121" s="2" t="n">
        <v>45432</v>
      </c>
      <c r="B1121" s="8" t="n">
        <v>2105.17</v>
      </c>
      <c r="C1121" s="8" t="n">
        <v>128.0534</v>
      </c>
      <c r="D1121" s="8" t="n">
        <v>0.35</v>
      </c>
      <c r="E1121">
        <f>A1121-A1120</f>
        <v/>
      </c>
      <c r="F1121" s="4">
        <f>ROUND(B1121/B1120-1,8)</f>
        <v/>
      </c>
      <c r="G1121" s="4">
        <f>ROUND(C1121/C1120-1,8)</f>
        <v/>
      </c>
      <c r="H1121" s="4">
        <f>ROUND(D1121/100/(DATE(YEAR(A1121)+1,1,1)-DATE(YEAR(A1121),1,1))*E1121,8)</f>
        <v/>
      </c>
      <c r="I1121" s="4">
        <f>ROUND(I1120*(1+F1121),8)</f>
        <v/>
      </c>
      <c r="J1121" s="4">
        <f>ROUND(J1120*(1+G1121),8)</f>
        <v/>
      </c>
      <c r="K1121" s="4">
        <f>ROUND(K1120+H1121,8)</f>
        <v/>
      </c>
      <c r="L1121" s="4">
        <f>ROUND(0.9*F1121+0.05*G1121+0.05*H1121,8)</f>
        <v/>
      </c>
    </row>
    <row r="1122">
      <c r="A1122" s="2" t="n">
        <v>45433</v>
      </c>
      <c r="B1122" s="8" t="n">
        <v>2084.24</v>
      </c>
      <c r="C1122" s="8" t="n">
        <v>128.0301</v>
      </c>
      <c r="D1122" s="8" t="n">
        <v>0.35</v>
      </c>
      <c r="E1122">
        <f>A1122-A1121</f>
        <v/>
      </c>
      <c r="F1122" s="4">
        <f>ROUND(B1122/B1121-1,8)</f>
        <v/>
      </c>
      <c r="G1122" s="4">
        <f>ROUND(C1122/C1121-1,8)</f>
        <v/>
      </c>
      <c r="H1122" s="4">
        <f>ROUND(D1122/100/(DATE(YEAR(A1122)+1,1,1)-DATE(YEAR(A1122),1,1))*E1122,8)</f>
        <v/>
      </c>
      <c r="I1122" s="4">
        <f>ROUND(I1121*(1+F1122),8)</f>
        <v/>
      </c>
      <c r="J1122" s="4">
        <f>ROUND(J1121*(1+G1122),8)</f>
        <v/>
      </c>
      <c r="K1122" s="4">
        <f>ROUND(K1121+H1122,8)</f>
        <v/>
      </c>
      <c r="L1122" s="4">
        <f>ROUND(0.9*F1122+0.05*G1122+0.05*H1122,8)</f>
        <v/>
      </c>
    </row>
    <row r="1123">
      <c r="A1123" s="2" t="n">
        <v>45434</v>
      </c>
      <c r="B1123" s="8" t="n">
        <v>2092.44</v>
      </c>
      <c r="C1123" s="8" t="n">
        <v>128.05</v>
      </c>
      <c r="D1123" s="8" t="n">
        <v>0.35</v>
      </c>
      <c r="E1123">
        <f>A1123-A1122</f>
        <v/>
      </c>
      <c r="F1123" s="4">
        <f>ROUND(B1123/B1122-1,8)</f>
        <v/>
      </c>
      <c r="G1123" s="4">
        <f>ROUND(C1123/C1122-1,8)</f>
        <v/>
      </c>
      <c r="H1123" s="4">
        <f>ROUND(D1123/100/(DATE(YEAR(A1123)+1,1,1)-DATE(YEAR(A1123),1,1))*E1123,8)</f>
        <v/>
      </c>
      <c r="I1123" s="4">
        <f>ROUND(I1122*(1+F1123),8)</f>
        <v/>
      </c>
      <c r="J1123" s="4">
        <f>ROUND(J1122*(1+G1123),8)</f>
        <v/>
      </c>
      <c r="K1123" s="4">
        <f>ROUND(K1122+H1123,8)</f>
        <v/>
      </c>
      <c r="L1123" s="4">
        <f>ROUND(0.9*F1123+0.05*G1123+0.05*H1123,8)</f>
        <v/>
      </c>
    </row>
    <row r="1124">
      <c r="A1124" s="2" t="n">
        <v>45435</v>
      </c>
      <c r="B1124" s="8" t="n">
        <v>2046.8</v>
      </c>
      <c r="C1124" s="8" t="n">
        <v>128.1193</v>
      </c>
      <c r="D1124" s="8" t="n">
        <v>0.35</v>
      </c>
      <c r="E1124">
        <f>A1124-A1123</f>
        <v/>
      </c>
      <c r="F1124" s="4">
        <f>ROUND(B1124/B1123-1,8)</f>
        <v/>
      </c>
      <c r="G1124" s="4">
        <f>ROUND(C1124/C1123-1,8)</f>
        <v/>
      </c>
      <c r="H1124" s="4">
        <f>ROUND(D1124/100/(DATE(YEAR(A1124)+1,1,1)-DATE(YEAR(A1124),1,1))*E1124,8)</f>
        <v/>
      </c>
      <c r="I1124" s="4">
        <f>ROUND(I1123*(1+F1124),8)</f>
        <v/>
      </c>
      <c r="J1124" s="4">
        <f>ROUND(J1123*(1+G1124),8)</f>
        <v/>
      </c>
      <c r="K1124" s="4">
        <f>ROUND(K1123+H1124,8)</f>
        <v/>
      </c>
      <c r="L1124" s="4">
        <f>ROUND(0.9*F1124+0.05*G1124+0.05*H1124,8)</f>
        <v/>
      </c>
    </row>
    <row r="1125">
      <c r="A1125" s="2" t="n">
        <v>45436</v>
      </c>
      <c r="B1125" s="8" t="n">
        <v>2026.03</v>
      </c>
      <c r="C1125" s="8" t="n">
        <v>128.1117</v>
      </c>
      <c r="D1125" s="8" t="n">
        <v>0.35</v>
      </c>
      <c r="E1125">
        <f>A1125-A1124</f>
        <v/>
      </c>
      <c r="F1125" s="4">
        <f>ROUND(B1125/B1124-1,8)</f>
        <v/>
      </c>
      <c r="G1125" s="4">
        <f>ROUND(C1125/C1124-1,8)</f>
        <v/>
      </c>
      <c r="H1125" s="4">
        <f>ROUND(D1125/100/(DATE(YEAR(A1125)+1,1,1)-DATE(YEAR(A1125),1,1))*E1125,8)</f>
        <v/>
      </c>
      <c r="I1125" s="4">
        <f>ROUND(I1124*(1+F1125),8)</f>
        <v/>
      </c>
      <c r="J1125" s="4">
        <f>ROUND(J1124*(1+G1125),8)</f>
        <v/>
      </c>
      <c r="K1125" s="4">
        <f>ROUND(K1124+H1125,8)</f>
        <v/>
      </c>
      <c r="L1125" s="4">
        <f>ROUND(0.9*F1125+0.05*G1125+0.05*H1125,8)</f>
        <v/>
      </c>
    </row>
    <row r="1126">
      <c r="A1126" s="2" t="n">
        <v>45439</v>
      </c>
      <c r="B1126" s="8" t="n">
        <v>2037.47</v>
      </c>
      <c r="C1126" s="8" t="n">
        <v>128.073</v>
      </c>
      <c r="D1126" s="8" t="n">
        <v>0.35</v>
      </c>
      <c r="E1126">
        <f>A1126-A1125</f>
        <v/>
      </c>
      <c r="F1126" s="4">
        <f>ROUND(B1126/B1125-1,8)</f>
        <v/>
      </c>
      <c r="G1126" s="4">
        <f>ROUND(C1126/C1125-1,8)</f>
        <v/>
      </c>
      <c r="H1126" s="4">
        <f>ROUND(D1126/100/(DATE(YEAR(A1126)+1,1,1)-DATE(YEAR(A1126),1,1))*E1126,8)</f>
        <v/>
      </c>
      <c r="I1126" s="4">
        <f>ROUND(I1125*(1+F1126),8)</f>
        <v/>
      </c>
      <c r="J1126" s="4">
        <f>ROUND(J1125*(1+G1126),8)</f>
        <v/>
      </c>
      <c r="K1126" s="4">
        <f>ROUND(K1125+H1126,8)</f>
        <v/>
      </c>
      <c r="L1126" s="4">
        <f>ROUND(0.9*F1126+0.05*G1126+0.05*H1126,8)</f>
        <v/>
      </c>
    </row>
    <row r="1127">
      <c r="A1127" s="2" t="n">
        <v>45440</v>
      </c>
      <c r="B1127" s="8" t="n">
        <v>2020.46</v>
      </c>
      <c r="C1127" s="8" t="n">
        <v>128.1408</v>
      </c>
      <c r="D1127" s="8" t="n">
        <v>0.35</v>
      </c>
      <c r="E1127">
        <f>A1127-A1126</f>
        <v/>
      </c>
      <c r="F1127" s="4">
        <f>ROUND(B1127/B1126-1,8)</f>
        <v/>
      </c>
      <c r="G1127" s="4">
        <f>ROUND(C1127/C1126-1,8)</f>
        <v/>
      </c>
      <c r="H1127" s="4">
        <f>ROUND(D1127/100/(DATE(YEAR(A1127)+1,1,1)-DATE(YEAR(A1127),1,1))*E1127,8)</f>
        <v/>
      </c>
      <c r="I1127" s="4">
        <f>ROUND(I1126*(1+F1127),8)</f>
        <v/>
      </c>
      <c r="J1127" s="4">
        <f>ROUND(J1126*(1+G1127),8)</f>
        <v/>
      </c>
      <c r="K1127" s="4">
        <f>ROUND(K1126+H1127,8)</f>
        <v/>
      </c>
      <c r="L1127" s="4">
        <f>ROUND(0.9*F1127+0.05*G1127+0.05*H1127,8)</f>
        <v/>
      </c>
    </row>
    <row r="1128">
      <c r="A1128" s="2" t="n">
        <v>45441</v>
      </c>
      <c r="B1128" s="8" t="n">
        <v>2023.8</v>
      </c>
      <c r="C1128" s="8" t="n">
        <v>128.2258</v>
      </c>
      <c r="D1128" s="8" t="n">
        <v>0.35</v>
      </c>
      <c r="E1128">
        <f>A1128-A1127</f>
        <v/>
      </c>
      <c r="F1128" s="4">
        <f>ROUND(B1128/B1127-1,8)</f>
        <v/>
      </c>
      <c r="G1128" s="4">
        <f>ROUND(C1128/C1127-1,8)</f>
        <v/>
      </c>
      <c r="H1128" s="4">
        <f>ROUND(D1128/100/(DATE(YEAR(A1128)+1,1,1)-DATE(YEAR(A1128),1,1))*E1128,8)</f>
        <v/>
      </c>
      <c r="I1128" s="4">
        <f>ROUND(I1127*(1+F1128),8)</f>
        <v/>
      </c>
      <c r="J1128" s="4">
        <f>ROUND(J1127*(1+G1128),8)</f>
        <v/>
      </c>
      <c r="K1128" s="4">
        <f>ROUND(K1127+H1128,8)</f>
        <v/>
      </c>
      <c r="L1128" s="4">
        <f>ROUND(0.9*F1128+0.05*G1128+0.05*H1128,8)</f>
        <v/>
      </c>
    </row>
    <row r="1129">
      <c r="A1129" s="2" t="n">
        <v>45442</v>
      </c>
      <c r="B1129" s="8" t="n">
        <v>2008.78</v>
      </c>
      <c r="C1129" s="8" t="n">
        <v>128.2502</v>
      </c>
      <c r="D1129" s="8" t="n">
        <v>0.35</v>
      </c>
      <c r="E1129">
        <f>A1129-A1128</f>
        <v/>
      </c>
      <c r="F1129" s="4">
        <f>ROUND(B1129/B1128-1,8)</f>
        <v/>
      </c>
      <c r="G1129" s="4">
        <f>ROUND(C1129/C1128-1,8)</f>
        <v/>
      </c>
      <c r="H1129" s="4">
        <f>ROUND(D1129/100/(DATE(YEAR(A1129)+1,1,1)-DATE(YEAR(A1129),1,1))*E1129,8)</f>
        <v/>
      </c>
      <c r="I1129" s="4">
        <f>ROUND(I1128*(1+F1129),8)</f>
        <v/>
      </c>
      <c r="J1129" s="4">
        <f>ROUND(J1128*(1+G1129),8)</f>
        <v/>
      </c>
      <c r="K1129" s="4">
        <f>ROUND(K1128+H1129,8)</f>
        <v/>
      </c>
      <c r="L1129" s="4">
        <f>ROUND(0.9*F1129+0.05*G1129+0.05*H1129,8)</f>
        <v/>
      </c>
    </row>
    <row r="1130">
      <c r="A1130" s="2" t="n">
        <v>45443</v>
      </c>
      <c r="B1130" s="8" t="n">
        <v>2026.29</v>
      </c>
      <c r="C1130" s="8" t="n">
        <v>128.1892</v>
      </c>
      <c r="D1130" s="8" t="n">
        <v>0.35</v>
      </c>
      <c r="E1130">
        <f>A1130-A1129</f>
        <v/>
      </c>
      <c r="F1130" s="4">
        <f>ROUND(B1130/B1129-1,8)</f>
        <v/>
      </c>
      <c r="G1130" s="4">
        <f>ROUND(C1130/C1129-1,8)</f>
        <v/>
      </c>
      <c r="H1130" s="4">
        <f>ROUND(D1130/100/(DATE(YEAR(A1130)+1,1,1)-DATE(YEAR(A1130),1,1))*E1130,8)</f>
        <v/>
      </c>
      <c r="I1130" s="4">
        <f>ROUND(I1129*(1+F1130),8)</f>
        <v/>
      </c>
      <c r="J1130" s="4">
        <f>ROUND(J1129*(1+G1130),8)</f>
        <v/>
      </c>
      <c r="K1130" s="4">
        <f>ROUND(K1129+H1130,8)</f>
        <v/>
      </c>
      <c r="L1130" s="4">
        <f>ROUND(0.9*F1130+0.05*G1130+0.05*H1130,8)</f>
        <v/>
      </c>
    </row>
    <row r="1131">
      <c r="A1131" s="2" t="n">
        <v>45446</v>
      </c>
      <c r="B1131" s="8" t="n">
        <v>1987.77</v>
      </c>
      <c r="C1131" s="8" t="n">
        <v>128.2626</v>
      </c>
      <c r="D1131" s="8" t="n">
        <v>0.35</v>
      </c>
      <c r="E1131">
        <f>A1131-A1130</f>
        <v/>
      </c>
      <c r="F1131" s="4">
        <f>ROUND(B1131/B1130-1,8)</f>
        <v/>
      </c>
      <c r="G1131" s="4">
        <f>ROUND(C1131/C1130-1,8)</f>
        <v/>
      </c>
      <c r="H1131" s="4">
        <f>ROUND(D1131/100/(DATE(YEAR(A1131)+1,1,1)-DATE(YEAR(A1131),1,1))*E1131,8)</f>
        <v/>
      </c>
      <c r="I1131" s="4">
        <f>ROUND(I1130*(1+F1131),8)</f>
        <v/>
      </c>
      <c r="J1131" s="4">
        <f>ROUND(J1130*(1+G1131),8)</f>
        <v/>
      </c>
      <c r="K1131" s="4">
        <f>ROUND(K1130+H1131,8)</f>
        <v/>
      </c>
      <c r="L1131" s="4">
        <f>ROUND(0.9*F1131+0.05*G1131+0.05*H1131,8)</f>
        <v/>
      </c>
    </row>
    <row r="1132">
      <c r="A1132" s="2" t="n">
        <v>45447</v>
      </c>
      <c r="B1132" s="8" t="n">
        <v>1968.06</v>
      </c>
      <c r="C1132" s="8" t="n">
        <v>128.3018</v>
      </c>
      <c r="D1132" s="8" t="n">
        <v>0.35</v>
      </c>
      <c r="E1132">
        <f>A1132-A1131</f>
        <v/>
      </c>
      <c r="F1132" s="4">
        <f>ROUND(B1132/B1131-1,8)</f>
        <v/>
      </c>
      <c r="G1132" s="4">
        <f>ROUND(C1132/C1131-1,8)</f>
        <v/>
      </c>
      <c r="H1132" s="4">
        <f>ROUND(D1132/100/(DATE(YEAR(A1132)+1,1,1)-DATE(YEAR(A1132),1,1))*E1132,8)</f>
        <v/>
      </c>
      <c r="I1132" s="4">
        <f>ROUND(I1131*(1+F1132),8)</f>
        <v/>
      </c>
      <c r="J1132" s="4">
        <f>ROUND(J1131*(1+G1132),8)</f>
        <v/>
      </c>
      <c r="K1132" s="4">
        <f>ROUND(K1131+H1132,8)</f>
        <v/>
      </c>
      <c r="L1132" s="4">
        <f>ROUND(0.9*F1132+0.05*G1132+0.05*H1132,8)</f>
        <v/>
      </c>
    </row>
    <row r="1133">
      <c r="A1133" s="2" t="n">
        <v>45448</v>
      </c>
      <c r="B1133" s="8" t="n">
        <v>1924.96</v>
      </c>
      <c r="C1133" s="8" t="n">
        <v>128.3823</v>
      </c>
      <c r="D1133" s="8" t="n">
        <v>0.35</v>
      </c>
      <c r="E1133">
        <f>A1133-A1132</f>
        <v/>
      </c>
      <c r="F1133" s="4">
        <f>ROUND(B1133/B1132-1,8)</f>
        <v/>
      </c>
      <c r="G1133" s="4">
        <f>ROUND(C1133/C1132-1,8)</f>
        <v/>
      </c>
      <c r="H1133" s="4">
        <f>ROUND(D1133/100/(DATE(YEAR(A1133)+1,1,1)-DATE(YEAR(A1133),1,1))*E1133,8)</f>
        <v/>
      </c>
      <c r="I1133" s="4">
        <f>ROUND(I1132*(1+F1133),8)</f>
        <v/>
      </c>
      <c r="J1133" s="4">
        <f>ROUND(J1132*(1+G1133),8)</f>
        <v/>
      </c>
      <c r="K1133" s="4">
        <f>ROUND(K1132+H1133,8)</f>
        <v/>
      </c>
      <c r="L1133" s="4">
        <f>ROUND(0.9*F1133+0.05*G1133+0.05*H1133,8)</f>
        <v/>
      </c>
    </row>
    <row r="1134">
      <c r="A1134" s="2" t="n">
        <v>45449</v>
      </c>
      <c r="B1134" s="8" t="n">
        <v>1849.49</v>
      </c>
      <c r="C1134" s="8" t="n">
        <v>128.4258</v>
      </c>
      <c r="D1134" s="8" t="n">
        <v>0.35</v>
      </c>
      <c r="E1134">
        <f>A1134-A1133</f>
        <v/>
      </c>
      <c r="F1134" s="4">
        <f>ROUND(B1134/B1133-1,8)</f>
        <v/>
      </c>
      <c r="G1134" s="4">
        <f>ROUND(C1134/C1133-1,8)</f>
        <v/>
      </c>
      <c r="H1134" s="4">
        <f>ROUND(D1134/100/(DATE(YEAR(A1134)+1,1,1)-DATE(YEAR(A1134),1,1))*E1134,8)</f>
        <v/>
      </c>
      <c r="I1134" s="4">
        <f>ROUND(I1133*(1+F1134),8)</f>
        <v/>
      </c>
      <c r="J1134" s="4">
        <f>ROUND(J1133*(1+G1134),8)</f>
        <v/>
      </c>
      <c r="K1134" s="4">
        <f>ROUND(K1133+H1134,8)</f>
        <v/>
      </c>
      <c r="L1134" s="4">
        <f>ROUND(0.9*F1134+0.05*G1134+0.05*H1134,8)</f>
        <v/>
      </c>
    </row>
    <row r="1135">
      <c r="A1135" s="2" t="n">
        <v>45450</v>
      </c>
      <c r="B1135" s="8" t="n">
        <v>1883.29</v>
      </c>
      <c r="C1135" s="8" t="n">
        <v>128.4458</v>
      </c>
      <c r="D1135" s="8" t="n">
        <v>0.35</v>
      </c>
      <c r="E1135">
        <f>A1135-A1134</f>
        <v/>
      </c>
      <c r="F1135" s="4">
        <f>ROUND(B1135/B1134-1,8)</f>
        <v/>
      </c>
      <c r="G1135" s="4">
        <f>ROUND(C1135/C1134-1,8)</f>
        <v/>
      </c>
      <c r="H1135" s="4">
        <f>ROUND(D1135/100/(DATE(YEAR(A1135)+1,1,1)-DATE(YEAR(A1135),1,1))*E1135,8)</f>
        <v/>
      </c>
      <c r="I1135" s="4">
        <f>ROUND(I1134*(1+F1135),8)</f>
        <v/>
      </c>
      <c r="J1135" s="4">
        <f>ROUND(J1134*(1+G1135),8)</f>
        <v/>
      </c>
      <c r="K1135" s="4">
        <f>ROUND(K1134+H1135,8)</f>
        <v/>
      </c>
      <c r="L1135" s="4">
        <f>ROUND(0.9*F1135+0.05*G1135+0.05*H1135,8)</f>
        <v/>
      </c>
    </row>
    <row r="1136">
      <c r="A1136" s="2" t="n">
        <v>45454</v>
      </c>
      <c r="B1136" s="8" t="n">
        <v>1897.95</v>
      </c>
      <c r="C1136" s="8" t="n">
        <v>128.5068</v>
      </c>
      <c r="D1136" s="8" t="n">
        <v>0.35</v>
      </c>
      <c r="E1136">
        <f>A1136-A1135</f>
        <v/>
      </c>
      <c r="F1136" s="4">
        <f>ROUND(B1136/B1135-1,8)</f>
        <v/>
      </c>
      <c r="G1136" s="4">
        <f>ROUND(C1136/C1135-1,8)</f>
        <v/>
      </c>
      <c r="H1136" s="4">
        <f>ROUND(D1136/100/(DATE(YEAR(A1136)+1,1,1)-DATE(YEAR(A1136),1,1))*E1136,8)</f>
        <v/>
      </c>
      <c r="I1136" s="4">
        <f>ROUND(I1135*(1+F1136),8)</f>
        <v/>
      </c>
      <c r="J1136" s="4">
        <f>ROUND(J1135*(1+G1136),8)</f>
        <v/>
      </c>
      <c r="K1136" s="4">
        <f>ROUND(K1135+H1136,8)</f>
        <v/>
      </c>
      <c r="L1136" s="4">
        <f>ROUND(0.9*F1136+0.05*G1136+0.05*H1136,8)</f>
        <v/>
      </c>
    </row>
    <row r="1137">
      <c r="A1137" s="2" t="n">
        <v>45455</v>
      </c>
      <c r="B1137" s="8" t="n">
        <v>1927.93</v>
      </c>
      <c r="C1137" s="8" t="n">
        <v>128.5179</v>
      </c>
      <c r="D1137" s="8" t="n">
        <v>0.35</v>
      </c>
      <c r="E1137">
        <f>A1137-A1136</f>
        <v/>
      </c>
      <c r="F1137" s="4">
        <f>ROUND(B1137/B1136-1,8)</f>
        <v/>
      </c>
      <c r="G1137" s="4">
        <f>ROUND(C1137/C1136-1,8)</f>
        <v/>
      </c>
      <c r="H1137" s="4">
        <f>ROUND(D1137/100/(DATE(YEAR(A1137)+1,1,1)-DATE(YEAR(A1137),1,1))*E1137,8)</f>
        <v/>
      </c>
      <c r="I1137" s="4">
        <f>ROUND(I1136*(1+F1137),8)</f>
        <v/>
      </c>
      <c r="J1137" s="4">
        <f>ROUND(J1136*(1+G1137),8)</f>
        <v/>
      </c>
      <c r="K1137" s="4">
        <f>ROUND(K1136+H1137,8)</f>
        <v/>
      </c>
      <c r="L1137" s="4">
        <f>ROUND(0.9*F1137+0.05*G1137+0.05*H1137,8)</f>
        <v/>
      </c>
    </row>
    <row r="1138">
      <c r="A1138" s="2" t="n">
        <v>45456</v>
      </c>
      <c r="B1138" s="8" t="n">
        <v>1918.71</v>
      </c>
      <c r="C1138" s="8" t="n">
        <v>128.5634</v>
      </c>
      <c r="D1138" s="8" t="n">
        <v>0.35</v>
      </c>
      <c r="E1138">
        <f>A1138-A1137</f>
        <v/>
      </c>
      <c r="F1138" s="4">
        <f>ROUND(B1138/B1137-1,8)</f>
        <v/>
      </c>
      <c r="G1138" s="4">
        <f>ROUND(C1138/C1137-1,8)</f>
        <v/>
      </c>
      <c r="H1138" s="4">
        <f>ROUND(D1138/100/(DATE(YEAR(A1138)+1,1,1)-DATE(YEAR(A1138),1,1))*E1138,8)</f>
        <v/>
      </c>
      <c r="I1138" s="4">
        <f>ROUND(I1137*(1+F1138),8)</f>
        <v/>
      </c>
      <c r="J1138" s="4">
        <f>ROUND(J1137*(1+G1138),8)</f>
        <v/>
      </c>
      <c r="K1138" s="4">
        <f>ROUND(K1137+H1138,8)</f>
        <v/>
      </c>
      <c r="L1138" s="4">
        <f>ROUND(0.9*F1138+0.05*G1138+0.05*H1138,8)</f>
        <v/>
      </c>
    </row>
    <row r="1139">
      <c r="A1139" s="2" t="n">
        <v>45457</v>
      </c>
      <c r="B1139" s="8" t="n">
        <v>1922.23</v>
      </c>
      <c r="C1139" s="8" t="n">
        <v>128.6417</v>
      </c>
      <c r="D1139" s="8" t="n">
        <v>0.35</v>
      </c>
      <c r="E1139">
        <f>A1139-A1138</f>
        <v/>
      </c>
      <c r="F1139" s="4">
        <f>ROUND(B1139/B1138-1,8)</f>
        <v/>
      </c>
      <c r="G1139" s="4">
        <f>ROUND(C1139/C1138-1,8)</f>
        <v/>
      </c>
      <c r="H1139" s="4">
        <f>ROUND(D1139/100/(DATE(YEAR(A1139)+1,1,1)-DATE(YEAR(A1139),1,1))*E1139,8)</f>
        <v/>
      </c>
      <c r="I1139" s="4">
        <f>ROUND(I1138*(1+F1139),8)</f>
        <v/>
      </c>
      <c r="J1139" s="4">
        <f>ROUND(J1138*(1+G1139),8)</f>
        <v/>
      </c>
      <c r="K1139" s="4">
        <f>ROUND(K1138+H1139,8)</f>
        <v/>
      </c>
      <c r="L1139" s="4">
        <f>ROUND(0.9*F1139+0.05*G1139+0.05*H1139,8)</f>
        <v/>
      </c>
    </row>
    <row r="1140">
      <c r="A1140" s="2" t="n">
        <v>45460</v>
      </c>
      <c r="B1140" s="8" t="n">
        <v>1913.91</v>
      </c>
      <c r="C1140" s="8" t="n">
        <v>128.6362</v>
      </c>
      <c r="D1140" s="8" t="n">
        <v>0.35</v>
      </c>
      <c r="E1140">
        <f>A1140-A1139</f>
        <v/>
      </c>
      <c r="F1140" s="4">
        <f>ROUND(B1140/B1139-1,8)</f>
        <v/>
      </c>
      <c r="G1140" s="4">
        <f>ROUND(C1140/C1139-1,8)</f>
        <v/>
      </c>
      <c r="H1140" s="4">
        <f>ROUND(D1140/100/(DATE(YEAR(A1140)+1,1,1)-DATE(YEAR(A1140),1,1))*E1140,8)</f>
        <v/>
      </c>
      <c r="I1140" s="4">
        <f>ROUND(I1139*(1+F1140),8)</f>
        <v/>
      </c>
      <c r="J1140" s="4">
        <f>ROUND(J1139*(1+G1140),8)</f>
        <v/>
      </c>
      <c r="K1140" s="4">
        <f>ROUND(K1139+H1140,8)</f>
        <v/>
      </c>
      <c r="L1140" s="4">
        <f>ROUND(0.9*F1140+0.05*G1140+0.05*H1140,8)</f>
        <v/>
      </c>
    </row>
    <row r="1141">
      <c r="A1141" s="2" t="n">
        <v>45461</v>
      </c>
      <c r="B1141" s="8" t="n">
        <v>1943.02</v>
      </c>
      <c r="C1141" s="8" t="n">
        <v>128.6984</v>
      </c>
      <c r="D1141" s="8" t="n">
        <v>0.35</v>
      </c>
      <c r="E1141">
        <f>A1141-A1140</f>
        <v/>
      </c>
      <c r="F1141" s="4">
        <f>ROUND(B1141/B1140-1,8)</f>
        <v/>
      </c>
      <c r="G1141" s="4">
        <f>ROUND(C1141/C1140-1,8)</f>
        <v/>
      </c>
      <c r="H1141" s="4">
        <f>ROUND(D1141/100/(DATE(YEAR(A1141)+1,1,1)-DATE(YEAR(A1141),1,1))*E1141,8)</f>
        <v/>
      </c>
      <c r="I1141" s="4">
        <f>ROUND(I1140*(1+F1141),8)</f>
        <v/>
      </c>
      <c r="J1141" s="4">
        <f>ROUND(J1140*(1+G1141),8)</f>
        <v/>
      </c>
      <c r="K1141" s="4">
        <f>ROUND(K1140+H1141,8)</f>
        <v/>
      </c>
      <c r="L1141" s="4">
        <f>ROUND(0.9*F1141+0.05*G1141+0.05*H1141,8)</f>
        <v/>
      </c>
    </row>
    <row r="1142">
      <c r="A1142" s="2" t="n">
        <v>45462</v>
      </c>
      <c r="B1142" s="8" t="n">
        <v>1932.26</v>
      </c>
      <c r="C1142" s="8" t="n">
        <v>128.7448</v>
      </c>
      <c r="D1142" s="8" t="n">
        <v>0.35</v>
      </c>
      <c r="E1142">
        <f>A1142-A1141</f>
        <v/>
      </c>
      <c r="F1142" s="4">
        <f>ROUND(B1142/B1141-1,8)</f>
        <v/>
      </c>
      <c r="G1142" s="4">
        <f>ROUND(C1142/C1141-1,8)</f>
        <v/>
      </c>
      <c r="H1142" s="4">
        <f>ROUND(D1142/100/(DATE(YEAR(A1142)+1,1,1)-DATE(YEAR(A1142),1,1))*E1142,8)</f>
        <v/>
      </c>
      <c r="I1142" s="4">
        <f>ROUND(I1141*(1+F1142),8)</f>
        <v/>
      </c>
      <c r="J1142" s="4">
        <f>ROUND(J1141*(1+G1142),8)</f>
        <v/>
      </c>
      <c r="K1142" s="4">
        <f>ROUND(K1141+H1142,8)</f>
        <v/>
      </c>
      <c r="L1142" s="4">
        <f>ROUND(0.9*F1142+0.05*G1142+0.05*H1142,8)</f>
        <v/>
      </c>
    </row>
    <row r="1143">
      <c r="A1143" s="2" t="n">
        <v>45463</v>
      </c>
      <c r="B1143" s="8" t="n">
        <v>1887.07</v>
      </c>
      <c r="C1143" s="8" t="n">
        <v>128.8013</v>
      </c>
      <c r="D1143" s="8" t="n">
        <v>0.35</v>
      </c>
      <c r="E1143">
        <f>A1143-A1142</f>
        <v/>
      </c>
      <c r="F1143" s="4">
        <f>ROUND(B1143/B1142-1,8)</f>
        <v/>
      </c>
      <c r="G1143" s="4">
        <f>ROUND(C1143/C1142-1,8)</f>
        <v/>
      </c>
      <c r="H1143" s="4">
        <f>ROUND(D1143/100/(DATE(YEAR(A1143)+1,1,1)-DATE(YEAR(A1143),1,1))*E1143,8)</f>
        <v/>
      </c>
      <c r="I1143" s="4">
        <f>ROUND(I1142*(1+F1143),8)</f>
        <v/>
      </c>
      <c r="J1143" s="4">
        <f>ROUND(J1142*(1+G1143),8)</f>
        <v/>
      </c>
      <c r="K1143" s="4">
        <f>ROUND(K1142+H1143,8)</f>
        <v/>
      </c>
      <c r="L1143" s="4">
        <f>ROUND(0.9*F1143+0.05*G1143+0.05*H1143,8)</f>
        <v/>
      </c>
    </row>
    <row r="1144">
      <c r="A1144" s="2" t="n">
        <v>45464</v>
      </c>
      <c r="B1144" s="8" t="n">
        <v>1884.9</v>
      </c>
      <c r="C1144" s="8" t="n">
        <v>128.7317</v>
      </c>
      <c r="D1144" s="8" t="n">
        <v>0.35</v>
      </c>
      <c r="E1144">
        <f>A1144-A1143</f>
        <v/>
      </c>
      <c r="F1144" s="4">
        <f>ROUND(B1144/B1143-1,8)</f>
        <v/>
      </c>
      <c r="G1144" s="4">
        <f>ROUND(C1144/C1143-1,8)</f>
        <v/>
      </c>
      <c r="H1144" s="4">
        <f>ROUND(D1144/100/(DATE(YEAR(A1144)+1,1,1)-DATE(YEAR(A1144),1,1))*E1144,8)</f>
        <v/>
      </c>
      <c r="I1144" s="4">
        <f>ROUND(I1143*(1+F1144),8)</f>
        <v/>
      </c>
      <c r="J1144" s="4">
        <f>ROUND(J1143*(1+G1144),8)</f>
        <v/>
      </c>
      <c r="K1144" s="4">
        <f>ROUND(K1143+H1144,8)</f>
        <v/>
      </c>
      <c r="L1144" s="4">
        <f>ROUND(0.9*F1144+0.05*G1144+0.05*H1144,8)</f>
        <v/>
      </c>
    </row>
    <row r="1145">
      <c r="A1145" s="2" t="n">
        <v>45467</v>
      </c>
      <c r="B1145" s="8" t="n">
        <v>1809.2</v>
      </c>
      <c r="C1145" s="8" t="n">
        <v>128.7666</v>
      </c>
      <c r="D1145" s="8" t="n">
        <v>0.35</v>
      </c>
      <c r="E1145">
        <f>A1145-A1144</f>
        <v/>
      </c>
      <c r="F1145" s="4">
        <f>ROUND(B1145/B1144-1,8)</f>
        <v/>
      </c>
      <c r="G1145" s="4">
        <f>ROUND(C1145/C1144-1,8)</f>
        <v/>
      </c>
      <c r="H1145" s="4">
        <f>ROUND(D1145/100/(DATE(YEAR(A1145)+1,1,1)-DATE(YEAR(A1145),1,1))*E1145,8)</f>
        <v/>
      </c>
      <c r="I1145" s="4">
        <f>ROUND(I1144*(1+F1145),8)</f>
        <v/>
      </c>
      <c r="J1145" s="4">
        <f>ROUND(J1144*(1+G1145),8)</f>
        <v/>
      </c>
      <c r="K1145" s="4">
        <f>ROUND(K1144+H1145,8)</f>
        <v/>
      </c>
      <c r="L1145" s="4">
        <f>ROUND(0.9*F1145+0.05*G1145+0.05*H1145,8)</f>
        <v/>
      </c>
    </row>
    <row r="1146">
      <c r="A1146" s="2" t="n">
        <v>45468</v>
      </c>
      <c r="B1146" s="8" t="n">
        <v>1810.95</v>
      </c>
      <c r="C1146" s="8" t="n">
        <v>128.8441</v>
      </c>
      <c r="D1146" s="8" t="n">
        <v>0.35</v>
      </c>
      <c r="E1146">
        <f>A1146-A1145</f>
        <v/>
      </c>
      <c r="F1146" s="4">
        <f>ROUND(B1146/B1145-1,8)</f>
        <v/>
      </c>
      <c r="G1146" s="4">
        <f>ROUND(C1146/C1145-1,8)</f>
        <v/>
      </c>
      <c r="H1146" s="4">
        <f>ROUND(D1146/100/(DATE(YEAR(A1146)+1,1,1)-DATE(YEAR(A1146),1,1))*E1146,8)</f>
        <v/>
      </c>
      <c r="I1146" s="4">
        <f>ROUND(I1145*(1+F1146),8)</f>
        <v/>
      </c>
      <c r="J1146" s="4">
        <f>ROUND(J1145*(1+G1146),8)</f>
        <v/>
      </c>
      <c r="K1146" s="4">
        <f>ROUND(K1145+H1146,8)</f>
        <v/>
      </c>
      <c r="L1146" s="4">
        <f>ROUND(0.9*F1146+0.05*G1146+0.05*H1146,8)</f>
        <v/>
      </c>
    </row>
    <row r="1147">
      <c r="A1147" s="2" t="n">
        <v>45469</v>
      </c>
      <c r="B1147" s="8" t="n">
        <v>1865.13</v>
      </c>
      <c r="C1147" s="8" t="n">
        <v>128.881</v>
      </c>
      <c r="D1147" s="8" t="n">
        <v>0.35</v>
      </c>
      <c r="E1147">
        <f>A1147-A1146</f>
        <v/>
      </c>
      <c r="F1147" s="4">
        <f>ROUND(B1147/B1146-1,8)</f>
        <v/>
      </c>
      <c r="G1147" s="4">
        <f>ROUND(C1147/C1146-1,8)</f>
        <v/>
      </c>
      <c r="H1147" s="4">
        <f>ROUND(D1147/100/(DATE(YEAR(A1147)+1,1,1)-DATE(YEAR(A1147),1,1))*E1147,8)</f>
        <v/>
      </c>
      <c r="I1147" s="4">
        <f>ROUND(I1146*(1+F1147),8)</f>
        <v/>
      </c>
      <c r="J1147" s="4">
        <f>ROUND(J1146*(1+G1147),8)</f>
        <v/>
      </c>
      <c r="K1147" s="4">
        <f>ROUND(K1146+H1147,8)</f>
        <v/>
      </c>
      <c r="L1147" s="4">
        <f>ROUND(0.9*F1147+0.05*G1147+0.05*H1147,8)</f>
        <v/>
      </c>
    </row>
    <row r="1148">
      <c r="A1148" s="2" t="n">
        <v>45470</v>
      </c>
      <c r="B1148" s="8" t="n">
        <v>1827.14</v>
      </c>
      <c r="C1148" s="8" t="n">
        <v>128.9651</v>
      </c>
      <c r="D1148" s="8" t="n">
        <v>0.35</v>
      </c>
      <c r="E1148">
        <f>A1148-A1147</f>
        <v/>
      </c>
      <c r="F1148" s="4">
        <f>ROUND(B1148/B1147-1,8)</f>
        <v/>
      </c>
      <c r="G1148" s="4">
        <f>ROUND(C1148/C1147-1,8)</f>
        <v/>
      </c>
      <c r="H1148" s="4">
        <f>ROUND(D1148/100/(DATE(YEAR(A1148)+1,1,1)-DATE(YEAR(A1148),1,1))*E1148,8)</f>
        <v/>
      </c>
      <c r="I1148" s="4">
        <f>ROUND(I1147*(1+F1148),8)</f>
        <v/>
      </c>
      <c r="J1148" s="4">
        <f>ROUND(J1147*(1+G1148),8)</f>
        <v/>
      </c>
      <c r="K1148" s="4">
        <f>ROUND(K1147+H1148,8)</f>
        <v/>
      </c>
      <c r="L1148" s="4">
        <f>ROUND(0.9*F1148+0.05*G1148+0.05*H1148,8)</f>
        <v/>
      </c>
    </row>
    <row r="1149">
      <c r="A1149" s="2" t="n">
        <v>45471</v>
      </c>
      <c r="B1149" s="8" t="n">
        <v>1840.84</v>
      </c>
      <c r="C1149" s="8" t="n">
        <v>129.0263</v>
      </c>
      <c r="D1149" s="8" t="n">
        <v>0.35</v>
      </c>
      <c r="E1149">
        <f>A1149-A1148</f>
        <v/>
      </c>
      <c r="F1149" s="4">
        <f>ROUND(B1149/B1148-1,8)</f>
        <v/>
      </c>
      <c r="G1149" s="4">
        <f>ROUND(C1149/C1148-1,8)</f>
        <v/>
      </c>
      <c r="H1149" s="4">
        <f>ROUND(D1149/100/(DATE(YEAR(A1149)+1,1,1)-DATE(YEAR(A1149),1,1))*E1149,8)</f>
        <v/>
      </c>
      <c r="I1149" s="4">
        <f>ROUND(I1148*(1+F1149),8)</f>
        <v/>
      </c>
      <c r="J1149" s="4">
        <f>ROUND(J1148*(1+G1149),8)</f>
        <v/>
      </c>
      <c r="K1149" s="4">
        <f>ROUND(K1148+H1149,8)</f>
        <v/>
      </c>
      <c r="L1149" s="4">
        <f>ROUND(0.9*F1149+0.05*G1149+0.05*H1149,8)</f>
        <v/>
      </c>
    </row>
    <row r="1150">
      <c r="A1150" s="2" t="n">
        <v>45474</v>
      </c>
      <c r="B1150" s="8" t="n">
        <v>1855.35</v>
      </c>
      <c r="C1150" s="8" t="n">
        <v>128.8786</v>
      </c>
      <c r="D1150" s="8" t="n">
        <v>0.35</v>
      </c>
      <c r="E1150">
        <f>A1150-A1149</f>
        <v/>
      </c>
      <c r="F1150" s="4">
        <f>ROUND(B1150/B1149-1,8)</f>
        <v/>
      </c>
      <c r="G1150" s="4">
        <f>ROUND(C1150/C1149-1,8)</f>
        <v/>
      </c>
      <c r="H1150" s="4">
        <f>ROUND(D1150/100/(DATE(YEAR(A1150)+1,1,1)-DATE(YEAR(A1150),1,1))*E1150,8)</f>
        <v/>
      </c>
      <c r="I1150" s="4">
        <f>ROUND(I1149*(1+F1150),8)</f>
        <v/>
      </c>
      <c r="J1150" s="4">
        <f>ROUND(J1149*(1+G1150),8)</f>
        <v/>
      </c>
      <c r="K1150" s="4">
        <f>ROUND(K1149+H1150,8)</f>
        <v/>
      </c>
      <c r="L1150" s="4">
        <f>ROUND(0.9*F1150+0.05*G1150+0.05*H1150,8)</f>
        <v/>
      </c>
    </row>
    <row r="1151">
      <c r="A1151" s="2" t="n">
        <v>45475</v>
      </c>
      <c r="B1151" s="8" t="n">
        <v>1857.03</v>
      </c>
      <c r="C1151" s="8" t="n">
        <v>128.9366</v>
      </c>
      <c r="D1151" s="8" t="n">
        <v>0.35</v>
      </c>
      <c r="E1151">
        <f>A1151-A1150</f>
        <v/>
      </c>
      <c r="F1151" s="4">
        <f>ROUND(B1151/B1150-1,8)</f>
        <v/>
      </c>
      <c r="G1151" s="4">
        <f>ROUND(C1151/C1150-1,8)</f>
        <v/>
      </c>
      <c r="H1151" s="4">
        <f>ROUND(D1151/100/(DATE(YEAR(A1151)+1,1,1)-DATE(YEAR(A1151),1,1))*E1151,8)</f>
        <v/>
      </c>
      <c r="I1151" s="4">
        <f>ROUND(I1150*(1+F1151),8)</f>
        <v/>
      </c>
      <c r="J1151" s="4">
        <f>ROUND(J1150*(1+G1151),8)</f>
        <v/>
      </c>
      <c r="K1151" s="4">
        <f>ROUND(K1150+H1151,8)</f>
        <v/>
      </c>
      <c r="L1151" s="4">
        <f>ROUND(0.9*F1151+0.05*G1151+0.05*H1151,8)</f>
        <v/>
      </c>
    </row>
    <row r="1152">
      <c r="A1152" s="2" t="n">
        <v>45476</v>
      </c>
      <c r="B1152" s="8" t="n">
        <v>1834.87</v>
      </c>
      <c r="C1152" s="8" t="n">
        <v>129.0229</v>
      </c>
      <c r="D1152" s="8" t="n">
        <v>0.35</v>
      </c>
      <c r="E1152">
        <f>A1152-A1151</f>
        <v/>
      </c>
      <c r="F1152" s="4">
        <f>ROUND(B1152/B1151-1,8)</f>
        <v/>
      </c>
      <c r="G1152" s="4">
        <f>ROUND(C1152/C1151-1,8)</f>
        <v/>
      </c>
      <c r="H1152" s="4">
        <f>ROUND(D1152/100/(DATE(YEAR(A1152)+1,1,1)-DATE(YEAR(A1152),1,1))*E1152,8)</f>
        <v/>
      </c>
      <c r="I1152" s="4">
        <f>ROUND(I1151*(1+F1152),8)</f>
        <v/>
      </c>
      <c r="J1152" s="4">
        <f>ROUND(J1151*(1+G1152),8)</f>
        <v/>
      </c>
      <c r="K1152" s="4">
        <f>ROUND(K1151+H1152,8)</f>
        <v/>
      </c>
      <c r="L1152" s="4">
        <f>ROUND(0.9*F1152+0.05*G1152+0.05*H1152,8)</f>
        <v/>
      </c>
    </row>
    <row r="1153">
      <c r="A1153" s="2" t="n">
        <v>45477</v>
      </c>
      <c r="B1153" s="8" t="n">
        <v>1784.4</v>
      </c>
      <c r="C1153" s="8" t="n">
        <v>129.0354</v>
      </c>
      <c r="D1153" s="8" t="n">
        <v>0.35</v>
      </c>
      <c r="E1153">
        <f>A1153-A1152</f>
        <v/>
      </c>
      <c r="F1153" s="4">
        <f>ROUND(B1153/B1152-1,8)</f>
        <v/>
      </c>
      <c r="G1153" s="4">
        <f>ROUND(C1153/C1152-1,8)</f>
        <v/>
      </c>
      <c r="H1153" s="4">
        <f>ROUND(D1153/100/(DATE(YEAR(A1153)+1,1,1)-DATE(YEAR(A1153),1,1))*E1153,8)</f>
        <v/>
      </c>
      <c r="I1153" s="4">
        <f>ROUND(I1152*(1+F1153),8)</f>
        <v/>
      </c>
      <c r="J1153" s="4">
        <f>ROUND(J1152*(1+G1153),8)</f>
        <v/>
      </c>
      <c r="K1153" s="4">
        <f>ROUND(K1152+H1153,8)</f>
        <v/>
      </c>
      <c r="L1153" s="4">
        <f>ROUND(0.9*F1153+0.05*G1153+0.05*H1153,8)</f>
        <v/>
      </c>
    </row>
    <row r="1154">
      <c r="A1154" s="2" t="n">
        <v>45478</v>
      </c>
      <c r="B1154" s="8" t="n">
        <v>1803.28</v>
      </c>
      <c r="C1154" s="8" t="n">
        <v>128.94</v>
      </c>
      <c r="D1154" s="8" t="n">
        <v>0.35</v>
      </c>
      <c r="E1154">
        <f>A1154-A1153</f>
        <v/>
      </c>
      <c r="F1154" s="4">
        <f>ROUND(B1154/B1153-1,8)</f>
        <v/>
      </c>
      <c r="G1154" s="4">
        <f>ROUND(C1154/C1153-1,8)</f>
        <v/>
      </c>
      <c r="H1154" s="4">
        <f>ROUND(D1154/100/(DATE(YEAR(A1154)+1,1,1)-DATE(YEAR(A1154),1,1))*E1154,8)</f>
        <v/>
      </c>
      <c r="I1154" s="4">
        <f>ROUND(I1153*(1+F1154),8)</f>
        <v/>
      </c>
      <c r="J1154" s="4">
        <f>ROUND(J1153*(1+G1154),8)</f>
        <v/>
      </c>
      <c r="K1154" s="4">
        <f>ROUND(K1153+H1154,8)</f>
        <v/>
      </c>
      <c r="L1154" s="4">
        <f>ROUND(0.9*F1154+0.05*G1154+0.05*H1154,8)</f>
        <v/>
      </c>
    </row>
    <row r="1155">
      <c r="A1155" s="2" t="n">
        <v>45481</v>
      </c>
      <c r="B1155" s="8" t="n">
        <v>1751.61</v>
      </c>
      <c r="C1155" s="8" t="n">
        <v>128.7761</v>
      </c>
      <c r="D1155" s="8" t="n">
        <v>0.35</v>
      </c>
      <c r="E1155">
        <f>A1155-A1154</f>
        <v/>
      </c>
      <c r="F1155" s="4">
        <f>ROUND(B1155/B1154-1,8)</f>
        <v/>
      </c>
      <c r="G1155" s="4">
        <f>ROUND(C1155/C1154-1,8)</f>
        <v/>
      </c>
      <c r="H1155" s="4">
        <f>ROUND(D1155/100/(DATE(YEAR(A1155)+1,1,1)-DATE(YEAR(A1155),1,1))*E1155,8)</f>
        <v/>
      </c>
      <c r="I1155" s="4">
        <f>ROUND(I1154*(1+F1155),8)</f>
        <v/>
      </c>
      <c r="J1155" s="4">
        <f>ROUND(J1154*(1+G1155),8)</f>
        <v/>
      </c>
      <c r="K1155" s="4">
        <f>ROUND(K1154+H1155,8)</f>
        <v/>
      </c>
      <c r="L1155" s="4">
        <f>ROUND(0.9*F1155+0.05*G1155+0.05*H1155,8)</f>
        <v/>
      </c>
    </row>
    <row r="1156">
      <c r="A1156" s="2" t="n">
        <v>45482</v>
      </c>
      <c r="B1156" s="8" t="n">
        <v>1787.44</v>
      </c>
      <c r="C1156" s="8" t="n">
        <v>128.877</v>
      </c>
      <c r="D1156" s="8" t="n">
        <v>0.35</v>
      </c>
      <c r="E1156">
        <f>A1156-A1155</f>
        <v/>
      </c>
      <c r="F1156" s="4">
        <f>ROUND(B1156/B1155-1,8)</f>
        <v/>
      </c>
      <c r="G1156" s="4">
        <f>ROUND(C1156/C1155-1,8)</f>
        <v/>
      </c>
      <c r="H1156" s="4">
        <f>ROUND(D1156/100/(DATE(YEAR(A1156)+1,1,1)-DATE(YEAR(A1156),1,1))*E1156,8)</f>
        <v/>
      </c>
      <c r="I1156" s="4">
        <f>ROUND(I1155*(1+F1156),8)</f>
        <v/>
      </c>
      <c r="J1156" s="4">
        <f>ROUND(J1155*(1+G1156),8)</f>
        <v/>
      </c>
      <c r="K1156" s="4">
        <f>ROUND(K1155+H1156,8)</f>
        <v/>
      </c>
      <c r="L1156" s="4">
        <f>ROUND(0.9*F1156+0.05*G1156+0.05*H1156,8)</f>
        <v/>
      </c>
    </row>
    <row r="1157">
      <c r="A1157" s="2" t="n">
        <v>45483</v>
      </c>
      <c r="B1157" s="8" t="n">
        <v>1773.56</v>
      </c>
      <c r="C1157" s="8" t="n">
        <v>128.893</v>
      </c>
      <c r="D1157" s="8" t="n">
        <v>0.35</v>
      </c>
      <c r="E1157">
        <f>A1157-A1156</f>
        <v/>
      </c>
      <c r="F1157" s="4">
        <f>ROUND(B1157/B1156-1,8)</f>
        <v/>
      </c>
      <c r="G1157" s="4">
        <f>ROUND(C1157/C1156-1,8)</f>
        <v/>
      </c>
      <c r="H1157" s="4">
        <f>ROUND(D1157/100/(DATE(YEAR(A1157)+1,1,1)-DATE(YEAR(A1157),1,1))*E1157,8)</f>
        <v/>
      </c>
      <c r="I1157" s="4">
        <f>ROUND(I1156*(1+F1157),8)</f>
        <v/>
      </c>
      <c r="J1157" s="4">
        <f>ROUND(J1156*(1+G1157),8)</f>
        <v/>
      </c>
      <c r="K1157" s="4">
        <f>ROUND(K1156+H1157,8)</f>
        <v/>
      </c>
      <c r="L1157" s="4">
        <f>ROUND(0.9*F1157+0.05*G1157+0.05*H1157,8)</f>
        <v/>
      </c>
    </row>
    <row r="1158">
      <c r="A1158" s="2" t="n">
        <v>45484</v>
      </c>
      <c r="B1158" s="8" t="n">
        <v>1833.22</v>
      </c>
      <c r="C1158" s="8" t="n">
        <v>128.9209</v>
      </c>
      <c r="D1158" s="8" t="n">
        <v>0.35</v>
      </c>
      <c r="E1158">
        <f>A1158-A1157</f>
        <v/>
      </c>
      <c r="F1158" s="4">
        <f>ROUND(B1158/B1157-1,8)</f>
        <v/>
      </c>
      <c r="G1158" s="4">
        <f>ROUND(C1158/C1157-1,8)</f>
        <v/>
      </c>
      <c r="H1158" s="4">
        <f>ROUND(D1158/100/(DATE(YEAR(A1158)+1,1,1)-DATE(YEAR(A1158),1,1))*E1158,8)</f>
        <v/>
      </c>
      <c r="I1158" s="4">
        <f>ROUND(I1157*(1+F1158),8)</f>
        <v/>
      </c>
      <c r="J1158" s="4">
        <f>ROUND(J1157*(1+G1158),8)</f>
        <v/>
      </c>
      <c r="K1158" s="4">
        <f>ROUND(K1157+H1158,8)</f>
        <v/>
      </c>
      <c r="L1158" s="4">
        <f>ROUND(0.9*F1158+0.05*G1158+0.05*H1158,8)</f>
        <v/>
      </c>
    </row>
    <row r="1159">
      <c r="A1159" s="2" t="n">
        <v>45485</v>
      </c>
      <c r="B1159" s="8" t="n">
        <v>1823.85</v>
      </c>
      <c r="C1159" s="8" t="n">
        <v>128.9772</v>
      </c>
      <c r="D1159" s="8" t="n">
        <v>0.35</v>
      </c>
      <c r="E1159">
        <f>A1159-A1158</f>
        <v/>
      </c>
      <c r="F1159" s="4">
        <f>ROUND(B1159/B1158-1,8)</f>
        <v/>
      </c>
      <c r="G1159" s="4">
        <f>ROUND(C1159/C1158-1,8)</f>
        <v/>
      </c>
      <c r="H1159" s="4">
        <f>ROUND(D1159/100/(DATE(YEAR(A1159)+1,1,1)-DATE(YEAR(A1159),1,1))*E1159,8)</f>
        <v/>
      </c>
      <c r="I1159" s="4">
        <f>ROUND(I1158*(1+F1159),8)</f>
        <v/>
      </c>
      <c r="J1159" s="4">
        <f>ROUND(J1158*(1+G1159),8)</f>
        <v/>
      </c>
      <c r="K1159" s="4">
        <f>ROUND(K1158+H1159,8)</f>
        <v/>
      </c>
      <c r="L1159" s="4">
        <f>ROUND(0.9*F1159+0.05*G1159+0.05*H1159,8)</f>
        <v/>
      </c>
    </row>
    <row r="1160">
      <c r="A1160" s="2" t="n">
        <v>45488</v>
      </c>
      <c r="B1160" s="8" t="n">
        <v>1792.44</v>
      </c>
      <c r="C1160" s="8" t="n">
        <v>129.0272</v>
      </c>
      <c r="D1160" s="8" t="n">
        <v>0.35</v>
      </c>
      <c r="E1160">
        <f>A1160-A1159</f>
        <v/>
      </c>
      <c r="F1160" s="4">
        <f>ROUND(B1160/B1159-1,8)</f>
        <v/>
      </c>
      <c r="G1160" s="4">
        <f>ROUND(C1160/C1159-1,8)</f>
        <v/>
      </c>
      <c r="H1160" s="4">
        <f>ROUND(D1160/100/(DATE(YEAR(A1160)+1,1,1)-DATE(YEAR(A1160),1,1))*E1160,8)</f>
        <v/>
      </c>
      <c r="I1160" s="4">
        <f>ROUND(I1159*(1+F1160),8)</f>
        <v/>
      </c>
      <c r="J1160" s="4">
        <f>ROUND(J1159*(1+G1160),8)</f>
        <v/>
      </c>
      <c r="K1160" s="4">
        <f>ROUND(K1159+H1160,8)</f>
        <v/>
      </c>
      <c r="L1160" s="4">
        <f>ROUND(0.9*F1160+0.05*G1160+0.05*H1160,8)</f>
        <v/>
      </c>
    </row>
    <row r="1161">
      <c r="A1161" s="2" t="n">
        <v>45489</v>
      </c>
      <c r="B1161" s="8" t="n">
        <v>1794.26</v>
      </c>
      <c r="C1161" s="8" t="n">
        <v>129.0266</v>
      </c>
      <c r="D1161" s="8" t="n">
        <v>0.35</v>
      </c>
      <c r="E1161">
        <f>A1161-A1160</f>
        <v/>
      </c>
      <c r="F1161" s="4">
        <f>ROUND(B1161/B1160-1,8)</f>
        <v/>
      </c>
      <c r="G1161" s="4">
        <f>ROUND(C1161/C1160-1,8)</f>
        <v/>
      </c>
      <c r="H1161" s="4">
        <f>ROUND(D1161/100/(DATE(YEAR(A1161)+1,1,1)-DATE(YEAR(A1161),1,1))*E1161,8)</f>
        <v/>
      </c>
      <c r="I1161" s="4">
        <f>ROUND(I1160*(1+F1161),8)</f>
        <v/>
      </c>
      <c r="J1161" s="4">
        <f>ROUND(J1160*(1+G1161),8)</f>
        <v/>
      </c>
      <c r="K1161" s="4">
        <f>ROUND(K1160+H1161,8)</f>
        <v/>
      </c>
      <c r="L1161" s="4">
        <f>ROUND(0.9*F1161+0.05*G1161+0.05*H1161,8)</f>
        <v/>
      </c>
    </row>
    <row r="1162">
      <c r="A1162" s="2" t="n">
        <v>45490</v>
      </c>
      <c r="B1162" s="8" t="n">
        <v>1763.28</v>
      </c>
      <c r="C1162" s="8" t="n">
        <v>129.0315</v>
      </c>
      <c r="D1162" s="8" t="n">
        <v>0.35</v>
      </c>
      <c r="E1162">
        <f>A1162-A1161</f>
        <v/>
      </c>
      <c r="F1162" s="4">
        <f>ROUND(B1162/B1161-1,8)</f>
        <v/>
      </c>
      <c r="G1162" s="4">
        <f>ROUND(C1162/C1161-1,8)</f>
        <v/>
      </c>
      <c r="H1162" s="4">
        <f>ROUND(D1162/100/(DATE(YEAR(A1162)+1,1,1)-DATE(YEAR(A1162),1,1))*E1162,8)</f>
        <v/>
      </c>
      <c r="I1162" s="4">
        <f>ROUND(I1161*(1+F1162),8)</f>
        <v/>
      </c>
      <c r="J1162" s="4">
        <f>ROUND(J1161*(1+G1162),8)</f>
        <v/>
      </c>
      <c r="K1162" s="4">
        <f>ROUND(K1161+H1162,8)</f>
        <v/>
      </c>
      <c r="L1162" s="4">
        <f>ROUND(0.9*F1162+0.05*G1162+0.05*H1162,8)</f>
        <v/>
      </c>
    </row>
    <row r="1163">
      <c r="A1163" s="2" t="n">
        <v>45491</v>
      </c>
      <c r="B1163" s="8" t="n">
        <v>1760.27</v>
      </c>
      <c r="C1163" s="8" t="n">
        <v>128.9934</v>
      </c>
      <c r="D1163" s="8" t="n">
        <v>0.35</v>
      </c>
      <c r="E1163">
        <f>A1163-A1162</f>
        <v/>
      </c>
      <c r="F1163" s="4">
        <f>ROUND(B1163/B1162-1,8)</f>
        <v/>
      </c>
      <c r="G1163" s="4">
        <f>ROUND(C1163/C1162-1,8)</f>
        <v/>
      </c>
      <c r="H1163" s="4">
        <f>ROUND(D1163/100/(DATE(YEAR(A1163)+1,1,1)-DATE(YEAR(A1163),1,1))*E1163,8)</f>
        <v/>
      </c>
      <c r="I1163" s="4">
        <f>ROUND(I1162*(1+F1163),8)</f>
        <v/>
      </c>
      <c r="J1163" s="4">
        <f>ROUND(J1162*(1+G1163),8)</f>
        <v/>
      </c>
      <c r="K1163" s="4">
        <f>ROUND(K1162+H1163,8)</f>
        <v/>
      </c>
      <c r="L1163" s="4">
        <f>ROUND(0.9*F1163+0.05*G1163+0.05*H1163,8)</f>
        <v/>
      </c>
    </row>
    <row r="1164">
      <c r="A1164" s="2" t="n">
        <v>45492</v>
      </c>
      <c r="B1164" s="8" t="n">
        <v>1770.16</v>
      </c>
      <c r="C1164" s="8" t="n">
        <v>129.0021</v>
      </c>
      <c r="D1164" s="8" t="n">
        <v>0.35</v>
      </c>
      <c r="E1164">
        <f>A1164-A1163</f>
        <v/>
      </c>
      <c r="F1164" s="4">
        <f>ROUND(B1164/B1163-1,8)</f>
        <v/>
      </c>
      <c r="G1164" s="4">
        <f>ROUND(C1164/C1163-1,8)</f>
        <v/>
      </c>
      <c r="H1164" s="4">
        <f>ROUND(D1164/100/(DATE(YEAR(A1164)+1,1,1)-DATE(YEAR(A1164),1,1))*E1164,8)</f>
        <v/>
      </c>
      <c r="I1164" s="4">
        <f>ROUND(I1163*(1+F1164),8)</f>
        <v/>
      </c>
      <c r="J1164" s="4">
        <f>ROUND(J1163*(1+G1164),8)</f>
        <v/>
      </c>
      <c r="K1164" s="4">
        <f>ROUND(K1163+H1164,8)</f>
        <v/>
      </c>
      <c r="L1164" s="4">
        <f>ROUND(0.9*F1164+0.05*G1164+0.05*H1164,8)</f>
        <v/>
      </c>
    </row>
    <row r="1165">
      <c r="A1165" s="2" t="n">
        <v>45495</v>
      </c>
      <c r="B1165" s="8" t="n">
        <v>1780.25</v>
      </c>
      <c r="C1165" s="8" t="n">
        <v>129.141</v>
      </c>
      <c r="D1165" s="8" t="n">
        <v>0.35</v>
      </c>
      <c r="E1165">
        <f>A1165-A1164</f>
        <v/>
      </c>
      <c r="F1165" s="4">
        <f>ROUND(B1165/B1164-1,8)</f>
        <v/>
      </c>
      <c r="G1165" s="4">
        <f>ROUND(C1165/C1164-1,8)</f>
        <v/>
      </c>
      <c r="H1165" s="4">
        <f>ROUND(D1165/100/(DATE(YEAR(A1165)+1,1,1)-DATE(YEAR(A1165),1,1))*E1165,8)</f>
        <v/>
      </c>
      <c r="I1165" s="4">
        <f>ROUND(I1164*(1+F1165),8)</f>
        <v/>
      </c>
      <c r="J1165" s="4">
        <f>ROUND(J1164*(1+G1165),8)</f>
        <v/>
      </c>
      <c r="K1165" s="4">
        <f>ROUND(K1164+H1165,8)</f>
        <v/>
      </c>
      <c r="L1165" s="4">
        <f>ROUND(0.9*F1165+0.05*G1165+0.05*H1165,8)</f>
        <v/>
      </c>
    </row>
    <row r="1166">
      <c r="A1166" s="2" t="n">
        <v>45496</v>
      </c>
      <c r="B1166" s="8" t="n">
        <v>1745.64</v>
      </c>
      <c r="C1166" s="8" t="n">
        <v>129.2456</v>
      </c>
      <c r="D1166" s="8" t="n">
        <v>0.35</v>
      </c>
      <c r="E1166">
        <f>A1166-A1165</f>
        <v/>
      </c>
      <c r="F1166" s="4">
        <f>ROUND(B1166/B1165-1,8)</f>
        <v/>
      </c>
      <c r="G1166" s="4">
        <f>ROUND(C1166/C1165-1,8)</f>
        <v/>
      </c>
      <c r="H1166" s="4">
        <f>ROUND(D1166/100/(DATE(YEAR(A1166)+1,1,1)-DATE(YEAR(A1166),1,1))*E1166,8)</f>
        <v/>
      </c>
      <c r="I1166" s="4">
        <f>ROUND(I1165*(1+F1166),8)</f>
        <v/>
      </c>
      <c r="J1166" s="4">
        <f>ROUND(J1165*(1+G1166),8)</f>
        <v/>
      </c>
      <c r="K1166" s="4">
        <f>ROUND(K1165+H1166,8)</f>
        <v/>
      </c>
      <c r="L1166" s="4">
        <f>ROUND(0.9*F1166+0.05*G1166+0.05*H1166,8)</f>
        <v/>
      </c>
    </row>
    <row r="1167">
      <c r="A1167" s="2" t="n">
        <v>45497</v>
      </c>
      <c r="B1167" s="8" t="n">
        <v>1715.88</v>
      </c>
      <c r="C1167" s="8" t="n">
        <v>129.2842</v>
      </c>
      <c r="D1167" s="8" t="n">
        <v>0.35</v>
      </c>
      <c r="E1167">
        <f>A1167-A1166</f>
        <v/>
      </c>
      <c r="F1167" s="4">
        <f>ROUND(B1167/B1166-1,8)</f>
        <v/>
      </c>
      <c r="G1167" s="4">
        <f>ROUND(C1167/C1166-1,8)</f>
        <v/>
      </c>
      <c r="H1167" s="4">
        <f>ROUND(D1167/100/(DATE(YEAR(A1167)+1,1,1)-DATE(YEAR(A1167),1,1))*E1167,8)</f>
        <v/>
      </c>
      <c r="I1167" s="4">
        <f>ROUND(I1166*(1+F1167),8)</f>
        <v/>
      </c>
      <c r="J1167" s="4">
        <f>ROUND(J1166*(1+G1167),8)</f>
        <v/>
      </c>
      <c r="K1167" s="4">
        <f>ROUND(K1166+H1167,8)</f>
        <v/>
      </c>
      <c r="L1167" s="4">
        <f>ROUND(0.9*F1167+0.05*G1167+0.05*H1167,8)</f>
        <v/>
      </c>
    </row>
    <row r="1168">
      <c r="A1168" s="2" t="n">
        <v>45498</v>
      </c>
      <c r="B1168" s="8" t="n">
        <v>1722.88</v>
      </c>
      <c r="C1168" s="8" t="n">
        <v>129.3837</v>
      </c>
      <c r="D1168" s="8" t="n">
        <v>0.35</v>
      </c>
      <c r="E1168">
        <f>A1168-A1167</f>
        <v/>
      </c>
      <c r="F1168" s="4">
        <f>ROUND(B1168/B1167-1,8)</f>
        <v/>
      </c>
      <c r="G1168" s="4">
        <f>ROUND(C1168/C1167-1,8)</f>
        <v/>
      </c>
      <c r="H1168" s="4">
        <f>ROUND(D1168/100/(DATE(YEAR(A1168)+1,1,1)-DATE(YEAR(A1168),1,1))*E1168,8)</f>
        <v/>
      </c>
      <c r="I1168" s="4">
        <f>ROUND(I1167*(1+F1168),8)</f>
        <v/>
      </c>
      <c r="J1168" s="4">
        <f>ROUND(J1167*(1+G1168),8)</f>
        <v/>
      </c>
      <c r="K1168" s="4">
        <f>ROUND(K1167+H1168,8)</f>
        <v/>
      </c>
      <c r="L1168" s="4">
        <f>ROUND(0.9*F1168+0.05*G1168+0.05*H1168,8)</f>
        <v/>
      </c>
    </row>
    <row r="1169">
      <c r="A1169" s="2" t="n">
        <v>45499</v>
      </c>
      <c r="B1169" s="8" t="n">
        <v>1755.56</v>
      </c>
      <c r="C1169" s="8" t="n">
        <v>129.4672</v>
      </c>
      <c r="D1169" s="8" t="n">
        <v>0.35</v>
      </c>
      <c r="E1169">
        <f>A1169-A1168</f>
        <v/>
      </c>
      <c r="F1169" s="4">
        <f>ROUND(B1169/B1168-1,8)</f>
        <v/>
      </c>
      <c r="G1169" s="4">
        <f>ROUND(C1169/C1168-1,8)</f>
        <v/>
      </c>
      <c r="H1169" s="4">
        <f>ROUND(D1169/100/(DATE(YEAR(A1169)+1,1,1)-DATE(YEAR(A1169),1,1))*E1169,8)</f>
        <v/>
      </c>
      <c r="I1169" s="4">
        <f>ROUND(I1168*(1+F1169),8)</f>
        <v/>
      </c>
      <c r="J1169" s="4">
        <f>ROUND(J1168*(1+G1169),8)</f>
        <v/>
      </c>
      <c r="K1169" s="4">
        <f>ROUND(K1168+H1169,8)</f>
        <v/>
      </c>
      <c r="L1169" s="4">
        <f>ROUND(0.9*F1169+0.05*G1169+0.05*H1169,8)</f>
        <v/>
      </c>
    </row>
    <row r="1170">
      <c r="A1170" s="2" t="n">
        <v>45502</v>
      </c>
      <c r="B1170" s="8" t="n">
        <v>1763.73</v>
      </c>
      <c r="C1170" s="8" t="n">
        <v>129.5779</v>
      </c>
      <c r="D1170" s="8" t="n">
        <v>0.35</v>
      </c>
      <c r="E1170">
        <f>A1170-A1169</f>
        <v/>
      </c>
      <c r="F1170" s="4">
        <f>ROUND(B1170/B1169-1,8)</f>
        <v/>
      </c>
      <c r="G1170" s="4">
        <f>ROUND(C1170/C1169-1,8)</f>
        <v/>
      </c>
      <c r="H1170" s="4">
        <f>ROUND(D1170/100/(DATE(YEAR(A1170)+1,1,1)-DATE(YEAR(A1170),1,1))*E1170,8)</f>
        <v/>
      </c>
      <c r="I1170" s="4">
        <f>ROUND(I1169*(1+F1170),8)</f>
        <v/>
      </c>
      <c r="J1170" s="4">
        <f>ROUND(J1169*(1+G1170),8)</f>
        <v/>
      </c>
      <c r="K1170" s="4">
        <f>ROUND(K1169+H1170,8)</f>
        <v/>
      </c>
      <c r="L1170" s="4">
        <f>ROUND(0.9*F1170+0.05*G1170+0.05*H1170,8)</f>
        <v/>
      </c>
    </row>
    <row r="1171">
      <c r="A1171" s="2" t="n">
        <v>45503</v>
      </c>
      <c r="B1171" s="8" t="n">
        <v>1776.27</v>
      </c>
      <c r="C1171" s="8" t="n">
        <v>129.6857</v>
      </c>
      <c r="D1171" s="8" t="n">
        <v>0.35</v>
      </c>
      <c r="E1171">
        <f>A1171-A1170</f>
        <v/>
      </c>
      <c r="F1171" s="4">
        <f>ROUND(B1171/B1170-1,8)</f>
        <v/>
      </c>
      <c r="G1171" s="4">
        <f>ROUND(C1171/C1170-1,8)</f>
        <v/>
      </c>
      <c r="H1171" s="4">
        <f>ROUND(D1171/100/(DATE(YEAR(A1171)+1,1,1)-DATE(YEAR(A1171),1,1))*E1171,8)</f>
        <v/>
      </c>
      <c r="I1171" s="4">
        <f>ROUND(I1170*(1+F1171),8)</f>
        <v/>
      </c>
      <c r="J1171" s="4">
        <f>ROUND(J1170*(1+G1171),8)</f>
        <v/>
      </c>
      <c r="K1171" s="4">
        <f>ROUND(K1170+H1171,8)</f>
        <v/>
      </c>
      <c r="L1171" s="4">
        <f>ROUND(0.9*F1171+0.05*G1171+0.05*H1171,8)</f>
        <v/>
      </c>
    </row>
    <row r="1172">
      <c r="A1172" s="2" t="n">
        <v>45504</v>
      </c>
      <c r="B1172" s="8" t="n">
        <v>1837.79</v>
      </c>
      <c r="C1172" s="8" t="n">
        <v>129.7543</v>
      </c>
      <c r="D1172" s="8" t="n">
        <v>0.35</v>
      </c>
      <c r="E1172">
        <f>A1172-A1171</f>
        <v/>
      </c>
      <c r="F1172" s="4">
        <f>ROUND(B1172/B1171-1,8)</f>
        <v/>
      </c>
      <c r="G1172" s="4">
        <f>ROUND(C1172/C1171-1,8)</f>
        <v/>
      </c>
      <c r="H1172" s="4">
        <f>ROUND(D1172/100/(DATE(YEAR(A1172)+1,1,1)-DATE(YEAR(A1172),1,1))*E1172,8)</f>
        <v/>
      </c>
      <c r="I1172" s="4">
        <f>ROUND(I1171*(1+F1172),8)</f>
        <v/>
      </c>
      <c r="J1172" s="4">
        <f>ROUND(J1171*(1+G1172),8)</f>
        <v/>
      </c>
      <c r="K1172" s="4">
        <f>ROUND(K1171+H1172,8)</f>
        <v/>
      </c>
      <c r="L1172" s="4">
        <f>ROUND(0.9*F1172+0.05*G1172+0.05*H1172,8)</f>
        <v/>
      </c>
    </row>
    <row r="1173">
      <c r="A1173" s="2" t="n">
        <v>45505</v>
      </c>
      <c r="B1173" s="8" t="n">
        <v>1843.56</v>
      </c>
      <c r="C1173" s="8" t="n">
        <v>129.8547</v>
      </c>
      <c r="D1173" s="8" t="n">
        <v>0.35</v>
      </c>
      <c r="E1173">
        <f>A1173-A1172</f>
        <v/>
      </c>
      <c r="F1173" s="4">
        <f>ROUND(B1173/B1172-1,8)</f>
        <v/>
      </c>
      <c r="G1173" s="4">
        <f>ROUND(C1173/C1172-1,8)</f>
        <v/>
      </c>
      <c r="H1173" s="4">
        <f>ROUND(D1173/100/(DATE(YEAR(A1173)+1,1,1)-DATE(YEAR(A1173),1,1))*E1173,8)</f>
        <v/>
      </c>
      <c r="I1173" s="4">
        <f>ROUND(I1172*(1+F1173),8)</f>
        <v/>
      </c>
      <c r="J1173" s="4">
        <f>ROUND(J1172*(1+G1173),8)</f>
        <v/>
      </c>
      <c r="K1173" s="4">
        <f>ROUND(K1172+H1173,8)</f>
        <v/>
      </c>
      <c r="L1173" s="4">
        <f>ROUND(0.9*F1173+0.05*G1173+0.05*H1173,8)</f>
        <v/>
      </c>
    </row>
    <row r="1174">
      <c r="A1174" s="2" t="n">
        <v>45506</v>
      </c>
      <c r="B1174" s="8" t="n">
        <v>1818.9</v>
      </c>
      <c r="C1174" s="8" t="n">
        <v>129.9484</v>
      </c>
      <c r="D1174" s="8" t="n">
        <v>0.35</v>
      </c>
      <c r="E1174">
        <f>A1174-A1173</f>
        <v/>
      </c>
      <c r="F1174" s="4">
        <f>ROUND(B1174/B1173-1,8)</f>
        <v/>
      </c>
      <c r="G1174" s="4">
        <f>ROUND(C1174/C1173-1,8)</f>
        <v/>
      </c>
      <c r="H1174" s="4">
        <f>ROUND(D1174/100/(DATE(YEAR(A1174)+1,1,1)-DATE(YEAR(A1174),1,1))*E1174,8)</f>
        <v/>
      </c>
      <c r="I1174" s="4">
        <f>ROUND(I1173*(1+F1174),8)</f>
        <v/>
      </c>
      <c r="J1174" s="4">
        <f>ROUND(J1173*(1+G1174),8)</f>
        <v/>
      </c>
      <c r="K1174" s="4">
        <f>ROUND(K1173+H1174,8)</f>
        <v/>
      </c>
      <c r="L1174" s="4">
        <f>ROUND(0.9*F1174+0.05*G1174+0.05*H1174,8)</f>
        <v/>
      </c>
    </row>
    <row r="1175">
      <c r="A1175" s="2" t="n">
        <v>45509</v>
      </c>
      <c r="B1175" s="8" t="n">
        <v>1767.86</v>
      </c>
      <c r="C1175" s="8" t="n">
        <v>130.0477</v>
      </c>
      <c r="D1175" s="8" t="n">
        <v>0.35</v>
      </c>
      <c r="E1175">
        <f>A1175-A1174</f>
        <v/>
      </c>
      <c r="F1175" s="4">
        <f>ROUND(B1175/B1174-1,8)</f>
        <v/>
      </c>
      <c r="G1175" s="4">
        <f>ROUND(C1175/C1174-1,8)</f>
        <v/>
      </c>
      <c r="H1175" s="4">
        <f>ROUND(D1175/100/(DATE(YEAR(A1175)+1,1,1)-DATE(YEAR(A1175),1,1))*E1175,8)</f>
        <v/>
      </c>
      <c r="I1175" s="4">
        <f>ROUND(I1174*(1+F1175),8)</f>
        <v/>
      </c>
      <c r="J1175" s="4">
        <f>ROUND(J1174*(1+G1175),8)</f>
        <v/>
      </c>
      <c r="K1175" s="4">
        <f>ROUND(K1174+H1175,8)</f>
        <v/>
      </c>
      <c r="L1175" s="4">
        <f>ROUND(0.9*F1175+0.05*G1175+0.05*H1175,8)</f>
        <v/>
      </c>
    </row>
    <row r="1176">
      <c r="A1176" s="2" t="n">
        <v>45510</v>
      </c>
      <c r="B1176" s="8" t="n">
        <v>1803.54</v>
      </c>
      <c r="C1176" s="8" t="n">
        <v>129.9669</v>
      </c>
      <c r="D1176" s="8" t="n">
        <v>0.35</v>
      </c>
      <c r="E1176">
        <f>A1176-A1175</f>
        <v/>
      </c>
      <c r="F1176" s="4">
        <f>ROUND(B1176/B1175-1,8)</f>
        <v/>
      </c>
      <c r="G1176" s="4">
        <f>ROUND(C1176/C1175-1,8)</f>
        <v/>
      </c>
      <c r="H1176" s="4">
        <f>ROUND(D1176/100/(DATE(YEAR(A1176)+1,1,1)-DATE(YEAR(A1176),1,1))*E1176,8)</f>
        <v/>
      </c>
      <c r="I1176" s="4">
        <f>ROUND(I1175*(1+F1176),8)</f>
        <v/>
      </c>
      <c r="J1176" s="4">
        <f>ROUND(J1175*(1+G1176),8)</f>
        <v/>
      </c>
      <c r="K1176" s="4">
        <f>ROUND(K1175+H1176,8)</f>
        <v/>
      </c>
      <c r="L1176" s="4">
        <f>ROUND(0.9*F1176+0.05*G1176+0.05*H1176,8)</f>
        <v/>
      </c>
    </row>
    <row r="1177">
      <c r="A1177" s="2" t="n">
        <v>45511</v>
      </c>
      <c r="B1177" s="8" t="n">
        <v>1807.22</v>
      </c>
      <c r="C1177" s="8" t="n">
        <v>130.0508</v>
      </c>
      <c r="D1177" s="8" t="n">
        <v>0.35</v>
      </c>
      <c r="E1177">
        <f>A1177-A1176</f>
        <v/>
      </c>
      <c r="F1177" s="4">
        <f>ROUND(B1177/B1176-1,8)</f>
        <v/>
      </c>
      <c r="G1177" s="4">
        <f>ROUND(C1177/C1176-1,8)</f>
        <v/>
      </c>
      <c r="H1177" s="4">
        <f>ROUND(D1177/100/(DATE(YEAR(A1177)+1,1,1)-DATE(YEAR(A1177),1,1))*E1177,8)</f>
        <v/>
      </c>
      <c r="I1177" s="4">
        <f>ROUND(I1176*(1+F1177),8)</f>
        <v/>
      </c>
      <c r="J1177" s="4">
        <f>ROUND(J1176*(1+G1177),8)</f>
        <v/>
      </c>
      <c r="K1177" s="4">
        <f>ROUND(K1176+H1177,8)</f>
        <v/>
      </c>
      <c r="L1177" s="4">
        <f>ROUND(0.9*F1177+0.05*G1177+0.05*H1177,8)</f>
        <v/>
      </c>
    </row>
    <row r="1178">
      <c r="A1178" s="2" t="n">
        <v>45512</v>
      </c>
      <c r="B1178" s="8" t="n">
        <v>1795.96</v>
      </c>
      <c r="C1178" s="8" t="n">
        <v>129.9309</v>
      </c>
      <c r="D1178" s="8" t="n">
        <v>0.35</v>
      </c>
      <c r="E1178">
        <f>A1178-A1177</f>
        <v/>
      </c>
      <c r="F1178" s="4">
        <f>ROUND(B1178/B1177-1,8)</f>
        <v/>
      </c>
      <c r="G1178" s="4">
        <f>ROUND(C1178/C1177-1,8)</f>
        <v/>
      </c>
      <c r="H1178" s="4">
        <f>ROUND(D1178/100/(DATE(YEAR(A1178)+1,1,1)-DATE(YEAR(A1178),1,1))*E1178,8)</f>
        <v/>
      </c>
      <c r="I1178" s="4">
        <f>ROUND(I1177*(1+F1178),8)</f>
        <v/>
      </c>
      <c r="J1178" s="4">
        <f>ROUND(J1177*(1+G1178),8)</f>
        <v/>
      </c>
      <c r="K1178" s="4">
        <f>ROUND(K1177+H1178,8)</f>
        <v/>
      </c>
      <c r="L1178" s="4">
        <f>ROUND(0.9*F1178+0.05*G1178+0.05*H1178,8)</f>
        <v/>
      </c>
    </row>
    <row r="1179">
      <c r="A1179" s="2" t="n">
        <v>45513</v>
      </c>
      <c r="B1179" s="8" t="n">
        <v>1784.02</v>
      </c>
      <c r="C1179" s="8" t="n">
        <v>129.7709</v>
      </c>
      <c r="D1179" s="8" t="n">
        <v>0.35</v>
      </c>
      <c r="E1179">
        <f>A1179-A1178</f>
        <v/>
      </c>
      <c r="F1179" s="4">
        <f>ROUND(B1179/B1178-1,8)</f>
        <v/>
      </c>
      <c r="G1179" s="4">
        <f>ROUND(C1179/C1178-1,8)</f>
        <v/>
      </c>
      <c r="H1179" s="4">
        <f>ROUND(D1179/100/(DATE(YEAR(A1179)+1,1,1)-DATE(YEAR(A1179),1,1))*E1179,8)</f>
        <v/>
      </c>
      <c r="I1179" s="4">
        <f>ROUND(I1178*(1+F1179),8)</f>
        <v/>
      </c>
      <c r="J1179" s="4">
        <f>ROUND(J1178*(1+G1179),8)</f>
        <v/>
      </c>
      <c r="K1179" s="4">
        <f>ROUND(K1178+H1179,8)</f>
        <v/>
      </c>
      <c r="L1179" s="4">
        <f>ROUND(0.9*F1179+0.05*G1179+0.05*H1179,8)</f>
        <v/>
      </c>
    </row>
    <row r="1180">
      <c r="A1180" s="2" t="n">
        <v>45516</v>
      </c>
      <c r="B1180" s="8" t="n">
        <v>1767.21</v>
      </c>
      <c r="C1180" s="8" t="n">
        <v>129.4155</v>
      </c>
      <c r="D1180" s="8" t="n">
        <v>0.35</v>
      </c>
      <c r="E1180">
        <f>A1180-A1179</f>
        <v/>
      </c>
      <c r="F1180" s="4">
        <f>ROUND(B1180/B1179-1,8)</f>
        <v/>
      </c>
      <c r="G1180" s="4">
        <f>ROUND(C1180/C1179-1,8)</f>
        <v/>
      </c>
      <c r="H1180" s="4">
        <f>ROUND(D1180/100/(DATE(YEAR(A1180)+1,1,1)-DATE(YEAR(A1180),1,1))*E1180,8)</f>
        <v/>
      </c>
      <c r="I1180" s="4">
        <f>ROUND(I1179*(1+F1180),8)</f>
        <v/>
      </c>
      <c r="J1180" s="4">
        <f>ROUND(J1179*(1+G1180),8)</f>
        <v/>
      </c>
      <c r="K1180" s="4">
        <f>ROUND(K1179+H1180,8)</f>
        <v/>
      </c>
      <c r="L1180" s="4">
        <f>ROUND(0.9*F1180+0.05*G1180+0.05*H1180,8)</f>
        <v/>
      </c>
    </row>
    <row r="1181">
      <c r="A1181" s="2" t="n">
        <v>45517</v>
      </c>
      <c r="B1181" s="8" t="n">
        <v>1780.29</v>
      </c>
      <c r="C1181" s="8" t="n">
        <v>129.5031</v>
      </c>
      <c r="D1181" s="8" t="n">
        <v>0.35</v>
      </c>
      <c r="E1181">
        <f>A1181-A1180</f>
        <v/>
      </c>
      <c r="F1181" s="4">
        <f>ROUND(B1181/B1180-1,8)</f>
        <v/>
      </c>
      <c r="G1181" s="4">
        <f>ROUND(C1181/C1180-1,8)</f>
        <v/>
      </c>
      <c r="H1181" s="4">
        <f>ROUND(D1181/100/(DATE(YEAR(A1181)+1,1,1)-DATE(YEAR(A1181),1,1))*E1181,8)</f>
        <v/>
      </c>
      <c r="I1181" s="4">
        <f>ROUND(I1180*(1+F1181),8)</f>
        <v/>
      </c>
      <c r="J1181" s="4">
        <f>ROUND(J1180*(1+G1181),8)</f>
        <v/>
      </c>
      <c r="K1181" s="4">
        <f>ROUND(K1180+H1181,8)</f>
        <v/>
      </c>
      <c r="L1181" s="4">
        <f>ROUND(0.9*F1181+0.05*G1181+0.05*H1181,8)</f>
        <v/>
      </c>
    </row>
    <row r="1182">
      <c r="A1182" s="2" t="n">
        <v>45518</v>
      </c>
      <c r="B1182" s="8" t="n">
        <v>1775.81</v>
      </c>
      <c r="C1182" s="8" t="n">
        <v>129.7191</v>
      </c>
      <c r="D1182" s="8" t="n">
        <v>0.35</v>
      </c>
      <c r="E1182">
        <f>A1182-A1181</f>
        <v/>
      </c>
      <c r="F1182" s="4">
        <f>ROUND(B1182/B1181-1,8)</f>
        <v/>
      </c>
      <c r="G1182" s="4">
        <f>ROUND(C1182/C1181-1,8)</f>
        <v/>
      </c>
      <c r="H1182" s="4">
        <f>ROUND(D1182/100/(DATE(YEAR(A1182)+1,1,1)-DATE(YEAR(A1182),1,1))*E1182,8)</f>
        <v/>
      </c>
      <c r="I1182" s="4">
        <f>ROUND(I1181*(1+F1182),8)</f>
        <v/>
      </c>
      <c r="J1182" s="4">
        <f>ROUND(J1181*(1+G1182),8)</f>
        <v/>
      </c>
      <c r="K1182" s="4">
        <f>ROUND(K1181+H1182,8)</f>
        <v/>
      </c>
      <c r="L1182" s="4">
        <f>ROUND(0.9*F1182+0.05*G1182+0.05*H1182,8)</f>
        <v/>
      </c>
    </row>
    <row r="1183">
      <c r="A1183" s="2" t="n">
        <v>45519</v>
      </c>
      <c r="B1183" s="8" t="n">
        <v>1794.32</v>
      </c>
      <c r="C1183" s="8" t="n">
        <v>129.6228</v>
      </c>
      <c r="D1183" s="8" t="n">
        <v>0.35</v>
      </c>
      <c r="E1183">
        <f>A1183-A1182</f>
        <v/>
      </c>
      <c r="F1183" s="4">
        <f>ROUND(B1183/B1182-1,8)</f>
        <v/>
      </c>
      <c r="G1183" s="4">
        <f>ROUND(C1183/C1182-1,8)</f>
        <v/>
      </c>
      <c r="H1183" s="4">
        <f>ROUND(D1183/100/(DATE(YEAR(A1183)+1,1,1)-DATE(YEAR(A1183),1,1))*E1183,8)</f>
        <v/>
      </c>
      <c r="I1183" s="4">
        <f>ROUND(I1182*(1+F1183),8)</f>
        <v/>
      </c>
      <c r="J1183" s="4">
        <f>ROUND(J1182*(1+G1183),8)</f>
        <v/>
      </c>
      <c r="K1183" s="4">
        <f>ROUND(K1182+H1183,8)</f>
        <v/>
      </c>
      <c r="L1183" s="4">
        <f>ROUND(0.9*F1183+0.05*G1183+0.05*H1183,8)</f>
        <v/>
      </c>
    </row>
    <row r="1184">
      <c r="A1184" s="2" t="n">
        <v>45520</v>
      </c>
      <c r="B1184" s="8" t="n">
        <v>1790.69</v>
      </c>
      <c r="C1184" s="8" t="n">
        <v>129.6264</v>
      </c>
      <c r="D1184" s="8" t="n">
        <v>0.35</v>
      </c>
      <c r="E1184">
        <f>A1184-A1183</f>
        <v/>
      </c>
      <c r="F1184" s="4">
        <f>ROUND(B1184/B1183-1,8)</f>
        <v/>
      </c>
      <c r="G1184" s="4">
        <f>ROUND(C1184/C1183-1,8)</f>
        <v/>
      </c>
      <c r="H1184" s="4">
        <f>ROUND(D1184/100/(DATE(YEAR(A1184)+1,1,1)-DATE(YEAR(A1184),1,1))*E1184,8)</f>
        <v/>
      </c>
      <c r="I1184" s="4">
        <f>ROUND(I1183*(1+F1184),8)</f>
        <v/>
      </c>
      <c r="J1184" s="4">
        <f>ROUND(J1183*(1+G1184),8)</f>
        <v/>
      </c>
      <c r="K1184" s="4">
        <f>ROUND(K1183+H1184,8)</f>
        <v/>
      </c>
      <c r="L1184" s="4">
        <f>ROUND(0.9*F1184+0.05*G1184+0.05*H1184,8)</f>
        <v/>
      </c>
    </row>
    <row r="1185">
      <c r="A1185" s="2" t="n">
        <v>45523</v>
      </c>
      <c r="B1185" s="8" t="n">
        <v>1780.8</v>
      </c>
      <c r="C1185" s="8" t="n">
        <v>129.6549</v>
      </c>
      <c r="D1185" s="8" t="n">
        <v>0.35</v>
      </c>
      <c r="E1185">
        <f>A1185-A1184</f>
        <v/>
      </c>
      <c r="F1185" s="4">
        <f>ROUND(B1185/B1184-1,8)</f>
        <v/>
      </c>
      <c r="G1185" s="4">
        <f>ROUND(C1185/C1184-1,8)</f>
        <v/>
      </c>
      <c r="H1185" s="4">
        <f>ROUND(D1185/100/(DATE(YEAR(A1185)+1,1,1)-DATE(YEAR(A1185),1,1))*E1185,8)</f>
        <v/>
      </c>
      <c r="I1185" s="4">
        <f>ROUND(I1184*(1+F1185),8)</f>
        <v/>
      </c>
      <c r="J1185" s="4">
        <f>ROUND(J1184*(1+G1185),8)</f>
        <v/>
      </c>
      <c r="K1185" s="4">
        <f>ROUND(K1184+H1185,8)</f>
        <v/>
      </c>
      <c r="L1185" s="4">
        <f>ROUND(0.9*F1185+0.05*G1185+0.05*H1185,8)</f>
        <v/>
      </c>
    </row>
    <row r="1186">
      <c r="A1186" s="2" t="n">
        <v>45524</v>
      </c>
      <c r="B1186" s="8" t="n">
        <v>1750</v>
      </c>
      <c r="C1186" s="8" t="n">
        <v>129.6907</v>
      </c>
      <c r="D1186" s="8" t="n">
        <v>0.35</v>
      </c>
      <c r="E1186">
        <f>A1186-A1185</f>
        <v/>
      </c>
      <c r="F1186" s="4">
        <f>ROUND(B1186/B1185-1,8)</f>
        <v/>
      </c>
      <c r="G1186" s="4">
        <f>ROUND(C1186/C1185-1,8)</f>
        <v/>
      </c>
      <c r="H1186" s="4">
        <f>ROUND(D1186/100/(DATE(YEAR(A1186)+1,1,1)-DATE(YEAR(A1186),1,1))*E1186,8)</f>
        <v/>
      </c>
      <c r="I1186" s="4">
        <f>ROUND(I1185*(1+F1186),8)</f>
        <v/>
      </c>
      <c r="J1186" s="4">
        <f>ROUND(J1185*(1+G1186),8)</f>
        <v/>
      </c>
      <c r="K1186" s="4">
        <f>ROUND(K1185+H1186,8)</f>
        <v/>
      </c>
      <c r="L1186" s="4">
        <f>ROUND(0.9*F1186+0.05*G1186+0.05*H1186,8)</f>
        <v/>
      </c>
    </row>
    <row r="1187">
      <c r="A1187" s="2" t="n">
        <v>45525</v>
      </c>
      <c r="B1187" s="8" t="n">
        <v>1747.14</v>
      </c>
      <c r="C1187" s="8" t="n">
        <v>129.6374</v>
      </c>
      <c r="D1187" s="8" t="n">
        <v>0.35</v>
      </c>
      <c r="E1187">
        <f>A1187-A1186</f>
        <v/>
      </c>
      <c r="F1187" s="4">
        <f>ROUND(B1187/B1186-1,8)</f>
        <v/>
      </c>
      <c r="G1187" s="4">
        <f>ROUND(C1187/C1186-1,8)</f>
        <v/>
      </c>
      <c r="H1187" s="4">
        <f>ROUND(D1187/100/(DATE(YEAR(A1187)+1,1,1)-DATE(YEAR(A1187),1,1))*E1187,8)</f>
        <v/>
      </c>
      <c r="I1187" s="4">
        <f>ROUND(I1186*(1+F1187),8)</f>
        <v/>
      </c>
      <c r="J1187" s="4">
        <f>ROUND(J1186*(1+G1187),8)</f>
        <v/>
      </c>
      <c r="K1187" s="4">
        <f>ROUND(K1186+H1187,8)</f>
        <v/>
      </c>
      <c r="L1187" s="4">
        <f>ROUND(0.9*F1187+0.05*G1187+0.05*H1187,8)</f>
        <v/>
      </c>
    </row>
    <row r="1188">
      <c r="A1188" s="2" t="n">
        <v>45526</v>
      </c>
      <c r="B1188" s="8" t="n">
        <v>1716.38</v>
      </c>
      <c r="C1188" s="8" t="n">
        <v>129.6985</v>
      </c>
      <c r="D1188" s="8" t="n">
        <v>0.35</v>
      </c>
      <c r="E1188">
        <f>A1188-A1187</f>
        <v/>
      </c>
      <c r="F1188" s="4">
        <f>ROUND(B1188/B1187-1,8)</f>
        <v/>
      </c>
      <c r="G1188" s="4">
        <f>ROUND(C1188/C1187-1,8)</f>
        <v/>
      </c>
      <c r="H1188" s="4">
        <f>ROUND(D1188/100/(DATE(YEAR(A1188)+1,1,1)-DATE(YEAR(A1188),1,1))*E1188,8)</f>
        <v/>
      </c>
      <c r="I1188" s="4">
        <f>ROUND(I1187*(1+F1188),8)</f>
        <v/>
      </c>
      <c r="J1188" s="4">
        <f>ROUND(J1187*(1+G1188),8)</f>
        <v/>
      </c>
      <c r="K1188" s="4">
        <f>ROUND(K1187+H1188,8)</f>
        <v/>
      </c>
      <c r="L1188" s="4">
        <f>ROUND(0.9*F1188+0.05*G1188+0.05*H1188,8)</f>
        <v/>
      </c>
    </row>
    <row r="1189">
      <c r="A1189" s="2" t="n">
        <v>45527</v>
      </c>
      <c r="B1189" s="8" t="n">
        <v>1707.44</v>
      </c>
      <c r="C1189" s="8" t="n">
        <v>129.7014</v>
      </c>
      <c r="D1189" s="8" t="n">
        <v>0.35</v>
      </c>
      <c r="E1189">
        <f>A1189-A1188</f>
        <v/>
      </c>
      <c r="F1189" s="4">
        <f>ROUND(B1189/B1188-1,8)</f>
        <v/>
      </c>
      <c r="G1189" s="4">
        <f>ROUND(C1189/C1188-1,8)</f>
        <v/>
      </c>
      <c r="H1189" s="4">
        <f>ROUND(D1189/100/(DATE(YEAR(A1189)+1,1,1)-DATE(YEAR(A1189),1,1))*E1189,8)</f>
        <v/>
      </c>
      <c r="I1189" s="4">
        <f>ROUND(I1188*(1+F1189),8)</f>
        <v/>
      </c>
      <c r="J1189" s="4">
        <f>ROUND(J1188*(1+G1189),8)</f>
        <v/>
      </c>
      <c r="K1189" s="4">
        <f>ROUND(K1188+H1189,8)</f>
        <v/>
      </c>
      <c r="L1189" s="4">
        <f>ROUND(0.9*F1189+0.05*G1189+0.05*H1189,8)</f>
        <v/>
      </c>
    </row>
    <row r="1190">
      <c r="A1190" s="2" t="n">
        <v>45530</v>
      </c>
      <c r="B1190" s="8" t="n">
        <v>1727.24</v>
      </c>
      <c r="C1190" s="8" t="n">
        <v>129.6512</v>
      </c>
      <c r="D1190" s="8" t="n">
        <v>0.35</v>
      </c>
      <c r="E1190">
        <f>A1190-A1189</f>
        <v/>
      </c>
      <c r="F1190" s="4">
        <f>ROUND(B1190/B1189-1,8)</f>
        <v/>
      </c>
      <c r="G1190" s="4">
        <f>ROUND(C1190/C1189-1,8)</f>
        <v/>
      </c>
      <c r="H1190" s="4">
        <f>ROUND(D1190/100/(DATE(YEAR(A1190)+1,1,1)-DATE(YEAR(A1190),1,1))*E1190,8)</f>
        <v/>
      </c>
      <c r="I1190" s="4">
        <f>ROUND(I1189*(1+F1190),8)</f>
        <v/>
      </c>
      <c r="J1190" s="4">
        <f>ROUND(J1189*(1+G1190),8)</f>
        <v/>
      </c>
      <c r="K1190" s="4">
        <f>ROUND(K1189+H1190,8)</f>
        <v/>
      </c>
      <c r="L1190" s="4">
        <f>ROUND(0.9*F1190+0.05*G1190+0.05*H1190,8)</f>
        <v/>
      </c>
    </row>
    <row r="1191">
      <c r="A1191" s="2" t="n">
        <v>45531</v>
      </c>
      <c r="B1191" s="8" t="n">
        <v>1695.77</v>
      </c>
      <c r="C1191" s="8" t="n">
        <v>129.5108</v>
      </c>
      <c r="D1191" s="8" t="n">
        <v>0.35</v>
      </c>
      <c r="E1191">
        <f>A1191-A1190</f>
        <v/>
      </c>
      <c r="F1191" s="4">
        <f>ROUND(B1191/B1190-1,8)</f>
        <v/>
      </c>
      <c r="G1191" s="4">
        <f>ROUND(C1191/C1190-1,8)</f>
        <v/>
      </c>
      <c r="H1191" s="4">
        <f>ROUND(D1191/100/(DATE(YEAR(A1191)+1,1,1)-DATE(YEAR(A1191),1,1))*E1191,8)</f>
        <v/>
      </c>
      <c r="I1191" s="4">
        <f>ROUND(I1190*(1+F1191),8)</f>
        <v/>
      </c>
      <c r="J1191" s="4">
        <f>ROUND(J1190*(1+G1191),8)</f>
        <v/>
      </c>
      <c r="K1191" s="4">
        <f>ROUND(K1190+H1191,8)</f>
        <v/>
      </c>
      <c r="L1191" s="4">
        <f>ROUND(0.9*F1191+0.05*G1191+0.05*H1191,8)</f>
        <v/>
      </c>
    </row>
    <row r="1192">
      <c r="A1192" s="2" t="n">
        <v>45532</v>
      </c>
      <c r="B1192" s="8" t="n">
        <v>1704.03</v>
      </c>
      <c r="C1192" s="8" t="n">
        <v>129.546</v>
      </c>
      <c r="D1192" s="8" t="n">
        <v>0.35</v>
      </c>
      <c r="E1192">
        <f>A1192-A1191</f>
        <v/>
      </c>
      <c r="F1192" s="4">
        <f>ROUND(B1192/B1191-1,8)</f>
        <v/>
      </c>
      <c r="G1192" s="4">
        <f>ROUND(C1192/C1191-1,8)</f>
        <v/>
      </c>
      <c r="H1192" s="4">
        <f>ROUND(D1192/100/(DATE(YEAR(A1192)+1,1,1)-DATE(YEAR(A1192),1,1))*E1192,8)</f>
        <v/>
      </c>
      <c r="I1192" s="4">
        <f>ROUND(I1191*(1+F1192),8)</f>
        <v/>
      </c>
      <c r="J1192" s="4">
        <f>ROUND(J1191*(1+G1192),8)</f>
        <v/>
      </c>
      <c r="K1192" s="4">
        <f>ROUND(K1191+H1192,8)</f>
        <v/>
      </c>
      <c r="L1192" s="4">
        <f>ROUND(0.9*F1192+0.05*G1192+0.05*H1192,8)</f>
        <v/>
      </c>
    </row>
    <row r="1193">
      <c r="A1193" s="2" t="n">
        <v>45533</v>
      </c>
      <c r="B1193" s="8" t="n">
        <v>1731.32</v>
      </c>
      <c r="C1193" s="8" t="n">
        <v>129.5495</v>
      </c>
      <c r="D1193" s="8" t="n">
        <v>0.35</v>
      </c>
      <c r="E1193">
        <f>A1193-A1192</f>
        <v/>
      </c>
      <c r="F1193" s="4">
        <f>ROUND(B1193/B1192-1,8)</f>
        <v/>
      </c>
      <c r="G1193" s="4">
        <f>ROUND(C1193/C1192-1,8)</f>
        <v/>
      </c>
      <c r="H1193" s="4">
        <f>ROUND(D1193/100/(DATE(YEAR(A1193)+1,1,1)-DATE(YEAR(A1193),1,1))*E1193,8)</f>
        <v/>
      </c>
      <c r="I1193" s="4">
        <f>ROUND(I1192*(1+F1193),8)</f>
        <v/>
      </c>
      <c r="J1193" s="4">
        <f>ROUND(J1192*(1+G1193),8)</f>
        <v/>
      </c>
      <c r="K1193" s="4">
        <f>ROUND(K1192+H1193,8)</f>
        <v/>
      </c>
      <c r="L1193" s="4">
        <f>ROUND(0.9*F1193+0.05*G1193+0.05*H1193,8)</f>
        <v/>
      </c>
    </row>
    <row r="1194">
      <c r="A1194" s="2" t="n">
        <v>45534</v>
      </c>
      <c r="B1194" s="8" t="n">
        <v>1768.38</v>
      </c>
      <c r="C1194" s="8" t="n">
        <v>129.5268</v>
      </c>
      <c r="D1194" s="8" t="n">
        <v>0.35</v>
      </c>
      <c r="E1194">
        <f>A1194-A1193</f>
        <v/>
      </c>
      <c r="F1194" s="4">
        <f>ROUND(B1194/B1193-1,8)</f>
        <v/>
      </c>
      <c r="G1194" s="4">
        <f>ROUND(C1194/C1193-1,8)</f>
        <v/>
      </c>
      <c r="H1194" s="4">
        <f>ROUND(D1194/100/(DATE(YEAR(A1194)+1,1,1)-DATE(YEAR(A1194),1,1))*E1194,8)</f>
        <v/>
      </c>
      <c r="I1194" s="4">
        <f>ROUND(I1193*(1+F1194),8)</f>
        <v/>
      </c>
      <c r="J1194" s="4">
        <f>ROUND(J1193*(1+G1194),8)</f>
        <v/>
      </c>
      <c r="K1194" s="4">
        <f>ROUND(K1193+H1194,8)</f>
        <v/>
      </c>
      <c r="L1194" s="4">
        <f>ROUND(0.9*F1194+0.05*G1194+0.05*H1194,8)</f>
        <v/>
      </c>
    </row>
    <row r="1195">
      <c r="A1195" s="2" t="n">
        <v>45537</v>
      </c>
      <c r="B1195" s="8" t="n">
        <v>1739.7</v>
      </c>
      <c r="C1195" s="8" t="n">
        <v>129.6812</v>
      </c>
      <c r="D1195" s="8" t="n">
        <v>0.35</v>
      </c>
      <c r="E1195">
        <f>A1195-A1194</f>
        <v/>
      </c>
      <c r="F1195" s="4">
        <f>ROUND(B1195/B1194-1,8)</f>
        <v/>
      </c>
      <c r="G1195" s="4">
        <f>ROUND(C1195/C1194-1,8)</f>
        <v/>
      </c>
      <c r="H1195" s="4">
        <f>ROUND(D1195/100/(DATE(YEAR(A1195)+1,1,1)-DATE(YEAR(A1195),1,1))*E1195,8)</f>
        <v/>
      </c>
      <c r="I1195" s="4">
        <f>ROUND(I1194*(1+F1195),8)</f>
        <v/>
      </c>
      <c r="J1195" s="4">
        <f>ROUND(J1194*(1+G1195),8)</f>
        <v/>
      </c>
      <c r="K1195" s="4">
        <f>ROUND(K1194+H1195,8)</f>
        <v/>
      </c>
      <c r="L1195" s="4">
        <f>ROUND(0.9*F1195+0.05*G1195+0.05*H1195,8)</f>
        <v/>
      </c>
    </row>
    <row r="1196">
      <c r="A1196" s="2" t="n">
        <v>45538</v>
      </c>
      <c r="B1196" s="8" t="n">
        <v>1758.3</v>
      </c>
      <c r="C1196" s="8" t="n">
        <v>129.7435</v>
      </c>
      <c r="D1196" s="8" t="n">
        <v>0.35</v>
      </c>
      <c r="E1196">
        <f>A1196-A1195</f>
        <v/>
      </c>
      <c r="F1196" s="4">
        <f>ROUND(B1196/B1195-1,8)</f>
        <v/>
      </c>
      <c r="G1196" s="4">
        <f>ROUND(C1196/C1195-1,8)</f>
        <v/>
      </c>
      <c r="H1196" s="4">
        <f>ROUND(D1196/100/(DATE(YEAR(A1196)+1,1,1)-DATE(YEAR(A1196),1,1))*E1196,8)</f>
        <v/>
      </c>
      <c r="I1196" s="4">
        <f>ROUND(I1195*(1+F1196),8)</f>
        <v/>
      </c>
      <c r="J1196" s="4">
        <f>ROUND(J1195*(1+G1196),8)</f>
        <v/>
      </c>
      <c r="K1196" s="4">
        <f>ROUND(K1195+H1196,8)</f>
        <v/>
      </c>
      <c r="L1196" s="4">
        <f>ROUND(0.9*F1196+0.05*G1196+0.05*H1196,8)</f>
        <v/>
      </c>
    </row>
    <row r="1197">
      <c r="A1197" s="2" t="n">
        <v>45539</v>
      </c>
      <c r="B1197" s="8" t="n">
        <v>1746.27</v>
      </c>
      <c r="C1197" s="8" t="n">
        <v>129.8303</v>
      </c>
      <c r="D1197" s="8" t="n">
        <v>0.35</v>
      </c>
      <c r="E1197">
        <f>A1197-A1196</f>
        <v/>
      </c>
      <c r="F1197" s="4">
        <f>ROUND(B1197/B1196-1,8)</f>
        <v/>
      </c>
      <c r="G1197" s="4">
        <f>ROUND(C1197/C1196-1,8)</f>
        <v/>
      </c>
      <c r="H1197" s="4">
        <f>ROUND(D1197/100/(DATE(YEAR(A1197)+1,1,1)-DATE(YEAR(A1197),1,1))*E1197,8)</f>
        <v/>
      </c>
      <c r="I1197" s="4">
        <f>ROUND(I1196*(1+F1197),8)</f>
        <v/>
      </c>
      <c r="J1197" s="4">
        <f>ROUND(J1196*(1+G1197),8)</f>
        <v/>
      </c>
      <c r="K1197" s="4">
        <f>ROUND(K1196+H1197,8)</f>
        <v/>
      </c>
      <c r="L1197" s="4">
        <f>ROUND(0.9*F1197+0.05*G1197+0.05*H1197,8)</f>
        <v/>
      </c>
    </row>
    <row r="1198">
      <c r="A1198" s="2" t="n">
        <v>45540</v>
      </c>
      <c r="B1198" s="8" t="n">
        <v>1764.62</v>
      </c>
      <c r="C1198" s="8" t="n">
        <v>129.9308</v>
      </c>
      <c r="D1198" s="8" t="n">
        <v>0.35</v>
      </c>
      <c r="E1198">
        <f>A1198-A1197</f>
        <v/>
      </c>
      <c r="F1198" s="4">
        <f>ROUND(B1198/B1197-1,8)</f>
        <v/>
      </c>
      <c r="G1198" s="4">
        <f>ROUND(C1198/C1197-1,8)</f>
        <v/>
      </c>
      <c r="H1198" s="4">
        <f>ROUND(D1198/100/(DATE(YEAR(A1198)+1,1,1)-DATE(YEAR(A1198),1,1))*E1198,8)</f>
        <v/>
      </c>
      <c r="I1198" s="4">
        <f>ROUND(I1197*(1+F1198),8)</f>
        <v/>
      </c>
      <c r="J1198" s="4">
        <f>ROUND(J1197*(1+G1198),8)</f>
        <v/>
      </c>
      <c r="K1198" s="4">
        <f>ROUND(K1197+H1198,8)</f>
        <v/>
      </c>
      <c r="L1198" s="4">
        <f>ROUND(0.9*F1198+0.05*G1198+0.05*H1198,8)</f>
        <v/>
      </c>
    </row>
    <row r="1199">
      <c r="A1199" s="2" t="n">
        <v>45541</v>
      </c>
      <c r="B1199" s="8" t="n">
        <v>1730.57</v>
      </c>
      <c r="C1199" s="8" t="n">
        <v>129.9533</v>
      </c>
      <c r="D1199" s="8" t="n">
        <v>0.35</v>
      </c>
      <c r="E1199">
        <f>A1199-A1198</f>
        <v/>
      </c>
      <c r="F1199" s="4">
        <f>ROUND(B1199/B1198-1,8)</f>
        <v/>
      </c>
      <c r="G1199" s="4">
        <f>ROUND(C1199/C1198-1,8)</f>
        <v/>
      </c>
      <c r="H1199" s="4">
        <f>ROUND(D1199/100/(DATE(YEAR(A1199)+1,1,1)-DATE(YEAR(A1199),1,1))*E1199,8)</f>
        <v/>
      </c>
      <c r="I1199" s="4">
        <f>ROUND(I1198*(1+F1199),8)</f>
        <v/>
      </c>
      <c r="J1199" s="4">
        <f>ROUND(J1198*(1+G1199),8)</f>
        <v/>
      </c>
      <c r="K1199" s="4">
        <f>ROUND(K1198+H1199,8)</f>
        <v/>
      </c>
      <c r="L1199" s="4">
        <f>ROUND(0.9*F1199+0.05*G1199+0.05*H1199,8)</f>
        <v/>
      </c>
    </row>
    <row r="1200">
      <c r="A1200" s="2" t="n">
        <v>45544</v>
      </c>
      <c r="B1200" s="8" t="n">
        <v>1726.67</v>
      </c>
      <c r="C1200" s="8" t="n">
        <v>130.04</v>
      </c>
      <c r="D1200" s="8" t="n">
        <v>0.35</v>
      </c>
      <c r="E1200">
        <f>A1200-A1199</f>
        <v/>
      </c>
      <c r="F1200" s="4">
        <f>ROUND(B1200/B1199-1,8)</f>
        <v/>
      </c>
      <c r="G1200" s="4">
        <f>ROUND(C1200/C1199-1,8)</f>
        <v/>
      </c>
      <c r="H1200" s="4">
        <f>ROUND(D1200/100/(DATE(YEAR(A1200)+1,1,1)-DATE(YEAR(A1200),1,1))*E1200,8)</f>
        <v/>
      </c>
      <c r="I1200" s="4">
        <f>ROUND(I1199*(1+F1200),8)</f>
        <v/>
      </c>
      <c r="J1200" s="4">
        <f>ROUND(J1199*(1+G1200),8)</f>
        <v/>
      </c>
      <c r="K1200" s="4">
        <f>ROUND(K1199+H1200,8)</f>
        <v/>
      </c>
      <c r="L1200" s="4">
        <f>ROUND(0.9*F1200+0.05*G1200+0.05*H1200,8)</f>
        <v/>
      </c>
    </row>
    <row r="1201">
      <c r="A1201" s="2" t="n">
        <v>45545</v>
      </c>
      <c r="B1201" s="8" t="n">
        <v>1737.43</v>
      </c>
      <c r="C1201" s="8" t="n">
        <v>130.1169</v>
      </c>
      <c r="D1201" s="8" t="n">
        <v>0.35</v>
      </c>
      <c r="E1201">
        <f>A1201-A1200</f>
        <v/>
      </c>
      <c r="F1201" s="4">
        <f>ROUND(B1201/B1200-1,8)</f>
        <v/>
      </c>
      <c r="G1201" s="4">
        <f>ROUND(C1201/C1200-1,8)</f>
        <v/>
      </c>
      <c r="H1201" s="4">
        <f>ROUND(D1201/100/(DATE(YEAR(A1201)+1,1,1)-DATE(YEAR(A1201),1,1))*E1201,8)</f>
        <v/>
      </c>
      <c r="I1201" s="4">
        <f>ROUND(I1200*(1+F1201),8)</f>
        <v/>
      </c>
      <c r="J1201" s="4">
        <f>ROUND(J1200*(1+G1201),8)</f>
        <v/>
      </c>
      <c r="K1201" s="4">
        <f>ROUND(K1200+H1201,8)</f>
        <v/>
      </c>
      <c r="L1201" s="4">
        <f>ROUND(0.9*F1201+0.05*G1201+0.05*H1201,8)</f>
        <v/>
      </c>
    </row>
    <row r="1202">
      <c r="A1202" s="2" t="n">
        <v>45546</v>
      </c>
      <c r="B1202" s="8" t="n">
        <v>1724.02</v>
      </c>
      <c r="C1202" s="8" t="n">
        <v>130.2033</v>
      </c>
      <c r="D1202" s="8" t="n">
        <v>0.35</v>
      </c>
      <c r="E1202">
        <f>A1202-A1201</f>
        <v/>
      </c>
      <c r="F1202" s="4">
        <f>ROUND(B1202/B1201-1,8)</f>
        <v/>
      </c>
      <c r="G1202" s="4">
        <f>ROUND(C1202/C1201-1,8)</f>
        <v/>
      </c>
      <c r="H1202" s="4">
        <f>ROUND(D1202/100/(DATE(YEAR(A1202)+1,1,1)-DATE(YEAR(A1202),1,1))*E1202,8)</f>
        <v/>
      </c>
      <c r="I1202" s="4">
        <f>ROUND(I1201*(1+F1202),8)</f>
        <v/>
      </c>
      <c r="J1202" s="4">
        <f>ROUND(J1201*(1+G1202),8)</f>
        <v/>
      </c>
      <c r="K1202" s="4">
        <f>ROUND(K1201+H1202,8)</f>
        <v/>
      </c>
      <c r="L1202" s="4">
        <f>ROUND(0.9*F1202+0.05*G1202+0.05*H1202,8)</f>
        <v/>
      </c>
    </row>
    <row r="1203">
      <c r="A1203" s="2" t="n">
        <v>45547</v>
      </c>
      <c r="B1203" s="8" t="n">
        <v>1721.72</v>
      </c>
      <c r="C1203" s="8" t="n">
        <v>130.2561</v>
      </c>
      <c r="D1203" s="8" t="n">
        <v>0.35</v>
      </c>
      <c r="E1203">
        <f>A1203-A1202</f>
        <v/>
      </c>
      <c r="F1203" s="4">
        <f>ROUND(B1203/B1202-1,8)</f>
        <v/>
      </c>
      <c r="G1203" s="4">
        <f>ROUND(C1203/C1202-1,8)</f>
        <v/>
      </c>
      <c r="H1203" s="4">
        <f>ROUND(D1203/100/(DATE(YEAR(A1203)+1,1,1)-DATE(YEAR(A1203),1,1))*E1203,8)</f>
        <v/>
      </c>
      <c r="I1203" s="4">
        <f>ROUND(I1202*(1+F1203),8)</f>
        <v/>
      </c>
      <c r="J1203" s="4">
        <f>ROUND(J1202*(1+G1203),8)</f>
        <v/>
      </c>
      <c r="K1203" s="4">
        <f>ROUND(K1202+H1203,8)</f>
        <v/>
      </c>
      <c r="L1203" s="4">
        <f>ROUND(0.9*F1203+0.05*G1203+0.05*H1203,8)</f>
        <v/>
      </c>
    </row>
    <row r="1204">
      <c r="A1204" s="2" t="n">
        <v>45548</v>
      </c>
      <c r="B1204" s="8" t="n">
        <v>1695.76</v>
      </c>
      <c r="C1204" s="8" t="n">
        <v>130.3359</v>
      </c>
      <c r="D1204" s="8" t="n">
        <v>0.35</v>
      </c>
      <c r="E1204">
        <f>A1204-A1203</f>
        <v/>
      </c>
      <c r="F1204" s="4">
        <f>ROUND(B1204/B1203-1,8)</f>
        <v/>
      </c>
      <c r="G1204" s="4">
        <f>ROUND(C1204/C1203-1,8)</f>
        <v/>
      </c>
      <c r="H1204" s="4">
        <f>ROUND(D1204/100/(DATE(YEAR(A1204)+1,1,1)-DATE(YEAR(A1204),1,1))*E1204,8)</f>
        <v/>
      </c>
      <c r="I1204" s="4">
        <f>ROUND(I1203*(1+F1204),8)</f>
        <v/>
      </c>
      <c r="J1204" s="4">
        <f>ROUND(J1203*(1+G1204),8)</f>
        <v/>
      </c>
      <c r="K1204" s="4">
        <f>ROUND(K1203+H1204,8)</f>
        <v/>
      </c>
      <c r="L1204" s="4">
        <f>ROUND(0.9*F1204+0.05*G1204+0.05*H1204,8)</f>
        <v/>
      </c>
    </row>
    <row r="1205">
      <c r="A1205" s="2" t="n">
        <v>45553</v>
      </c>
      <c r="B1205" s="8" t="n">
        <v>1684.92</v>
      </c>
      <c r="C1205" s="8" t="n">
        <v>130.5264</v>
      </c>
      <c r="D1205" s="8" t="n">
        <v>0.35</v>
      </c>
      <c r="E1205">
        <f>A1205-A1204</f>
        <v/>
      </c>
      <c r="F1205" s="4">
        <f>ROUND(B1205/B1204-1,8)</f>
        <v/>
      </c>
      <c r="G1205" s="4">
        <f>ROUND(C1205/C1204-1,8)</f>
        <v/>
      </c>
      <c r="H1205" s="4">
        <f>ROUND(D1205/100/(DATE(YEAR(A1205)+1,1,1)-DATE(YEAR(A1205),1,1))*E1205,8)</f>
        <v/>
      </c>
      <c r="I1205" s="4">
        <f>ROUND(I1204*(1+F1205),8)</f>
        <v/>
      </c>
      <c r="J1205" s="4">
        <f>ROUND(J1204*(1+G1205),8)</f>
        <v/>
      </c>
      <c r="K1205" s="4">
        <f>ROUND(K1204+H1205,8)</f>
        <v/>
      </c>
      <c r="L1205" s="4">
        <f>ROUND(0.9*F1205+0.05*G1205+0.05*H1205,8)</f>
        <v/>
      </c>
    </row>
    <row r="1206">
      <c r="A1206" s="2" t="n">
        <v>45554</v>
      </c>
      <c r="B1206" s="8" t="n">
        <v>1725.42</v>
      </c>
      <c r="C1206" s="8" t="n">
        <v>130.5103</v>
      </c>
      <c r="D1206" s="8" t="n">
        <v>0.35</v>
      </c>
      <c r="E1206">
        <f>A1206-A1205</f>
        <v/>
      </c>
      <c r="F1206" s="4">
        <f>ROUND(B1206/B1205-1,8)</f>
        <v/>
      </c>
      <c r="G1206" s="4">
        <f>ROUND(C1206/C1205-1,8)</f>
        <v/>
      </c>
      <c r="H1206" s="4">
        <f>ROUND(D1206/100/(DATE(YEAR(A1206)+1,1,1)-DATE(YEAR(A1206),1,1))*E1206,8)</f>
        <v/>
      </c>
      <c r="I1206" s="4">
        <f>ROUND(I1205*(1+F1206),8)</f>
        <v/>
      </c>
      <c r="J1206" s="4">
        <f>ROUND(J1205*(1+G1206),8)</f>
        <v/>
      </c>
      <c r="K1206" s="4">
        <f>ROUND(K1205+H1206,8)</f>
        <v/>
      </c>
      <c r="L1206" s="4">
        <f>ROUND(0.9*F1206+0.05*G1206+0.05*H1206,8)</f>
        <v/>
      </c>
    </row>
    <row r="1207">
      <c r="A1207" s="2" t="n">
        <v>45555</v>
      </c>
      <c r="B1207" s="8" t="n">
        <v>1723.3</v>
      </c>
      <c r="C1207" s="8" t="n">
        <v>130.4842</v>
      </c>
      <c r="D1207" s="8" t="n">
        <v>0.35</v>
      </c>
      <c r="E1207">
        <f>A1207-A1206</f>
        <v/>
      </c>
      <c r="F1207" s="4">
        <f>ROUND(B1207/B1206-1,8)</f>
        <v/>
      </c>
      <c r="G1207" s="4">
        <f>ROUND(C1207/C1206-1,8)</f>
        <v/>
      </c>
      <c r="H1207" s="4">
        <f>ROUND(D1207/100/(DATE(YEAR(A1207)+1,1,1)-DATE(YEAR(A1207),1,1))*E1207,8)</f>
        <v/>
      </c>
      <c r="I1207" s="4">
        <f>ROUND(I1206*(1+F1207),8)</f>
        <v/>
      </c>
      <c r="J1207" s="4">
        <f>ROUND(J1206*(1+G1207),8)</f>
        <v/>
      </c>
      <c r="K1207" s="4">
        <f>ROUND(K1206+H1207,8)</f>
        <v/>
      </c>
      <c r="L1207" s="4">
        <f>ROUND(0.9*F1207+0.05*G1207+0.05*H1207,8)</f>
        <v/>
      </c>
    </row>
    <row r="1208">
      <c r="A1208" s="2" t="n">
        <v>45558</v>
      </c>
      <c r="B1208" s="8" t="n">
        <v>1729.4</v>
      </c>
      <c r="C1208" s="8" t="n">
        <v>130.5108</v>
      </c>
      <c r="D1208" s="8" t="n">
        <v>0.35</v>
      </c>
      <c r="E1208">
        <f>A1208-A1207</f>
        <v/>
      </c>
      <c r="F1208" s="4">
        <f>ROUND(B1208/B1207-1,8)</f>
        <v/>
      </c>
      <c r="G1208" s="4">
        <f>ROUND(C1208/C1207-1,8)</f>
        <v/>
      </c>
      <c r="H1208" s="4">
        <f>ROUND(D1208/100/(DATE(YEAR(A1208)+1,1,1)-DATE(YEAR(A1208),1,1))*E1208,8)</f>
        <v/>
      </c>
      <c r="I1208" s="4">
        <f>ROUND(I1207*(1+F1208),8)</f>
        <v/>
      </c>
      <c r="J1208" s="4">
        <f>ROUND(J1207*(1+G1208),8)</f>
        <v/>
      </c>
      <c r="K1208" s="4">
        <f>ROUND(K1207+H1208,8)</f>
        <v/>
      </c>
      <c r="L1208" s="4">
        <f>ROUND(0.9*F1208+0.05*G1208+0.05*H1208,8)</f>
        <v/>
      </c>
    </row>
    <row r="1209">
      <c r="A1209" s="2" t="n">
        <v>45559</v>
      </c>
      <c r="B1209" s="8" t="n">
        <v>1784.41</v>
      </c>
      <c r="C1209" s="8" t="n">
        <v>130.3785</v>
      </c>
      <c r="D1209" s="8" t="n">
        <v>0.35</v>
      </c>
      <c r="E1209">
        <f>A1209-A1208</f>
        <v/>
      </c>
      <c r="F1209" s="4">
        <f>ROUND(B1209/B1208-1,8)</f>
        <v/>
      </c>
      <c r="G1209" s="4">
        <f>ROUND(C1209/C1208-1,8)</f>
        <v/>
      </c>
      <c r="H1209" s="4">
        <f>ROUND(D1209/100/(DATE(YEAR(A1209)+1,1,1)-DATE(YEAR(A1209),1,1))*E1209,8)</f>
        <v/>
      </c>
      <c r="I1209" s="4">
        <f>ROUND(I1208*(1+F1209),8)</f>
        <v/>
      </c>
      <c r="J1209" s="4">
        <f>ROUND(J1208*(1+G1209),8)</f>
        <v/>
      </c>
      <c r="K1209" s="4">
        <f>ROUND(K1208+H1209,8)</f>
        <v/>
      </c>
      <c r="L1209" s="4">
        <f>ROUND(0.9*F1209+0.05*G1209+0.05*H1209,8)</f>
        <v/>
      </c>
    </row>
    <row r="1210">
      <c r="A1210" s="2" t="n">
        <v>45560</v>
      </c>
      <c r="B1210" s="8" t="n">
        <v>1806.71</v>
      </c>
      <c r="C1210" s="8" t="n">
        <v>130.4555</v>
      </c>
      <c r="D1210" s="8" t="n">
        <v>0.35</v>
      </c>
      <c r="E1210">
        <f>A1210-A1209</f>
        <v/>
      </c>
      <c r="F1210" s="4">
        <f>ROUND(B1210/B1209-1,8)</f>
        <v/>
      </c>
      <c r="G1210" s="4">
        <f>ROUND(C1210/C1209-1,8)</f>
        <v/>
      </c>
      <c r="H1210" s="4">
        <f>ROUND(D1210/100/(DATE(YEAR(A1210)+1,1,1)-DATE(YEAR(A1210),1,1))*E1210,8)</f>
        <v/>
      </c>
      <c r="I1210" s="4">
        <f>ROUND(I1209*(1+F1210),8)</f>
        <v/>
      </c>
      <c r="J1210" s="4">
        <f>ROUND(J1209*(1+G1210),8)</f>
        <v/>
      </c>
      <c r="K1210" s="4">
        <f>ROUND(K1209+H1210,8)</f>
        <v/>
      </c>
      <c r="L1210" s="4">
        <f>ROUND(0.9*F1210+0.05*G1210+0.05*H1210,8)</f>
        <v/>
      </c>
    </row>
    <row r="1211">
      <c r="A1211" s="2" t="n">
        <v>45561</v>
      </c>
      <c r="B1211" s="8" t="n">
        <v>1861.59</v>
      </c>
      <c r="C1211" s="8" t="n">
        <v>130.3491</v>
      </c>
      <c r="D1211" s="8" t="n">
        <v>0.35</v>
      </c>
      <c r="E1211">
        <f>A1211-A1210</f>
        <v/>
      </c>
      <c r="F1211" s="4">
        <f>ROUND(B1211/B1210-1,8)</f>
        <v/>
      </c>
      <c r="G1211" s="4">
        <f>ROUND(C1211/C1210-1,8)</f>
        <v/>
      </c>
      <c r="H1211" s="4">
        <f>ROUND(D1211/100/(DATE(YEAR(A1211)+1,1,1)-DATE(YEAR(A1211),1,1))*E1211,8)</f>
        <v/>
      </c>
      <c r="I1211" s="4">
        <f>ROUND(I1210*(1+F1211),8)</f>
        <v/>
      </c>
      <c r="J1211" s="4">
        <f>ROUND(J1210*(1+G1211),8)</f>
        <v/>
      </c>
      <c r="K1211" s="4">
        <f>ROUND(K1210+H1211,8)</f>
        <v/>
      </c>
      <c r="L1211" s="4">
        <f>ROUND(0.9*F1211+0.05*G1211+0.05*H1211,8)</f>
        <v/>
      </c>
    </row>
    <row r="1212">
      <c r="A1212" s="2" t="n">
        <v>45562</v>
      </c>
      <c r="B1212" s="8" t="n">
        <v>1950.01</v>
      </c>
      <c r="C1212" s="8" t="n">
        <v>129.7057</v>
      </c>
      <c r="D1212" s="8" t="n">
        <v>0.35</v>
      </c>
      <c r="E1212">
        <f>A1212-A1211</f>
        <v/>
      </c>
      <c r="F1212" s="4">
        <f>ROUND(B1212/B1211-1,8)</f>
        <v/>
      </c>
      <c r="G1212" s="4">
        <f>ROUND(C1212/C1211-1,8)</f>
        <v/>
      </c>
      <c r="H1212" s="4">
        <f>ROUND(D1212/100/(DATE(YEAR(A1212)+1,1,1)-DATE(YEAR(A1212),1,1))*E1212,8)</f>
        <v/>
      </c>
      <c r="I1212" s="4">
        <f>ROUND(I1211*(1+F1212),8)</f>
        <v/>
      </c>
      <c r="J1212" s="4">
        <f>ROUND(J1211*(1+G1212),8)</f>
        <v/>
      </c>
      <c r="K1212" s="4">
        <f>ROUND(K1211+H1212,8)</f>
        <v/>
      </c>
      <c r="L1212" s="4">
        <f>ROUND(0.9*F1212+0.05*G1212+0.05*H1212,8)</f>
        <v/>
      </c>
    </row>
    <row r="1213">
      <c r="A1213" s="2" t="n">
        <v>45565</v>
      </c>
      <c r="B1213" s="8" t="n">
        <v>2166.17</v>
      </c>
      <c r="C1213" s="8" t="n">
        <v>129.3591</v>
      </c>
      <c r="D1213" s="8" t="n">
        <v>0.35</v>
      </c>
      <c r="E1213">
        <f>A1213-A1212</f>
        <v/>
      </c>
      <c r="F1213" s="4">
        <f>ROUND(B1213/B1212-1,8)</f>
        <v/>
      </c>
      <c r="G1213" s="4">
        <f>ROUND(C1213/C1212-1,8)</f>
        <v/>
      </c>
      <c r="H1213" s="4">
        <f>ROUND(D1213/100/(DATE(YEAR(A1213)+1,1,1)-DATE(YEAR(A1213),1,1))*E1213,8)</f>
        <v/>
      </c>
      <c r="I1213" s="4">
        <f>ROUND(I1212*(1+F1213),8)</f>
        <v/>
      </c>
      <c r="J1213" s="4">
        <f>ROUND(J1212*(1+G1213),8)</f>
        <v/>
      </c>
      <c r="K1213" s="4">
        <f>ROUND(K1212+H1213,8)</f>
        <v/>
      </c>
      <c r="L1213" s="4">
        <f>ROUND(0.9*F1213+0.05*G1213+0.05*H1213,8)</f>
        <v/>
      </c>
    </row>
    <row r="1214">
      <c r="A1214" s="2" t="n">
        <v>45573</v>
      </c>
      <c r="B1214" s="8" t="n">
        <v>2353.96</v>
      </c>
      <c r="C1214" s="8" t="n">
        <v>129.2413</v>
      </c>
      <c r="D1214" s="8" t="n">
        <v>0.35</v>
      </c>
      <c r="E1214">
        <f>A1214-A1213</f>
        <v/>
      </c>
      <c r="F1214" s="4">
        <f>ROUND(B1214/B1213-1,8)</f>
        <v/>
      </c>
      <c r="G1214" s="4">
        <f>ROUND(C1214/C1213-1,8)</f>
        <v/>
      </c>
      <c r="H1214" s="4">
        <f>ROUND(D1214/100/(DATE(YEAR(A1214)+1,1,1)-DATE(YEAR(A1214),1,1))*E1214,8)</f>
        <v/>
      </c>
      <c r="I1214" s="4">
        <f>ROUND(I1213*(1+F1214),8)</f>
        <v/>
      </c>
      <c r="J1214" s="4">
        <f>ROUND(J1213*(1+G1214),8)</f>
        <v/>
      </c>
      <c r="K1214" s="4">
        <f>ROUND(K1213+H1214,8)</f>
        <v/>
      </c>
      <c r="L1214" s="4">
        <f>ROUND(0.9*F1214+0.05*G1214+0.05*H1214,8)</f>
        <v/>
      </c>
    </row>
    <row r="1215">
      <c r="A1215" s="2" t="n">
        <v>45574</v>
      </c>
      <c r="B1215" s="8" t="n">
        <v>2133.56</v>
      </c>
      <c r="C1215" s="8" t="n">
        <v>129.2313</v>
      </c>
      <c r="D1215" s="8" t="n">
        <v>0.35</v>
      </c>
      <c r="E1215">
        <f>A1215-A1214</f>
        <v/>
      </c>
      <c r="F1215" s="4">
        <f>ROUND(B1215/B1214-1,8)</f>
        <v/>
      </c>
      <c r="G1215" s="4">
        <f>ROUND(C1215/C1214-1,8)</f>
        <v/>
      </c>
      <c r="H1215" s="4">
        <f>ROUND(D1215/100/(DATE(YEAR(A1215)+1,1,1)-DATE(YEAR(A1215),1,1))*E1215,8)</f>
        <v/>
      </c>
      <c r="I1215" s="4">
        <f>ROUND(I1214*(1+F1215),8)</f>
        <v/>
      </c>
      <c r="J1215" s="4">
        <f>ROUND(J1214*(1+G1215),8)</f>
        <v/>
      </c>
      <c r="K1215" s="4">
        <f>ROUND(K1214+H1215,8)</f>
        <v/>
      </c>
      <c r="L1215" s="4">
        <f>ROUND(0.9*F1215+0.05*G1215+0.05*H1215,8)</f>
        <v/>
      </c>
    </row>
    <row r="1216">
      <c r="A1216" s="2" t="n">
        <v>45575</v>
      </c>
      <c r="B1216" s="8" t="n">
        <v>2131.27</v>
      </c>
      <c r="C1216" s="8" t="n">
        <v>129.514</v>
      </c>
      <c r="D1216" s="8" t="n">
        <v>0.35</v>
      </c>
      <c r="E1216">
        <f>A1216-A1215</f>
        <v/>
      </c>
      <c r="F1216" s="4">
        <f>ROUND(B1216/B1215-1,8)</f>
        <v/>
      </c>
      <c r="G1216" s="4">
        <f>ROUND(C1216/C1215-1,8)</f>
        <v/>
      </c>
      <c r="H1216" s="4">
        <f>ROUND(D1216/100/(DATE(YEAR(A1216)+1,1,1)-DATE(YEAR(A1216),1,1))*E1216,8)</f>
        <v/>
      </c>
      <c r="I1216" s="4">
        <f>ROUND(I1215*(1+F1216),8)</f>
        <v/>
      </c>
      <c r="J1216" s="4">
        <f>ROUND(J1215*(1+G1216),8)</f>
        <v/>
      </c>
      <c r="K1216" s="4">
        <f>ROUND(K1215+H1216,8)</f>
        <v/>
      </c>
      <c r="L1216" s="4">
        <f>ROUND(0.9*F1216+0.05*G1216+0.05*H1216,8)</f>
        <v/>
      </c>
    </row>
    <row r="1217">
      <c r="A1217" s="2" t="n">
        <v>45576</v>
      </c>
      <c r="B1217" s="8" t="n">
        <v>2046.31</v>
      </c>
      <c r="C1217" s="8" t="n">
        <v>129.6606</v>
      </c>
      <c r="D1217" s="8" t="n">
        <v>0.35</v>
      </c>
      <c r="E1217">
        <f>A1217-A1216</f>
        <v/>
      </c>
      <c r="F1217" s="4">
        <f>ROUND(B1217/B1216-1,8)</f>
        <v/>
      </c>
      <c r="G1217" s="4">
        <f>ROUND(C1217/C1216-1,8)</f>
        <v/>
      </c>
      <c r="H1217" s="4">
        <f>ROUND(D1217/100/(DATE(YEAR(A1217)+1,1,1)-DATE(YEAR(A1217),1,1))*E1217,8)</f>
        <v/>
      </c>
      <c r="I1217" s="4">
        <f>ROUND(I1216*(1+F1217),8)</f>
        <v/>
      </c>
      <c r="J1217" s="4">
        <f>ROUND(J1216*(1+G1217),8)</f>
        <v/>
      </c>
      <c r="K1217" s="4">
        <f>ROUND(K1216+H1217,8)</f>
        <v/>
      </c>
      <c r="L1217" s="4">
        <f>ROUND(0.9*F1217+0.05*G1217+0.05*H1217,8)</f>
        <v/>
      </c>
    </row>
    <row r="1218">
      <c r="A1218" s="2" t="n">
        <v>45579</v>
      </c>
      <c r="B1218" s="8" t="n">
        <v>2121.24</v>
      </c>
      <c r="C1218" s="8" t="n">
        <v>129.6875</v>
      </c>
      <c r="D1218" s="8" t="n">
        <v>0.35</v>
      </c>
      <c r="E1218">
        <f>A1218-A1217</f>
        <v/>
      </c>
      <c r="F1218" s="4">
        <f>ROUND(B1218/B1217-1,8)</f>
        <v/>
      </c>
      <c r="G1218" s="4">
        <f>ROUND(C1218/C1217-1,8)</f>
        <v/>
      </c>
      <c r="H1218" s="4">
        <f>ROUND(D1218/100/(DATE(YEAR(A1218)+1,1,1)-DATE(YEAR(A1218),1,1))*E1218,8)</f>
        <v/>
      </c>
      <c r="I1218" s="4">
        <f>ROUND(I1217*(1+F1218),8)</f>
        <v/>
      </c>
      <c r="J1218" s="4">
        <f>ROUND(J1217*(1+G1218),8)</f>
        <v/>
      </c>
      <c r="K1218" s="4">
        <f>ROUND(K1217+H1218,8)</f>
        <v/>
      </c>
      <c r="L1218" s="4">
        <f>ROUND(0.9*F1218+0.05*G1218+0.05*H1218,8)</f>
        <v/>
      </c>
    </row>
    <row r="1219">
      <c r="A1219" s="2" t="n">
        <v>45580</v>
      </c>
      <c r="B1219" s="8" t="n">
        <v>2096.42</v>
      </c>
      <c r="C1219" s="8" t="n">
        <v>129.6867</v>
      </c>
      <c r="D1219" s="8" t="n">
        <v>0.35</v>
      </c>
      <c r="E1219">
        <f>A1219-A1218</f>
        <v/>
      </c>
      <c r="F1219" s="4">
        <f>ROUND(B1219/B1218-1,8)</f>
        <v/>
      </c>
      <c r="G1219" s="4">
        <f>ROUND(C1219/C1218-1,8)</f>
        <v/>
      </c>
      <c r="H1219" s="4">
        <f>ROUND(D1219/100/(DATE(YEAR(A1219)+1,1,1)-DATE(YEAR(A1219),1,1))*E1219,8)</f>
        <v/>
      </c>
      <c r="I1219" s="4">
        <f>ROUND(I1218*(1+F1219),8)</f>
        <v/>
      </c>
      <c r="J1219" s="4">
        <f>ROUND(J1218*(1+G1219),8)</f>
        <v/>
      </c>
      <c r="K1219" s="4">
        <f>ROUND(K1218+H1219,8)</f>
        <v/>
      </c>
      <c r="L1219" s="4">
        <f>ROUND(0.9*F1219+0.05*G1219+0.05*H1219,8)</f>
        <v/>
      </c>
    </row>
    <row r="1220">
      <c r="A1220" s="2" t="n">
        <v>45581</v>
      </c>
      <c r="B1220" s="8" t="n">
        <v>2108.04</v>
      </c>
      <c r="C1220" s="8" t="n">
        <v>129.6984</v>
      </c>
      <c r="D1220" s="8" t="n">
        <v>0.35</v>
      </c>
      <c r="E1220">
        <f>A1220-A1219</f>
        <v/>
      </c>
      <c r="F1220" s="4">
        <f>ROUND(B1220/B1219-1,8)</f>
        <v/>
      </c>
      <c r="G1220" s="4">
        <f>ROUND(C1220/C1219-1,8)</f>
        <v/>
      </c>
      <c r="H1220" s="4">
        <f>ROUND(D1220/100/(DATE(YEAR(A1220)+1,1,1)-DATE(YEAR(A1220),1,1))*E1220,8)</f>
        <v/>
      </c>
      <c r="I1220" s="4">
        <f>ROUND(I1219*(1+F1220),8)</f>
        <v/>
      </c>
      <c r="J1220" s="4">
        <f>ROUND(J1219*(1+G1220),8)</f>
        <v/>
      </c>
      <c r="K1220" s="4">
        <f>ROUND(K1219+H1220,8)</f>
        <v/>
      </c>
      <c r="L1220" s="4">
        <f>ROUND(0.9*F1220+0.05*G1220+0.05*H1220,8)</f>
        <v/>
      </c>
    </row>
    <row r="1221">
      <c r="A1221" s="2" t="n">
        <v>45582</v>
      </c>
      <c r="B1221" s="8" t="n">
        <v>2106.25</v>
      </c>
      <c r="C1221" s="8" t="n">
        <v>129.7905</v>
      </c>
      <c r="D1221" s="8" t="n">
        <v>0.35</v>
      </c>
      <c r="E1221">
        <f>A1221-A1220</f>
        <v/>
      </c>
      <c r="F1221" s="4">
        <f>ROUND(B1221/B1220-1,8)</f>
        <v/>
      </c>
      <c r="G1221" s="4">
        <f>ROUND(C1221/C1220-1,8)</f>
        <v/>
      </c>
      <c r="H1221" s="4">
        <f>ROUND(D1221/100/(DATE(YEAR(A1221)+1,1,1)-DATE(YEAR(A1221),1,1))*E1221,8)</f>
        <v/>
      </c>
      <c r="I1221" s="4">
        <f>ROUND(I1220*(1+F1221),8)</f>
        <v/>
      </c>
      <c r="J1221" s="4">
        <f>ROUND(J1220*(1+G1221),8)</f>
        <v/>
      </c>
      <c r="K1221" s="4">
        <f>ROUND(K1220+H1221,8)</f>
        <v/>
      </c>
      <c r="L1221" s="4">
        <f>ROUND(0.9*F1221+0.05*G1221+0.05*H1221,8)</f>
        <v/>
      </c>
    </row>
    <row r="1222">
      <c r="A1222" s="2" t="n">
        <v>45583</v>
      </c>
      <c r="B1222" s="8" t="n">
        <v>2170.76</v>
      </c>
      <c r="C1222" s="8" t="n">
        <v>129.7845</v>
      </c>
      <c r="D1222" s="8" t="n">
        <v>0.35</v>
      </c>
      <c r="E1222">
        <f>A1222-A1221</f>
        <v/>
      </c>
      <c r="F1222" s="4">
        <f>ROUND(B1222/B1221-1,8)</f>
        <v/>
      </c>
      <c r="G1222" s="4">
        <f>ROUND(C1222/C1221-1,8)</f>
        <v/>
      </c>
      <c r="H1222" s="4">
        <f>ROUND(D1222/100/(DATE(YEAR(A1222)+1,1,1)-DATE(YEAR(A1222),1,1))*E1222,8)</f>
        <v/>
      </c>
      <c r="I1222" s="4">
        <f>ROUND(I1221*(1+F1222),8)</f>
        <v/>
      </c>
      <c r="J1222" s="4">
        <f>ROUND(J1221*(1+G1222),8)</f>
        <v/>
      </c>
      <c r="K1222" s="4">
        <f>ROUND(K1221+H1222,8)</f>
        <v/>
      </c>
      <c r="L1222" s="4">
        <f>ROUND(0.9*F1222+0.05*G1222+0.05*H1222,8)</f>
        <v/>
      </c>
    </row>
    <row r="1223">
      <c r="A1223" s="2" t="n">
        <v>45586</v>
      </c>
      <c r="B1223" s="8" t="n">
        <v>2225.87</v>
      </c>
      <c r="C1223" s="8" t="n">
        <v>129.7299</v>
      </c>
      <c r="D1223" s="8" t="n">
        <v>0.35</v>
      </c>
      <c r="E1223">
        <f>A1223-A1222</f>
        <v/>
      </c>
      <c r="F1223" s="4">
        <f>ROUND(B1223/B1222-1,8)</f>
        <v/>
      </c>
      <c r="G1223" s="4">
        <f>ROUND(C1223/C1222-1,8)</f>
        <v/>
      </c>
      <c r="H1223" s="4">
        <f>ROUND(D1223/100/(DATE(YEAR(A1223)+1,1,1)-DATE(YEAR(A1223),1,1))*E1223,8)</f>
        <v/>
      </c>
      <c r="I1223" s="4">
        <f>ROUND(I1222*(1+F1223),8)</f>
        <v/>
      </c>
      <c r="J1223" s="4">
        <f>ROUND(J1222*(1+G1223),8)</f>
        <v/>
      </c>
      <c r="K1223" s="4">
        <f>ROUND(K1222+H1223,8)</f>
        <v/>
      </c>
      <c r="L1223" s="4">
        <f>ROUND(0.9*F1223+0.05*G1223+0.05*H1223,8)</f>
        <v/>
      </c>
    </row>
    <row r="1224">
      <c r="A1224" s="2" t="n">
        <v>45587</v>
      </c>
      <c r="B1224" s="8" t="n">
        <v>2245.3</v>
      </c>
      <c r="C1224" s="8" t="n">
        <v>129.6053</v>
      </c>
      <c r="D1224" s="8" t="n">
        <v>0.35</v>
      </c>
      <c r="E1224">
        <f>A1224-A1223</f>
        <v/>
      </c>
      <c r="F1224" s="4">
        <f>ROUND(B1224/B1223-1,8)</f>
        <v/>
      </c>
      <c r="G1224" s="4">
        <f>ROUND(C1224/C1223-1,8)</f>
        <v/>
      </c>
      <c r="H1224" s="4">
        <f>ROUND(D1224/100/(DATE(YEAR(A1224)+1,1,1)-DATE(YEAR(A1224),1,1))*E1224,8)</f>
        <v/>
      </c>
      <c r="I1224" s="4">
        <f>ROUND(I1223*(1+F1224),8)</f>
        <v/>
      </c>
      <c r="J1224" s="4">
        <f>ROUND(J1223*(1+G1224),8)</f>
        <v/>
      </c>
      <c r="K1224" s="4">
        <f>ROUND(K1223+H1224,8)</f>
        <v/>
      </c>
      <c r="L1224" s="4">
        <f>ROUND(0.9*F1224+0.05*G1224+0.05*H1224,8)</f>
        <v/>
      </c>
    </row>
    <row r="1225">
      <c r="A1225" s="2" t="n">
        <v>45588</v>
      </c>
      <c r="B1225" s="8" t="n">
        <v>2246.44</v>
      </c>
      <c r="C1225" s="8" t="n">
        <v>129.457</v>
      </c>
      <c r="D1225" s="8" t="n">
        <v>0.35</v>
      </c>
      <c r="E1225">
        <f>A1225-A1224</f>
        <v/>
      </c>
      <c r="F1225" s="4">
        <f>ROUND(B1225/B1224-1,8)</f>
        <v/>
      </c>
      <c r="G1225" s="4">
        <f>ROUND(C1225/C1224-1,8)</f>
        <v/>
      </c>
      <c r="H1225" s="4">
        <f>ROUND(D1225/100/(DATE(YEAR(A1225)+1,1,1)-DATE(YEAR(A1225),1,1))*E1225,8)</f>
        <v/>
      </c>
      <c r="I1225" s="4">
        <f>ROUND(I1224*(1+F1225),8)</f>
        <v/>
      </c>
      <c r="J1225" s="4">
        <f>ROUND(J1224*(1+G1225),8)</f>
        <v/>
      </c>
      <c r="K1225" s="4">
        <f>ROUND(K1224+H1225,8)</f>
        <v/>
      </c>
      <c r="L1225" s="4">
        <f>ROUND(0.9*F1225+0.05*G1225+0.05*H1225,8)</f>
        <v/>
      </c>
    </row>
    <row r="1226">
      <c r="A1226" s="2" t="n">
        <v>45589</v>
      </c>
      <c r="B1226" s="8" t="n">
        <v>2244.96</v>
      </c>
      <c r="C1226" s="8" t="n">
        <v>129.4521</v>
      </c>
      <c r="D1226" s="8" t="n">
        <v>0.35</v>
      </c>
      <c r="E1226">
        <f>A1226-A1225</f>
        <v/>
      </c>
      <c r="F1226" s="4">
        <f>ROUND(B1226/B1225-1,8)</f>
        <v/>
      </c>
      <c r="G1226" s="4">
        <f>ROUND(C1226/C1225-1,8)</f>
        <v/>
      </c>
      <c r="H1226" s="4">
        <f>ROUND(D1226/100/(DATE(YEAR(A1226)+1,1,1)-DATE(YEAR(A1226),1,1))*E1226,8)</f>
        <v/>
      </c>
      <c r="I1226" s="4">
        <f>ROUND(I1225*(1+F1226),8)</f>
        <v/>
      </c>
      <c r="J1226" s="4">
        <f>ROUND(J1225*(1+G1226),8)</f>
        <v/>
      </c>
      <c r="K1226" s="4">
        <f>ROUND(K1225+H1226,8)</f>
        <v/>
      </c>
      <c r="L1226" s="4">
        <f>ROUND(0.9*F1226+0.05*G1226+0.05*H1226,8)</f>
        <v/>
      </c>
    </row>
    <row r="1227">
      <c r="A1227" s="2" t="n">
        <v>45590</v>
      </c>
      <c r="B1227" s="8" t="n">
        <v>2298.27</v>
      </c>
      <c r="C1227" s="8" t="n">
        <v>129.3781</v>
      </c>
      <c r="D1227" s="8" t="n">
        <v>0.35</v>
      </c>
      <c r="E1227">
        <f>A1227-A1226</f>
        <v/>
      </c>
      <c r="F1227" s="4">
        <f>ROUND(B1227/B1226-1,8)</f>
        <v/>
      </c>
      <c r="G1227" s="4">
        <f>ROUND(C1227/C1226-1,8)</f>
        <v/>
      </c>
      <c r="H1227" s="4">
        <f>ROUND(D1227/100/(DATE(YEAR(A1227)+1,1,1)-DATE(YEAR(A1227),1,1))*E1227,8)</f>
        <v/>
      </c>
      <c r="I1227" s="4">
        <f>ROUND(I1226*(1+F1227),8)</f>
        <v/>
      </c>
      <c r="J1227" s="4">
        <f>ROUND(J1226*(1+G1227),8)</f>
        <v/>
      </c>
      <c r="K1227" s="4">
        <f>ROUND(K1226+H1227,8)</f>
        <v/>
      </c>
      <c r="L1227" s="4">
        <f>ROUND(0.9*F1227+0.05*G1227+0.05*H1227,8)</f>
        <v/>
      </c>
    </row>
    <row r="1228">
      <c r="A1228" s="2" t="n">
        <v>45593</v>
      </c>
      <c r="B1228" s="8" t="n">
        <v>2366.57</v>
      </c>
      <c r="C1228" s="8" t="n">
        <v>129.2636</v>
      </c>
      <c r="D1228" s="8" t="n">
        <v>0.35</v>
      </c>
      <c r="E1228">
        <f>A1228-A1227</f>
        <v/>
      </c>
      <c r="F1228" s="4">
        <f>ROUND(B1228/B1227-1,8)</f>
        <v/>
      </c>
      <c r="G1228" s="4">
        <f>ROUND(C1228/C1227-1,8)</f>
        <v/>
      </c>
      <c r="H1228" s="4">
        <f>ROUND(D1228/100/(DATE(YEAR(A1228)+1,1,1)-DATE(YEAR(A1228),1,1))*E1228,8)</f>
        <v/>
      </c>
      <c r="I1228" s="4">
        <f>ROUND(I1227*(1+F1228),8)</f>
        <v/>
      </c>
      <c r="J1228" s="4">
        <f>ROUND(J1227*(1+G1228),8)</f>
        <v/>
      </c>
      <c r="K1228" s="4">
        <f>ROUND(K1227+H1228,8)</f>
        <v/>
      </c>
      <c r="L1228" s="4">
        <f>ROUND(0.9*F1228+0.05*G1228+0.05*H1228,8)</f>
        <v/>
      </c>
    </row>
    <row r="1229">
      <c r="A1229" s="2" t="n">
        <v>45594</v>
      </c>
      <c r="B1229" s="8" t="n">
        <v>2321.33</v>
      </c>
      <c r="C1229" s="8" t="n">
        <v>129.2865</v>
      </c>
      <c r="D1229" s="8" t="n">
        <v>0.35</v>
      </c>
      <c r="E1229">
        <f>A1229-A1228</f>
        <v/>
      </c>
      <c r="F1229" s="4">
        <f>ROUND(B1229/B1228-1,8)</f>
        <v/>
      </c>
      <c r="G1229" s="4">
        <f>ROUND(C1229/C1228-1,8)</f>
        <v/>
      </c>
      <c r="H1229" s="4">
        <f>ROUND(D1229/100/(DATE(YEAR(A1229)+1,1,1)-DATE(YEAR(A1229),1,1))*E1229,8)</f>
        <v/>
      </c>
      <c r="I1229" s="4">
        <f>ROUND(I1228*(1+F1229),8)</f>
        <v/>
      </c>
      <c r="J1229" s="4">
        <f>ROUND(J1228*(1+G1229),8)</f>
        <v/>
      </c>
      <c r="K1229" s="4">
        <f>ROUND(K1228+H1229,8)</f>
        <v/>
      </c>
      <c r="L1229" s="4">
        <f>ROUND(0.9*F1229+0.05*G1229+0.05*H1229,8)</f>
        <v/>
      </c>
    </row>
    <row r="1230">
      <c r="A1230" s="2" t="n">
        <v>45595</v>
      </c>
      <c r="B1230" s="8" t="n">
        <v>2334.16</v>
      </c>
      <c r="C1230" s="8" t="n">
        <v>129.2996</v>
      </c>
      <c r="D1230" s="8" t="n">
        <v>0.35</v>
      </c>
      <c r="E1230">
        <f>A1230-A1229</f>
        <v/>
      </c>
      <c r="F1230" s="4">
        <f>ROUND(B1230/B1229-1,8)</f>
        <v/>
      </c>
      <c r="G1230" s="4">
        <f>ROUND(C1230/C1229-1,8)</f>
        <v/>
      </c>
      <c r="H1230" s="4">
        <f>ROUND(D1230/100/(DATE(YEAR(A1230)+1,1,1)-DATE(YEAR(A1230),1,1))*E1230,8)</f>
        <v/>
      </c>
      <c r="I1230" s="4">
        <f>ROUND(I1229*(1+F1230),8)</f>
        <v/>
      </c>
      <c r="J1230" s="4">
        <f>ROUND(J1229*(1+G1230),8)</f>
        <v/>
      </c>
      <c r="K1230" s="4">
        <f>ROUND(K1229+H1230,8)</f>
        <v/>
      </c>
      <c r="L1230" s="4">
        <f>ROUND(0.9*F1230+0.05*G1230+0.05*H1230,8)</f>
        <v/>
      </c>
    </row>
    <row r="1231">
      <c r="A1231" s="2" t="n">
        <v>45596</v>
      </c>
      <c r="B1231" s="8" t="n">
        <v>2377</v>
      </c>
      <c r="C1231" s="8" t="n">
        <v>129.34</v>
      </c>
      <c r="D1231" s="8" t="n">
        <v>0.35</v>
      </c>
      <c r="E1231">
        <f>A1231-A1230</f>
        <v/>
      </c>
      <c r="F1231" s="4">
        <f>ROUND(B1231/B1230-1,8)</f>
        <v/>
      </c>
      <c r="G1231" s="4">
        <f>ROUND(C1231/C1230-1,8)</f>
        <v/>
      </c>
      <c r="H1231" s="4">
        <f>ROUND(D1231/100/(DATE(YEAR(A1231)+1,1,1)-DATE(YEAR(A1231),1,1))*E1231,8)</f>
        <v/>
      </c>
      <c r="I1231" s="4">
        <f>ROUND(I1230*(1+F1231),8)</f>
        <v/>
      </c>
      <c r="J1231" s="4">
        <f>ROUND(J1230*(1+G1231),8)</f>
        <v/>
      </c>
      <c r="K1231" s="4">
        <f>ROUND(K1230+H1231,8)</f>
        <v/>
      </c>
      <c r="L1231" s="4">
        <f>ROUND(0.9*F1231+0.05*G1231+0.05*H1231,8)</f>
        <v/>
      </c>
    </row>
    <row r="1232">
      <c r="A1232" s="2" t="n">
        <v>45597</v>
      </c>
      <c r="B1232" s="8" t="n">
        <v>2274.57</v>
      </c>
      <c r="C1232" s="8" t="n">
        <v>129.4571</v>
      </c>
      <c r="D1232" s="8" t="n">
        <v>0.35</v>
      </c>
      <c r="E1232">
        <f>A1232-A1231</f>
        <v/>
      </c>
      <c r="F1232" s="4">
        <f>ROUND(B1232/B1231-1,8)</f>
        <v/>
      </c>
      <c r="G1232" s="4">
        <f>ROUND(C1232/C1231-1,8)</f>
        <v/>
      </c>
      <c r="H1232" s="4">
        <f>ROUND(D1232/100/(DATE(YEAR(A1232)+1,1,1)-DATE(YEAR(A1232),1,1))*E1232,8)</f>
        <v/>
      </c>
      <c r="I1232" s="4">
        <f>ROUND(I1231*(1+F1232),8)</f>
        <v/>
      </c>
      <c r="J1232" s="4">
        <f>ROUND(J1231*(1+G1232),8)</f>
        <v/>
      </c>
      <c r="K1232" s="4">
        <f>ROUND(K1231+H1232,8)</f>
        <v/>
      </c>
      <c r="L1232" s="4">
        <f>ROUND(0.9*F1232+0.05*G1232+0.05*H1232,8)</f>
        <v/>
      </c>
    </row>
    <row r="1233">
      <c r="A1233" s="2" t="n">
        <v>45600</v>
      </c>
      <c r="B1233" s="8" t="n">
        <v>2321.08</v>
      </c>
      <c r="C1233" s="8" t="n">
        <v>129.5219</v>
      </c>
      <c r="D1233" s="8" t="n">
        <v>0.35</v>
      </c>
      <c r="E1233">
        <f>A1233-A1232</f>
        <v/>
      </c>
      <c r="F1233" s="4">
        <f>ROUND(B1233/B1232-1,8)</f>
        <v/>
      </c>
      <c r="G1233" s="4">
        <f>ROUND(C1233/C1232-1,8)</f>
        <v/>
      </c>
      <c r="H1233" s="4">
        <f>ROUND(D1233/100/(DATE(YEAR(A1233)+1,1,1)-DATE(YEAR(A1233),1,1))*E1233,8)</f>
        <v/>
      </c>
      <c r="I1233" s="4">
        <f>ROUND(I1232*(1+F1233),8)</f>
        <v/>
      </c>
      <c r="J1233" s="4">
        <f>ROUND(J1232*(1+G1233),8)</f>
        <v/>
      </c>
      <c r="K1233" s="4">
        <f>ROUND(K1232+H1233,8)</f>
        <v/>
      </c>
      <c r="L1233" s="4">
        <f>ROUND(0.9*F1233+0.05*G1233+0.05*H1233,8)</f>
        <v/>
      </c>
    </row>
    <row r="1234">
      <c r="A1234" s="2" t="n">
        <v>45601</v>
      </c>
      <c r="B1234" s="8" t="n">
        <v>2395.1</v>
      </c>
      <c r="C1234" s="8" t="n">
        <v>129.5674</v>
      </c>
      <c r="D1234" s="8" t="n">
        <v>0.35</v>
      </c>
      <c r="E1234">
        <f>A1234-A1233</f>
        <v/>
      </c>
      <c r="F1234" s="4">
        <f>ROUND(B1234/B1233-1,8)</f>
        <v/>
      </c>
      <c r="G1234" s="4">
        <f>ROUND(C1234/C1233-1,8)</f>
        <v/>
      </c>
      <c r="H1234" s="4">
        <f>ROUND(D1234/100/(DATE(YEAR(A1234)+1,1,1)-DATE(YEAR(A1234),1,1))*E1234,8)</f>
        <v/>
      </c>
      <c r="I1234" s="4">
        <f>ROUND(I1233*(1+F1234),8)</f>
        <v/>
      </c>
      <c r="J1234" s="4">
        <f>ROUND(J1233*(1+G1234),8)</f>
        <v/>
      </c>
      <c r="K1234" s="4">
        <f>ROUND(K1233+H1234,8)</f>
        <v/>
      </c>
      <c r="L1234" s="4">
        <f>ROUND(0.9*F1234+0.05*G1234+0.05*H1234,8)</f>
        <v/>
      </c>
    </row>
    <row r="1235">
      <c r="A1235" s="2" t="n">
        <v>45602</v>
      </c>
      <c r="B1235" s="8" t="n">
        <v>2416.59</v>
      </c>
      <c r="C1235" s="8" t="n">
        <v>129.6047</v>
      </c>
      <c r="D1235" s="8" t="n">
        <v>0.35</v>
      </c>
      <c r="E1235">
        <f>A1235-A1234</f>
        <v/>
      </c>
      <c r="F1235" s="4">
        <f>ROUND(B1235/B1234-1,8)</f>
        <v/>
      </c>
      <c r="G1235" s="4">
        <f>ROUND(C1235/C1234-1,8)</f>
        <v/>
      </c>
      <c r="H1235" s="4">
        <f>ROUND(D1235/100/(DATE(YEAR(A1235)+1,1,1)-DATE(YEAR(A1235),1,1))*E1235,8)</f>
        <v/>
      </c>
      <c r="I1235" s="4">
        <f>ROUND(I1234*(1+F1235),8)</f>
        <v/>
      </c>
      <c r="J1235" s="4">
        <f>ROUND(J1234*(1+G1235),8)</f>
        <v/>
      </c>
      <c r="K1235" s="4">
        <f>ROUND(K1234+H1235,8)</f>
        <v/>
      </c>
      <c r="L1235" s="4">
        <f>ROUND(0.9*F1235+0.05*G1235+0.05*H1235,8)</f>
        <v/>
      </c>
    </row>
    <row r="1236">
      <c r="A1236" s="2" t="n">
        <v>45603</v>
      </c>
      <c r="B1236" s="8" t="n">
        <v>2473.05</v>
      </c>
      <c r="C1236" s="8" t="n">
        <v>129.6669</v>
      </c>
      <c r="D1236" s="8" t="n">
        <v>0.35</v>
      </c>
      <c r="E1236">
        <f>A1236-A1235</f>
        <v/>
      </c>
      <c r="F1236" s="4">
        <f>ROUND(B1236/B1235-1,8)</f>
        <v/>
      </c>
      <c r="G1236" s="4">
        <f>ROUND(C1236/C1235-1,8)</f>
        <v/>
      </c>
      <c r="H1236" s="4">
        <f>ROUND(D1236/100/(DATE(YEAR(A1236)+1,1,1)-DATE(YEAR(A1236),1,1))*E1236,8)</f>
        <v/>
      </c>
      <c r="I1236" s="4">
        <f>ROUND(I1235*(1+F1236),8)</f>
        <v/>
      </c>
      <c r="J1236" s="4">
        <f>ROUND(J1235*(1+G1236),8)</f>
        <v/>
      </c>
      <c r="K1236" s="4">
        <f>ROUND(K1235+H1236,8)</f>
        <v/>
      </c>
      <c r="L1236" s="4">
        <f>ROUND(0.9*F1236+0.05*G1236+0.05*H1236,8)</f>
        <v/>
      </c>
    </row>
    <row r="1237">
      <c r="A1237" s="2" t="n">
        <v>45604</v>
      </c>
      <c r="B1237" s="8" t="n">
        <v>2482.12</v>
      </c>
      <c r="C1237" s="8" t="n">
        <v>129.7136</v>
      </c>
      <c r="D1237" s="8" t="n">
        <v>0.35</v>
      </c>
      <c r="E1237">
        <f>A1237-A1236</f>
        <v/>
      </c>
      <c r="F1237" s="4">
        <f>ROUND(B1237/B1236-1,8)</f>
        <v/>
      </c>
      <c r="G1237" s="4">
        <f>ROUND(C1237/C1236-1,8)</f>
        <v/>
      </c>
      <c r="H1237" s="4">
        <f>ROUND(D1237/100/(DATE(YEAR(A1237)+1,1,1)-DATE(YEAR(A1237),1,1))*E1237,8)</f>
        <v/>
      </c>
      <c r="I1237" s="4">
        <f>ROUND(I1236*(1+F1237),8)</f>
        <v/>
      </c>
      <c r="J1237" s="4">
        <f>ROUND(J1236*(1+G1237),8)</f>
        <v/>
      </c>
      <c r="K1237" s="4">
        <f>ROUND(K1236+H1237,8)</f>
        <v/>
      </c>
      <c r="L1237" s="4">
        <f>ROUND(0.9*F1237+0.05*G1237+0.05*H1237,8)</f>
        <v/>
      </c>
    </row>
    <row r="1238">
      <c r="A1238" s="2" t="n">
        <v>45607</v>
      </c>
      <c r="B1238" s="8" t="n">
        <v>2537.59</v>
      </c>
      <c r="C1238" s="8" t="n">
        <v>129.7591</v>
      </c>
      <c r="D1238" s="8" t="n">
        <v>0.35</v>
      </c>
      <c r="E1238">
        <f>A1238-A1237</f>
        <v/>
      </c>
      <c r="F1238" s="4">
        <f>ROUND(B1238/B1237-1,8)</f>
        <v/>
      </c>
      <c r="G1238" s="4">
        <f>ROUND(C1238/C1237-1,8)</f>
        <v/>
      </c>
      <c r="H1238" s="4">
        <f>ROUND(D1238/100/(DATE(YEAR(A1238)+1,1,1)-DATE(YEAR(A1238),1,1))*E1238,8)</f>
        <v/>
      </c>
      <c r="I1238" s="4">
        <f>ROUND(I1237*(1+F1238),8)</f>
        <v/>
      </c>
      <c r="J1238" s="4">
        <f>ROUND(J1237*(1+G1238),8)</f>
        <v/>
      </c>
      <c r="K1238" s="4">
        <f>ROUND(K1237+H1238,8)</f>
        <v/>
      </c>
      <c r="L1238" s="4">
        <f>ROUND(0.9*F1238+0.05*G1238+0.05*H1238,8)</f>
        <v/>
      </c>
    </row>
    <row r="1239">
      <c r="A1239" s="2" t="n">
        <v>45608</v>
      </c>
      <c r="B1239" s="8" t="n">
        <v>2507.42</v>
      </c>
      <c r="C1239" s="8" t="n">
        <v>129.8424</v>
      </c>
      <c r="D1239" s="8" t="n">
        <v>0.35</v>
      </c>
      <c r="E1239">
        <f>A1239-A1238</f>
        <v/>
      </c>
      <c r="F1239" s="4">
        <f>ROUND(B1239/B1238-1,8)</f>
        <v/>
      </c>
      <c r="G1239" s="4">
        <f>ROUND(C1239/C1238-1,8)</f>
        <v/>
      </c>
      <c r="H1239" s="4">
        <f>ROUND(D1239/100/(DATE(YEAR(A1239)+1,1,1)-DATE(YEAR(A1239),1,1))*E1239,8)</f>
        <v/>
      </c>
      <c r="I1239" s="4">
        <f>ROUND(I1238*(1+F1239),8)</f>
        <v/>
      </c>
      <c r="J1239" s="4">
        <f>ROUND(J1238*(1+G1239),8)</f>
        <v/>
      </c>
      <c r="K1239" s="4">
        <f>ROUND(K1238+H1239,8)</f>
        <v/>
      </c>
      <c r="L1239" s="4">
        <f>ROUND(0.9*F1239+0.05*G1239+0.05*H1239,8)</f>
        <v/>
      </c>
    </row>
    <row r="1240">
      <c r="A1240" s="2" t="n">
        <v>45609</v>
      </c>
      <c r="B1240" s="8" t="n">
        <v>2508.83</v>
      </c>
      <c r="C1240" s="8" t="n">
        <v>129.8386</v>
      </c>
      <c r="D1240" s="8" t="n">
        <v>0.35</v>
      </c>
      <c r="E1240">
        <f>A1240-A1239</f>
        <v/>
      </c>
      <c r="F1240" s="4">
        <f>ROUND(B1240/B1239-1,8)</f>
        <v/>
      </c>
      <c r="G1240" s="4">
        <f>ROUND(C1240/C1239-1,8)</f>
        <v/>
      </c>
      <c r="H1240" s="4">
        <f>ROUND(D1240/100/(DATE(YEAR(A1240)+1,1,1)-DATE(YEAR(A1240),1,1))*E1240,8)</f>
        <v/>
      </c>
      <c r="I1240" s="4">
        <f>ROUND(I1239*(1+F1240),8)</f>
        <v/>
      </c>
      <c r="J1240" s="4">
        <f>ROUND(J1239*(1+G1240),8)</f>
        <v/>
      </c>
      <c r="K1240" s="4">
        <f>ROUND(K1239+H1240,8)</f>
        <v/>
      </c>
      <c r="L1240" s="4">
        <f>ROUND(0.9*F1240+0.05*G1240+0.05*H1240,8)</f>
        <v/>
      </c>
    </row>
    <row r="1241">
      <c r="A1241" s="2" t="n">
        <v>45610</v>
      </c>
      <c r="B1241" s="8" t="n">
        <v>2430.58</v>
      </c>
      <c r="C1241" s="8" t="n">
        <v>129.8281</v>
      </c>
      <c r="D1241" s="8" t="n">
        <v>0.35</v>
      </c>
      <c r="E1241">
        <f>A1241-A1240</f>
        <v/>
      </c>
      <c r="F1241" s="4">
        <f>ROUND(B1241/B1240-1,8)</f>
        <v/>
      </c>
      <c r="G1241" s="4">
        <f>ROUND(C1241/C1240-1,8)</f>
        <v/>
      </c>
      <c r="H1241" s="4">
        <f>ROUND(D1241/100/(DATE(YEAR(A1241)+1,1,1)-DATE(YEAR(A1241),1,1))*E1241,8)</f>
        <v/>
      </c>
      <c r="I1241" s="4">
        <f>ROUND(I1240*(1+F1241),8)</f>
        <v/>
      </c>
      <c r="J1241" s="4">
        <f>ROUND(J1240*(1+G1241),8)</f>
        <v/>
      </c>
      <c r="K1241" s="4">
        <f>ROUND(K1240+H1241,8)</f>
        <v/>
      </c>
      <c r="L1241" s="4">
        <f>ROUND(0.9*F1241+0.05*G1241+0.05*H1241,8)</f>
        <v/>
      </c>
    </row>
    <row r="1242">
      <c r="A1242" s="2" t="n">
        <v>45611</v>
      </c>
      <c r="B1242" s="8" t="n">
        <v>2378</v>
      </c>
      <c r="C1242" s="8" t="n">
        <v>129.8087</v>
      </c>
      <c r="D1242" s="8" t="n">
        <v>0.35</v>
      </c>
      <c r="E1242">
        <f>A1242-A1241</f>
        <v/>
      </c>
      <c r="F1242" s="4">
        <f>ROUND(B1242/B1241-1,8)</f>
        <v/>
      </c>
      <c r="G1242" s="4">
        <f>ROUND(C1242/C1241-1,8)</f>
        <v/>
      </c>
      <c r="H1242" s="4">
        <f>ROUND(D1242/100/(DATE(YEAR(A1242)+1,1,1)-DATE(YEAR(A1242),1,1))*E1242,8)</f>
        <v/>
      </c>
      <c r="I1242" s="4">
        <f>ROUND(I1241*(1+F1242),8)</f>
        <v/>
      </c>
      <c r="J1242" s="4">
        <f>ROUND(J1241*(1+G1242),8)</f>
        <v/>
      </c>
      <c r="K1242" s="4">
        <f>ROUND(K1241+H1242,8)</f>
        <v/>
      </c>
      <c r="L1242" s="4">
        <f>ROUND(0.9*F1242+0.05*G1242+0.05*H1242,8)</f>
        <v/>
      </c>
    </row>
    <row r="1243">
      <c r="A1243" s="2" t="n">
        <v>45614</v>
      </c>
      <c r="B1243" s="8" t="n">
        <v>2307.78</v>
      </c>
      <c r="C1243" s="8" t="n">
        <v>129.6974</v>
      </c>
      <c r="D1243" s="8" t="n">
        <v>0.35</v>
      </c>
      <c r="E1243">
        <f>A1243-A1242</f>
        <v/>
      </c>
      <c r="F1243" s="4">
        <f>ROUND(B1243/B1242-1,8)</f>
        <v/>
      </c>
      <c r="G1243" s="4">
        <f>ROUND(C1243/C1242-1,8)</f>
        <v/>
      </c>
      <c r="H1243" s="4">
        <f>ROUND(D1243/100/(DATE(YEAR(A1243)+1,1,1)-DATE(YEAR(A1243),1,1))*E1243,8)</f>
        <v/>
      </c>
      <c r="I1243" s="4">
        <f>ROUND(I1242*(1+F1243),8)</f>
        <v/>
      </c>
      <c r="J1243" s="4">
        <f>ROUND(J1242*(1+G1243),8)</f>
        <v/>
      </c>
      <c r="K1243" s="4">
        <f>ROUND(K1242+H1243,8)</f>
        <v/>
      </c>
      <c r="L1243" s="4">
        <f>ROUND(0.9*F1243+0.05*G1243+0.05*H1243,8)</f>
        <v/>
      </c>
    </row>
    <row r="1244">
      <c r="A1244" s="2" t="n">
        <v>45615</v>
      </c>
      <c r="B1244" s="8" t="n">
        <v>2379.74</v>
      </c>
      <c r="C1244" s="8" t="n">
        <v>129.7018</v>
      </c>
      <c r="D1244" s="8" t="n">
        <v>0.35</v>
      </c>
      <c r="E1244">
        <f>A1244-A1243</f>
        <v/>
      </c>
      <c r="F1244" s="4">
        <f>ROUND(B1244/B1243-1,8)</f>
        <v/>
      </c>
      <c r="G1244" s="4">
        <f>ROUND(C1244/C1243-1,8)</f>
        <v/>
      </c>
      <c r="H1244" s="4">
        <f>ROUND(D1244/100/(DATE(YEAR(A1244)+1,1,1)-DATE(YEAR(A1244),1,1))*E1244,8)</f>
        <v/>
      </c>
      <c r="I1244" s="4">
        <f>ROUND(I1243*(1+F1244),8)</f>
        <v/>
      </c>
      <c r="J1244" s="4">
        <f>ROUND(J1243*(1+G1244),8)</f>
        <v/>
      </c>
      <c r="K1244" s="4">
        <f>ROUND(K1243+H1244,8)</f>
        <v/>
      </c>
      <c r="L1244" s="4">
        <f>ROUND(0.9*F1244+0.05*G1244+0.05*H1244,8)</f>
        <v/>
      </c>
    </row>
    <row r="1245">
      <c r="A1245" s="2" t="n">
        <v>45616</v>
      </c>
      <c r="B1245" s="8" t="n">
        <v>2445</v>
      </c>
      <c r="C1245" s="8" t="n">
        <v>129.6942</v>
      </c>
      <c r="D1245" s="8" t="n">
        <v>0.35</v>
      </c>
      <c r="E1245">
        <f>A1245-A1244</f>
        <v/>
      </c>
      <c r="F1245" s="4">
        <f>ROUND(B1245/B1244-1,8)</f>
        <v/>
      </c>
      <c r="G1245" s="4">
        <f>ROUND(C1245/C1244-1,8)</f>
        <v/>
      </c>
      <c r="H1245" s="4">
        <f>ROUND(D1245/100/(DATE(YEAR(A1245)+1,1,1)-DATE(YEAR(A1245),1,1))*E1245,8)</f>
        <v/>
      </c>
      <c r="I1245" s="4">
        <f>ROUND(I1244*(1+F1245),8)</f>
        <v/>
      </c>
      <c r="J1245" s="4">
        <f>ROUND(J1244*(1+G1245),8)</f>
        <v/>
      </c>
      <c r="K1245" s="4">
        <f>ROUND(K1244+H1245,8)</f>
        <v/>
      </c>
      <c r="L1245" s="4">
        <f>ROUND(0.9*F1245+0.05*G1245+0.05*H1245,8)</f>
        <v/>
      </c>
    </row>
    <row r="1246">
      <c r="A1246" s="2" t="n">
        <v>45617</v>
      </c>
      <c r="B1246" s="8" t="n">
        <v>2453.87</v>
      </c>
      <c r="C1246" s="8" t="n">
        <v>129.749</v>
      </c>
      <c r="D1246" s="8" t="n">
        <v>0.35</v>
      </c>
      <c r="E1246">
        <f>A1246-A1245</f>
        <v/>
      </c>
      <c r="F1246" s="4">
        <f>ROUND(B1246/B1245-1,8)</f>
        <v/>
      </c>
      <c r="G1246" s="4">
        <f>ROUND(C1246/C1245-1,8)</f>
        <v/>
      </c>
      <c r="H1246" s="4">
        <f>ROUND(D1246/100/(DATE(YEAR(A1246)+1,1,1)-DATE(YEAR(A1246),1,1))*E1246,8)</f>
        <v/>
      </c>
      <c r="I1246" s="4">
        <f>ROUND(I1245*(1+F1246),8)</f>
        <v/>
      </c>
      <c r="J1246" s="4">
        <f>ROUND(J1245*(1+G1246),8)</f>
        <v/>
      </c>
      <c r="K1246" s="4">
        <f>ROUND(K1245+H1246,8)</f>
        <v/>
      </c>
      <c r="L1246" s="4">
        <f>ROUND(0.9*F1246+0.05*G1246+0.05*H1246,8)</f>
        <v/>
      </c>
    </row>
    <row r="1247">
      <c r="A1247" s="2" t="n">
        <v>45618</v>
      </c>
      <c r="B1247" s="8" t="n">
        <v>2371.14</v>
      </c>
      <c r="C1247" s="8" t="n">
        <v>129.7905</v>
      </c>
      <c r="D1247" s="8" t="n">
        <v>0.35</v>
      </c>
      <c r="E1247">
        <f>A1247-A1246</f>
        <v/>
      </c>
      <c r="F1247" s="4">
        <f>ROUND(B1247/B1246-1,8)</f>
        <v/>
      </c>
      <c r="G1247" s="4">
        <f>ROUND(C1247/C1246-1,8)</f>
        <v/>
      </c>
      <c r="H1247" s="4">
        <f>ROUND(D1247/100/(DATE(YEAR(A1247)+1,1,1)-DATE(YEAR(A1247),1,1))*E1247,8)</f>
        <v/>
      </c>
      <c r="I1247" s="4">
        <f>ROUND(I1246*(1+F1247),8)</f>
        <v/>
      </c>
      <c r="J1247" s="4">
        <f>ROUND(J1246*(1+G1247),8)</f>
        <v/>
      </c>
      <c r="K1247" s="4">
        <f>ROUND(K1246+H1247,8)</f>
        <v/>
      </c>
      <c r="L1247" s="4">
        <f>ROUND(0.9*F1247+0.05*G1247+0.05*H1247,8)</f>
        <v/>
      </c>
    </row>
    <row r="1248">
      <c r="A1248" s="2" t="n">
        <v>45621</v>
      </c>
      <c r="B1248" s="8" t="n">
        <v>2407.85</v>
      </c>
      <c r="C1248" s="8" t="n">
        <v>129.8952</v>
      </c>
      <c r="D1248" s="8" t="n">
        <v>0.35</v>
      </c>
      <c r="E1248">
        <f>A1248-A1247</f>
        <v/>
      </c>
      <c r="F1248" s="4">
        <f>ROUND(B1248/B1247-1,8)</f>
        <v/>
      </c>
      <c r="G1248" s="4">
        <f>ROUND(C1248/C1247-1,8)</f>
        <v/>
      </c>
      <c r="H1248" s="4">
        <f>ROUND(D1248/100/(DATE(YEAR(A1248)+1,1,1)-DATE(YEAR(A1248),1,1))*E1248,8)</f>
        <v/>
      </c>
      <c r="I1248" s="4">
        <f>ROUND(I1247*(1+F1248),8)</f>
        <v/>
      </c>
      <c r="J1248" s="4">
        <f>ROUND(J1247*(1+G1248),8)</f>
        <v/>
      </c>
      <c r="K1248" s="4">
        <f>ROUND(K1247+H1248,8)</f>
        <v/>
      </c>
      <c r="L1248" s="4">
        <f>ROUND(0.9*F1248+0.05*G1248+0.05*H1248,8)</f>
        <v/>
      </c>
    </row>
    <row r="1249">
      <c r="A1249" s="2" t="n">
        <v>45622</v>
      </c>
      <c r="B1249" s="8" t="n">
        <v>2377.62</v>
      </c>
      <c r="C1249" s="8" t="n">
        <v>129.9643</v>
      </c>
      <c r="D1249" s="8" t="n">
        <v>0.35</v>
      </c>
      <c r="E1249">
        <f>A1249-A1248</f>
        <v/>
      </c>
      <c r="F1249" s="4">
        <f>ROUND(B1249/B1248-1,8)</f>
        <v/>
      </c>
      <c r="G1249" s="4">
        <f>ROUND(C1249/C1248-1,8)</f>
        <v/>
      </c>
      <c r="H1249" s="4">
        <f>ROUND(D1249/100/(DATE(YEAR(A1249)+1,1,1)-DATE(YEAR(A1249),1,1))*E1249,8)</f>
        <v/>
      </c>
      <c r="I1249" s="4">
        <f>ROUND(I1248*(1+F1249),8)</f>
        <v/>
      </c>
      <c r="J1249" s="4">
        <f>ROUND(J1248*(1+G1249),8)</f>
        <v/>
      </c>
      <c r="K1249" s="4">
        <f>ROUND(K1248+H1249,8)</f>
        <v/>
      </c>
      <c r="L1249" s="4">
        <f>ROUND(0.9*F1249+0.05*G1249+0.05*H1249,8)</f>
        <v/>
      </c>
    </row>
    <row r="1250">
      <c r="A1250" s="2" t="n">
        <v>45623</v>
      </c>
      <c r="B1250" s="8" t="n">
        <v>2418.58</v>
      </c>
      <c r="C1250" s="8" t="n">
        <v>130.0087</v>
      </c>
      <c r="D1250" s="8" t="n">
        <v>0.35</v>
      </c>
      <c r="E1250">
        <f>A1250-A1249</f>
        <v/>
      </c>
      <c r="F1250" s="4">
        <f>ROUND(B1250/B1249-1,8)</f>
        <v/>
      </c>
      <c r="G1250" s="4">
        <f>ROUND(C1250/C1249-1,8)</f>
        <v/>
      </c>
      <c r="H1250" s="4">
        <f>ROUND(D1250/100/(DATE(YEAR(A1250)+1,1,1)-DATE(YEAR(A1250),1,1))*E1250,8)</f>
        <v/>
      </c>
      <c r="I1250" s="4">
        <f>ROUND(I1249*(1+F1250),8)</f>
        <v/>
      </c>
      <c r="J1250" s="4">
        <f>ROUND(J1249*(1+G1250),8)</f>
        <v/>
      </c>
      <c r="K1250" s="4">
        <f>ROUND(K1249+H1250,8)</f>
        <v/>
      </c>
      <c r="L1250" s="4">
        <f>ROUND(0.9*F1250+0.05*G1250+0.05*H1250,8)</f>
        <v/>
      </c>
    </row>
    <row r="1251">
      <c r="A1251" s="2" t="n">
        <v>45624</v>
      </c>
      <c r="B1251" s="8" t="n">
        <v>2427.59</v>
      </c>
      <c r="C1251" s="8" t="n">
        <v>130.1122</v>
      </c>
      <c r="D1251" s="8" t="n">
        <v>0.35</v>
      </c>
      <c r="E1251">
        <f>A1251-A1250</f>
        <v/>
      </c>
      <c r="F1251" s="4">
        <f>ROUND(B1251/B1250-1,8)</f>
        <v/>
      </c>
      <c r="G1251" s="4">
        <f>ROUND(C1251/C1250-1,8)</f>
        <v/>
      </c>
      <c r="H1251" s="4">
        <f>ROUND(D1251/100/(DATE(YEAR(A1251)+1,1,1)-DATE(YEAR(A1251),1,1))*E1251,8)</f>
        <v/>
      </c>
      <c r="I1251" s="4">
        <f>ROUND(I1250*(1+F1251),8)</f>
        <v/>
      </c>
      <c r="J1251" s="4">
        <f>ROUND(J1250*(1+G1251),8)</f>
        <v/>
      </c>
      <c r="K1251" s="4">
        <f>ROUND(K1250+H1251,8)</f>
        <v/>
      </c>
      <c r="L1251" s="4">
        <f>ROUND(0.9*F1251+0.05*G1251+0.05*H1251,8)</f>
        <v/>
      </c>
    </row>
    <row r="1252">
      <c r="A1252" s="2" t="n">
        <v>45625</v>
      </c>
      <c r="B1252" s="8" t="n">
        <v>2471.13</v>
      </c>
      <c r="C1252" s="8" t="n">
        <v>130.2394</v>
      </c>
      <c r="D1252" s="8" t="n">
        <v>0.35</v>
      </c>
      <c r="E1252">
        <f>A1252-A1251</f>
        <v/>
      </c>
      <c r="F1252" s="4">
        <f>ROUND(B1252/B1251-1,8)</f>
        <v/>
      </c>
      <c r="G1252" s="4">
        <f>ROUND(C1252/C1251-1,8)</f>
        <v/>
      </c>
      <c r="H1252" s="4">
        <f>ROUND(D1252/100/(DATE(YEAR(A1252)+1,1,1)-DATE(YEAR(A1252),1,1))*E1252,8)</f>
        <v/>
      </c>
      <c r="I1252" s="4">
        <f>ROUND(I1251*(1+F1252),8)</f>
        <v/>
      </c>
      <c r="J1252" s="4">
        <f>ROUND(J1251*(1+G1252),8)</f>
        <v/>
      </c>
      <c r="K1252" s="4">
        <f>ROUND(K1251+H1252,8)</f>
        <v/>
      </c>
      <c r="L1252" s="4">
        <f>ROUND(0.9*F1252+0.05*G1252+0.05*H1252,8)</f>
        <v/>
      </c>
    </row>
    <row r="1253">
      <c r="A1253" s="2" t="n">
        <v>45628</v>
      </c>
      <c r="B1253" s="8" t="n">
        <v>2531.77</v>
      </c>
      <c r="C1253" s="8" t="n">
        <v>130.5584</v>
      </c>
      <c r="D1253" s="8" t="n">
        <v>0.35</v>
      </c>
      <c r="E1253">
        <f>A1253-A1252</f>
        <v/>
      </c>
      <c r="F1253" s="4">
        <f>ROUND(B1253/B1252-1,8)</f>
        <v/>
      </c>
      <c r="G1253" s="4">
        <f>ROUND(C1253/C1252-1,8)</f>
        <v/>
      </c>
      <c r="H1253" s="4">
        <f>ROUND(D1253/100/(DATE(YEAR(A1253)+1,1,1)-DATE(YEAR(A1253),1,1))*E1253,8)</f>
        <v/>
      </c>
      <c r="I1253" s="4">
        <f>ROUND(I1252*(1+F1253),8)</f>
        <v/>
      </c>
      <c r="J1253" s="4">
        <f>ROUND(J1252*(1+G1253),8)</f>
        <v/>
      </c>
      <c r="K1253" s="4">
        <f>ROUND(K1252+H1253,8)</f>
        <v/>
      </c>
      <c r="L1253" s="4">
        <f>ROUND(0.9*F1253+0.05*G1253+0.05*H1253,8)</f>
        <v/>
      </c>
    </row>
    <row r="1254">
      <c r="A1254" s="2" t="n">
        <v>45629</v>
      </c>
      <c r="B1254" s="8" t="n">
        <v>2540.51</v>
      </c>
      <c r="C1254" s="8" t="n">
        <v>130.5544</v>
      </c>
      <c r="D1254" s="8" t="n">
        <v>0.35</v>
      </c>
      <c r="E1254">
        <f>A1254-A1253</f>
        <v/>
      </c>
      <c r="F1254" s="4">
        <f>ROUND(B1254/B1253-1,8)</f>
        <v/>
      </c>
      <c r="G1254" s="4">
        <f>ROUND(C1254/C1253-1,8)</f>
        <v/>
      </c>
      <c r="H1254" s="4">
        <f>ROUND(D1254/100/(DATE(YEAR(A1254)+1,1,1)-DATE(YEAR(A1254),1,1))*E1254,8)</f>
        <v/>
      </c>
      <c r="I1254" s="4">
        <f>ROUND(I1253*(1+F1254),8)</f>
        <v/>
      </c>
      <c r="J1254" s="4">
        <f>ROUND(J1253*(1+G1254),8)</f>
        <v/>
      </c>
      <c r="K1254" s="4">
        <f>ROUND(K1253+H1254,8)</f>
        <v/>
      </c>
      <c r="L1254" s="4">
        <f>ROUND(0.9*F1254+0.05*G1254+0.05*H1254,8)</f>
        <v/>
      </c>
    </row>
    <row r="1255">
      <c r="A1255" s="2" t="n">
        <v>45630</v>
      </c>
      <c r="B1255" s="8" t="n">
        <v>2504.76</v>
      </c>
      <c r="C1255" s="8" t="n">
        <v>130.7242</v>
      </c>
      <c r="D1255" s="8" t="n">
        <v>0.35</v>
      </c>
      <c r="E1255">
        <f>A1255-A1254</f>
        <v/>
      </c>
      <c r="F1255" s="4">
        <f>ROUND(B1255/B1254-1,8)</f>
        <v/>
      </c>
      <c r="G1255" s="4">
        <f>ROUND(C1255/C1254-1,8)</f>
        <v/>
      </c>
      <c r="H1255" s="4">
        <f>ROUND(D1255/100/(DATE(YEAR(A1255)+1,1,1)-DATE(YEAR(A1255),1,1))*E1255,8)</f>
        <v/>
      </c>
      <c r="I1255" s="4">
        <f>ROUND(I1254*(1+F1255),8)</f>
        <v/>
      </c>
      <c r="J1255" s="4">
        <f>ROUND(J1254*(1+G1255),8)</f>
        <v/>
      </c>
      <c r="K1255" s="4">
        <f>ROUND(K1254+H1255,8)</f>
        <v/>
      </c>
      <c r="L1255" s="4">
        <f>ROUND(0.9*F1255+0.05*G1255+0.05*H1255,8)</f>
        <v/>
      </c>
    </row>
    <row r="1256">
      <c r="A1256" s="2" t="n">
        <v>45631</v>
      </c>
      <c r="B1256" s="8" t="n">
        <v>2547.42</v>
      </c>
      <c r="C1256" s="8" t="n">
        <v>130.7776</v>
      </c>
      <c r="D1256" s="8" t="n">
        <v>0.35</v>
      </c>
      <c r="E1256">
        <f>A1256-A1255</f>
        <v/>
      </c>
      <c r="F1256" s="4">
        <f>ROUND(B1256/B1255-1,8)</f>
        <v/>
      </c>
      <c r="G1256" s="4">
        <f>ROUND(C1256/C1255-1,8)</f>
        <v/>
      </c>
      <c r="H1256" s="4">
        <f>ROUND(D1256/100/(DATE(YEAR(A1256)+1,1,1)-DATE(YEAR(A1256),1,1))*E1256,8)</f>
        <v/>
      </c>
      <c r="I1256" s="4">
        <f>ROUND(I1255*(1+F1256),8)</f>
        <v/>
      </c>
      <c r="J1256" s="4">
        <f>ROUND(J1255*(1+G1256),8)</f>
        <v/>
      </c>
      <c r="K1256" s="4">
        <f>ROUND(K1255+H1256,8)</f>
        <v/>
      </c>
      <c r="L1256" s="4">
        <f>ROUND(0.9*F1256+0.05*G1256+0.05*H1256,8)</f>
        <v/>
      </c>
    </row>
    <row r="1257">
      <c r="A1257" s="2" t="n">
        <v>45632</v>
      </c>
      <c r="B1257" s="8" t="n">
        <v>2570.68</v>
      </c>
      <c r="C1257" s="8" t="n">
        <v>130.772</v>
      </c>
      <c r="D1257" s="8" t="n">
        <v>0.35</v>
      </c>
      <c r="E1257">
        <f>A1257-A1256</f>
        <v/>
      </c>
      <c r="F1257" s="4">
        <f>ROUND(B1257/B1256-1,8)</f>
        <v/>
      </c>
      <c r="G1257" s="4">
        <f>ROUND(C1257/C1256-1,8)</f>
        <v/>
      </c>
      <c r="H1257" s="4">
        <f>ROUND(D1257/100/(DATE(YEAR(A1257)+1,1,1)-DATE(YEAR(A1257),1,1))*E1257,8)</f>
        <v/>
      </c>
      <c r="I1257" s="4">
        <f>ROUND(I1256*(1+F1257),8)</f>
        <v/>
      </c>
      <c r="J1257" s="4">
        <f>ROUND(J1256*(1+G1257),8)</f>
        <v/>
      </c>
      <c r="K1257" s="4">
        <f>ROUND(K1256+H1257,8)</f>
        <v/>
      </c>
      <c r="L1257" s="4">
        <f>ROUND(0.9*F1257+0.05*G1257+0.05*H1257,8)</f>
        <v/>
      </c>
    </row>
    <row r="1258">
      <c r="A1258" s="2" t="n">
        <v>45635</v>
      </c>
      <c r="B1258" s="8" t="n">
        <v>2566.71</v>
      </c>
      <c r="C1258" s="8" t="n">
        <v>130.8608</v>
      </c>
      <c r="D1258" s="8" t="n">
        <v>0.35</v>
      </c>
      <c r="E1258">
        <f>A1258-A1257</f>
        <v/>
      </c>
      <c r="F1258" s="4">
        <f>ROUND(B1258/B1257-1,8)</f>
        <v/>
      </c>
      <c r="G1258" s="4">
        <f>ROUND(C1258/C1257-1,8)</f>
        <v/>
      </c>
      <c r="H1258" s="4">
        <f>ROUND(D1258/100/(DATE(YEAR(A1258)+1,1,1)-DATE(YEAR(A1258),1,1))*E1258,8)</f>
        <v/>
      </c>
      <c r="I1258" s="4">
        <f>ROUND(I1257*(1+F1258),8)</f>
        <v/>
      </c>
      <c r="J1258" s="4">
        <f>ROUND(J1257*(1+G1258),8)</f>
        <v/>
      </c>
      <c r="K1258" s="4">
        <f>ROUND(K1257+H1258,8)</f>
        <v/>
      </c>
      <c r="L1258" s="4">
        <f>ROUND(0.9*F1258+0.05*G1258+0.05*H1258,8)</f>
        <v/>
      </c>
    </row>
    <row r="1259">
      <c r="A1259" s="2" t="n">
        <v>45636</v>
      </c>
      <c r="B1259" s="8" t="n">
        <v>2592.37</v>
      </c>
      <c r="C1259" s="8" t="n">
        <v>131.3001</v>
      </c>
      <c r="D1259" s="8" t="n">
        <v>0.35</v>
      </c>
      <c r="E1259">
        <f>A1259-A1258</f>
        <v/>
      </c>
      <c r="F1259" s="4">
        <f>ROUND(B1259/B1258-1,8)</f>
        <v/>
      </c>
      <c r="G1259" s="4">
        <f>ROUND(C1259/C1258-1,8)</f>
        <v/>
      </c>
      <c r="H1259" s="4">
        <f>ROUND(D1259/100/(DATE(YEAR(A1259)+1,1,1)-DATE(YEAR(A1259),1,1))*E1259,8)</f>
        <v/>
      </c>
      <c r="I1259" s="4">
        <f>ROUND(I1258*(1+F1259),8)</f>
        <v/>
      </c>
      <c r="J1259" s="4">
        <f>ROUND(J1258*(1+G1259),8)</f>
        <v/>
      </c>
      <c r="K1259" s="4">
        <f>ROUND(K1258+H1259,8)</f>
        <v/>
      </c>
      <c r="L1259" s="4">
        <f>ROUND(0.9*F1259+0.05*G1259+0.05*H1259,8)</f>
        <v/>
      </c>
    </row>
    <row r="1260">
      <c r="A1260" s="2" t="n">
        <v>45637</v>
      </c>
      <c r="B1260" s="8" t="n">
        <v>2635.58</v>
      </c>
      <c r="C1260" s="8" t="n">
        <v>131.3421</v>
      </c>
      <c r="D1260" s="8" t="n">
        <v>0.35</v>
      </c>
      <c r="E1260">
        <f>A1260-A1259</f>
        <v/>
      </c>
      <c r="F1260" s="4">
        <f>ROUND(B1260/B1259-1,8)</f>
        <v/>
      </c>
      <c r="G1260" s="4">
        <f>ROUND(C1260/C1259-1,8)</f>
        <v/>
      </c>
      <c r="H1260" s="4">
        <f>ROUND(D1260/100/(DATE(YEAR(A1260)+1,1,1)-DATE(YEAR(A1260),1,1))*E1260,8)</f>
        <v/>
      </c>
      <c r="I1260" s="4">
        <f>ROUND(I1259*(1+F1260),8)</f>
        <v/>
      </c>
      <c r="J1260" s="4">
        <f>ROUND(J1259*(1+G1260),8)</f>
        <v/>
      </c>
      <c r="K1260" s="4">
        <f>ROUND(K1259+H1260,8)</f>
        <v/>
      </c>
      <c r="L1260" s="4">
        <f>ROUND(0.9*F1260+0.05*G1260+0.05*H1260,8)</f>
        <v/>
      </c>
    </row>
    <row r="1261">
      <c r="A1261" s="2" t="n">
        <v>45638</v>
      </c>
      <c r="B1261" s="8" t="n">
        <v>2663.79</v>
      </c>
      <c r="C1261" s="8" t="n">
        <v>131.4392</v>
      </c>
      <c r="D1261" s="8" t="n">
        <v>0.35</v>
      </c>
      <c r="E1261">
        <f>A1261-A1260</f>
        <v/>
      </c>
      <c r="F1261" s="4">
        <f>ROUND(B1261/B1260-1,8)</f>
        <v/>
      </c>
      <c r="G1261" s="4">
        <f>ROUND(C1261/C1260-1,8)</f>
        <v/>
      </c>
      <c r="H1261" s="4">
        <f>ROUND(D1261/100/(DATE(YEAR(A1261)+1,1,1)-DATE(YEAR(A1261),1,1))*E1261,8)</f>
        <v/>
      </c>
      <c r="I1261" s="4">
        <f>ROUND(I1260*(1+F1261),8)</f>
        <v/>
      </c>
      <c r="J1261" s="4">
        <f>ROUND(J1260*(1+G1261),8)</f>
        <v/>
      </c>
      <c r="K1261" s="4">
        <f>ROUND(K1260+H1261,8)</f>
        <v/>
      </c>
      <c r="L1261" s="4">
        <f>ROUND(0.9*F1261+0.05*G1261+0.05*H1261,8)</f>
        <v/>
      </c>
    </row>
    <row r="1262">
      <c r="A1262" s="2" t="n">
        <v>45639</v>
      </c>
      <c r="B1262" s="8" t="n">
        <v>2621.82</v>
      </c>
      <c r="C1262" s="8" t="n">
        <v>131.7447</v>
      </c>
      <c r="D1262" s="8" t="n">
        <v>0.35</v>
      </c>
      <c r="E1262">
        <f>A1262-A1261</f>
        <v/>
      </c>
      <c r="F1262" s="4">
        <f>ROUND(B1262/B1261-1,8)</f>
        <v/>
      </c>
      <c r="G1262" s="4">
        <f>ROUND(C1262/C1261-1,8)</f>
        <v/>
      </c>
      <c r="H1262" s="4">
        <f>ROUND(D1262/100/(DATE(YEAR(A1262)+1,1,1)-DATE(YEAR(A1262),1,1))*E1262,8)</f>
        <v/>
      </c>
      <c r="I1262" s="4">
        <f>ROUND(I1261*(1+F1262),8)</f>
        <v/>
      </c>
      <c r="J1262" s="4">
        <f>ROUND(J1261*(1+G1262),8)</f>
        <v/>
      </c>
      <c r="K1262" s="4">
        <f>ROUND(K1261+H1262,8)</f>
        <v/>
      </c>
      <c r="L1262" s="4">
        <f>ROUND(0.9*F1262+0.05*G1262+0.05*H1262,8)</f>
        <v/>
      </c>
    </row>
    <row r="1263">
      <c r="A1263" s="2" t="n">
        <v>45642</v>
      </c>
      <c r="B1263" s="8" t="n">
        <v>2602.43</v>
      </c>
      <c r="C1263" s="8" t="n">
        <v>132.0214</v>
      </c>
      <c r="D1263" s="8" t="n">
        <v>0.35</v>
      </c>
      <c r="E1263">
        <f>A1263-A1262</f>
        <v/>
      </c>
      <c r="F1263" s="4">
        <f>ROUND(B1263/B1262-1,8)</f>
        <v/>
      </c>
      <c r="G1263" s="4">
        <f>ROUND(C1263/C1262-1,8)</f>
        <v/>
      </c>
      <c r="H1263" s="4">
        <f>ROUND(D1263/100/(DATE(YEAR(A1263)+1,1,1)-DATE(YEAR(A1263),1,1))*E1263,8)</f>
        <v/>
      </c>
      <c r="I1263" s="4">
        <f>ROUND(I1262*(1+F1263),8)</f>
        <v/>
      </c>
      <c r="J1263" s="4">
        <f>ROUND(J1262*(1+G1263),8)</f>
        <v/>
      </c>
      <c r="K1263" s="4">
        <f>ROUND(K1262+H1263,8)</f>
        <v/>
      </c>
      <c r="L1263" s="4">
        <f>ROUND(0.9*F1263+0.05*G1263+0.05*H1263,8)</f>
        <v/>
      </c>
    </row>
    <row r="1264">
      <c r="A1264" s="2" t="n">
        <v>45643</v>
      </c>
      <c r="B1264" s="8" t="n">
        <v>2487.41</v>
      </c>
      <c r="C1264" s="8" t="n">
        <v>131.938</v>
      </c>
      <c r="D1264" s="8" t="n">
        <v>0.35</v>
      </c>
      <c r="E1264">
        <f>A1264-A1263</f>
        <v/>
      </c>
      <c r="F1264" s="4">
        <f>ROUND(B1264/B1263-1,8)</f>
        <v/>
      </c>
      <c r="G1264" s="4">
        <f>ROUND(C1264/C1263-1,8)</f>
        <v/>
      </c>
      <c r="H1264" s="4">
        <f>ROUND(D1264/100/(DATE(YEAR(A1264)+1,1,1)-DATE(YEAR(A1264),1,1))*E1264,8)</f>
        <v/>
      </c>
      <c r="I1264" s="4">
        <f>ROUND(I1263*(1+F1264),8)</f>
        <v/>
      </c>
      <c r="J1264" s="4">
        <f>ROUND(J1263*(1+G1264),8)</f>
        <v/>
      </c>
      <c r="K1264" s="4">
        <f>ROUND(K1263+H1264,8)</f>
        <v/>
      </c>
      <c r="L1264" s="4">
        <f>ROUND(0.9*F1264+0.05*G1264+0.05*H1264,8)</f>
        <v/>
      </c>
    </row>
    <row r="1265">
      <c r="A1265" s="2" t="n">
        <v>45644</v>
      </c>
      <c r="B1265" s="8" t="n">
        <v>2508.21</v>
      </c>
      <c r="C1265" s="8" t="n">
        <v>131.7844</v>
      </c>
      <c r="D1265" s="8" t="n">
        <v>0.35</v>
      </c>
      <c r="E1265">
        <f>A1265-A1264</f>
        <v/>
      </c>
      <c r="F1265" s="4">
        <f>ROUND(B1265/B1264-1,8)</f>
        <v/>
      </c>
      <c r="G1265" s="4">
        <f>ROUND(C1265/C1264-1,8)</f>
        <v/>
      </c>
      <c r="H1265" s="4">
        <f>ROUND(D1265/100/(DATE(YEAR(A1265)+1,1,1)-DATE(YEAR(A1265),1,1))*E1265,8)</f>
        <v/>
      </c>
      <c r="I1265" s="4">
        <f>ROUND(I1264*(1+F1265),8)</f>
        <v/>
      </c>
      <c r="J1265" s="4">
        <f>ROUND(J1264*(1+G1265),8)</f>
        <v/>
      </c>
      <c r="K1265" s="4">
        <f>ROUND(K1264+H1265,8)</f>
        <v/>
      </c>
      <c r="L1265" s="4">
        <f>ROUND(0.9*F1265+0.05*G1265+0.05*H1265,8)</f>
        <v/>
      </c>
    </row>
    <row r="1266">
      <c r="A1266" s="2" t="n">
        <v>45645</v>
      </c>
      <c r="B1266" s="8" t="n">
        <v>2512.3</v>
      </c>
      <c r="C1266" s="8" t="n">
        <v>131.7049</v>
      </c>
      <c r="D1266" s="8" t="n">
        <v>0.35</v>
      </c>
      <c r="E1266">
        <f>A1266-A1265</f>
        <v/>
      </c>
      <c r="F1266" s="4">
        <f>ROUND(B1266/B1265-1,8)</f>
        <v/>
      </c>
      <c r="G1266" s="4">
        <f>ROUND(C1266/C1265-1,8)</f>
        <v/>
      </c>
      <c r="H1266" s="4">
        <f>ROUND(D1266/100/(DATE(YEAR(A1266)+1,1,1)-DATE(YEAR(A1266),1,1))*E1266,8)</f>
        <v/>
      </c>
      <c r="I1266" s="4">
        <f>ROUND(I1265*(1+F1266),8)</f>
        <v/>
      </c>
      <c r="J1266" s="4">
        <f>ROUND(J1265*(1+G1266),8)</f>
        <v/>
      </c>
      <c r="K1266" s="4">
        <f>ROUND(K1265+H1266,8)</f>
        <v/>
      </c>
      <c r="L1266" s="4">
        <f>ROUND(0.9*F1266+0.05*G1266+0.05*H1266,8)</f>
        <v/>
      </c>
    </row>
    <row r="1267">
      <c r="A1267" s="2" t="n">
        <v>45646</v>
      </c>
      <c r="B1267" s="8" t="n">
        <v>2545.81</v>
      </c>
      <c r="C1267" s="8" t="n">
        <v>131.9772</v>
      </c>
      <c r="D1267" s="8" t="n">
        <v>0.35</v>
      </c>
      <c r="E1267">
        <f>A1267-A1266</f>
        <v/>
      </c>
      <c r="F1267" s="4">
        <f>ROUND(B1267/B1266-1,8)</f>
        <v/>
      </c>
      <c r="G1267" s="4">
        <f>ROUND(C1267/C1266-1,8)</f>
        <v/>
      </c>
      <c r="H1267" s="4">
        <f>ROUND(D1267/100/(DATE(YEAR(A1267)+1,1,1)-DATE(YEAR(A1267),1,1))*E1267,8)</f>
        <v/>
      </c>
      <c r="I1267" s="4">
        <f>ROUND(I1266*(1+F1267),8)</f>
        <v/>
      </c>
      <c r="J1267" s="4">
        <f>ROUND(J1266*(1+G1267),8)</f>
        <v/>
      </c>
      <c r="K1267" s="4">
        <f>ROUND(K1266+H1267,8)</f>
        <v/>
      </c>
      <c r="L1267" s="4">
        <f>ROUND(0.9*F1267+0.05*G1267+0.05*H1267,8)</f>
        <v/>
      </c>
    </row>
    <row r="1268">
      <c r="A1268" s="2" t="n">
        <v>45649</v>
      </c>
      <c r="B1268" s="8" t="n">
        <v>2421.65</v>
      </c>
      <c r="C1268" s="8" t="n">
        <v>132.0654</v>
      </c>
      <c r="D1268" s="8" t="n">
        <v>0.35</v>
      </c>
      <c r="E1268">
        <f>A1268-A1267</f>
        <v/>
      </c>
      <c r="F1268" s="4">
        <f>ROUND(B1268/B1267-1,8)</f>
        <v/>
      </c>
      <c r="G1268" s="4">
        <f>ROUND(C1268/C1267-1,8)</f>
        <v/>
      </c>
      <c r="H1268" s="4">
        <f>ROUND(D1268/100/(DATE(YEAR(A1268)+1,1,1)-DATE(YEAR(A1268),1,1))*E1268,8)</f>
        <v/>
      </c>
      <c r="I1268" s="4">
        <f>ROUND(I1267*(1+F1268),8)</f>
        <v/>
      </c>
      <c r="J1268" s="4">
        <f>ROUND(J1267*(1+G1268),8)</f>
        <v/>
      </c>
      <c r="K1268" s="4">
        <f>ROUND(K1267+H1268,8)</f>
        <v/>
      </c>
      <c r="L1268" s="4">
        <f>ROUND(0.9*F1268+0.05*G1268+0.05*H1268,8)</f>
        <v/>
      </c>
    </row>
    <row r="1269">
      <c r="A1269" s="2" t="n">
        <v>45650</v>
      </c>
      <c r="B1269" s="8" t="n">
        <v>2445.95</v>
      </c>
      <c r="C1269" s="8" t="n">
        <v>131.9277</v>
      </c>
      <c r="D1269" s="8" t="n">
        <v>0.35</v>
      </c>
      <c r="E1269">
        <f>A1269-A1268</f>
        <v/>
      </c>
      <c r="F1269" s="4">
        <f>ROUND(B1269/B1268-1,8)</f>
        <v/>
      </c>
      <c r="G1269" s="4">
        <f>ROUND(C1269/C1268-1,8)</f>
        <v/>
      </c>
      <c r="H1269" s="4">
        <f>ROUND(D1269/100/(DATE(YEAR(A1269)+1,1,1)-DATE(YEAR(A1269),1,1))*E1269,8)</f>
        <v/>
      </c>
      <c r="I1269" s="4">
        <f>ROUND(I1268*(1+F1269),8)</f>
        <v/>
      </c>
      <c r="J1269" s="4">
        <f>ROUND(J1268*(1+G1269),8)</f>
        <v/>
      </c>
      <c r="K1269" s="4">
        <f>ROUND(K1268+H1269,8)</f>
        <v/>
      </c>
      <c r="L1269" s="4">
        <f>ROUND(0.9*F1269+0.05*G1269+0.05*H1269,8)</f>
        <v/>
      </c>
    </row>
    <row r="1270">
      <c r="A1270" s="2" t="n">
        <v>45651</v>
      </c>
      <c r="B1270" s="8" t="n">
        <v>2388.95</v>
      </c>
      <c r="C1270" s="8" t="n">
        <v>131.8235</v>
      </c>
      <c r="D1270" s="8" t="n">
        <v>0.35</v>
      </c>
      <c r="E1270">
        <f>A1270-A1269</f>
        <v/>
      </c>
      <c r="F1270" s="4">
        <f>ROUND(B1270/B1269-1,8)</f>
        <v/>
      </c>
      <c r="G1270" s="4">
        <f>ROUND(C1270/C1269-1,8)</f>
        <v/>
      </c>
      <c r="H1270" s="4">
        <f>ROUND(D1270/100/(DATE(YEAR(A1270)+1,1,1)-DATE(YEAR(A1270),1,1))*E1270,8)</f>
        <v/>
      </c>
      <c r="I1270" s="4">
        <f>ROUND(I1269*(1+F1270),8)</f>
        <v/>
      </c>
      <c r="J1270" s="4">
        <f>ROUND(J1269*(1+G1270),8)</f>
        <v/>
      </c>
      <c r="K1270" s="4">
        <f>ROUND(K1269+H1270,8)</f>
        <v/>
      </c>
      <c r="L1270" s="4">
        <f>ROUND(0.9*F1270+0.05*G1270+0.05*H1270,8)</f>
        <v/>
      </c>
    </row>
    <row r="1271">
      <c r="A1271" s="2" t="n">
        <v>45652</v>
      </c>
      <c r="B1271" s="8" t="n">
        <v>2429.66</v>
      </c>
      <c r="C1271" s="8" t="n">
        <v>131.8413</v>
      </c>
      <c r="D1271" s="8" t="n">
        <v>0.35</v>
      </c>
      <c r="E1271">
        <f>A1271-A1270</f>
        <v/>
      </c>
      <c r="F1271" s="4">
        <f>ROUND(B1271/B1270-1,8)</f>
        <v/>
      </c>
      <c r="G1271" s="4">
        <f>ROUND(C1271/C1270-1,8)</f>
        <v/>
      </c>
      <c r="H1271" s="4">
        <f>ROUND(D1271/100/(DATE(YEAR(A1271)+1,1,1)-DATE(YEAR(A1271),1,1))*E1271,8)</f>
        <v/>
      </c>
      <c r="I1271" s="4">
        <f>ROUND(I1270*(1+F1271),8)</f>
        <v/>
      </c>
      <c r="J1271" s="4">
        <f>ROUND(J1270*(1+G1271),8)</f>
        <v/>
      </c>
      <c r="K1271" s="4">
        <f>ROUND(K1270+H1271,8)</f>
        <v/>
      </c>
      <c r="L1271" s="4">
        <f>ROUND(0.9*F1271+0.05*G1271+0.05*H1271,8)</f>
        <v/>
      </c>
    </row>
    <row r="1272">
      <c r="A1272" s="2" t="n">
        <v>45653</v>
      </c>
      <c r="B1272" s="8" t="n">
        <v>2447.48</v>
      </c>
      <c r="C1272" s="8" t="n">
        <v>132.0693</v>
      </c>
      <c r="D1272" s="8" t="n">
        <v>0.35</v>
      </c>
      <c r="E1272">
        <f>A1272-A1271</f>
        <v/>
      </c>
      <c r="F1272" s="4">
        <f>ROUND(B1272/B1271-1,8)</f>
        <v/>
      </c>
      <c r="G1272" s="4">
        <f>ROUND(C1272/C1271-1,8)</f>
        <v/>
      </c>
      <c r="H1272" s="4">
        <f>ROUND(D1272/100/(DATE(YEAR(A1272)+1,1,1)-DATE(YEAR(A1272),1,1))*E1272,8)</f>
        <v/>
      </c>
      <c r="I1272" s="4">
        <f>ROUND(I1271*(1+F1272),8)</f>
        <v/>
      </c>
      <c r="J1272" s="4">
        <f>ROUND(J1271*(1+G1272),8)</f>
        <v/>
      </c>
      <c r="K1272" s="4">
        <f>ROUND(K1271+H1272,8)</f>
        <v/>
      </c>
      <c r="L1272" s="4">
        <f>ROUND(0.9*F1272+0.05*G1272+0.05*H1272,8)</f>
        <v/>
      </c>
    </row>
    <row r="1273">
      <c r="A1273" s="2" t="n">
        <v>45656</v>
      </c>
      <c r="B1273" s="8" t="n">
        <v>2419.23</v>
      </c>
      <c r="C1273" s="8" t="n">
        <v>132.0426</v>
      </c>
      <c r="D1273" s="8" t="n">
        <v>0.35</v>
      </c>
      <c r="E1273">
        <f>A1273-A1272</f>
        <v/>
      </c>
      <c r="F1273" s="4">
        <f>ROUND(B1273/B1272-1,8)</f>
        <v/>
      </c>
      <c r="G1273" s="4">
        <f>ROUND(C1273/C1272-1,8)</f>
        <v/>
      </c>
      <c r="H1273" s="4">
        <f>ROUND(D1273/100/(DATE(YEAR(A1273)+1,1,1)-DATE(YEAR(A1273),1,1))*E1273,8)</f>
        <v/>
      </c>
      <c r="I1273" s="4">
        <f>ROUND(I1272*(1+F1273),8)</f>
        <v/>
      </c>
      <c r="J1273" s="4">
        <f>ROUND(J1272*(1+G1273),8)</f>
        <v/>
      </c>
      <c r="K1273" s="4">
        <f>ROUND(K1272+H1273,8)</f>
        <v/>
      </c>
      <c r="L1273" s="4">
        <f>ROUND(0.9*F1273+0.05*G1273+0.05*H1273,8)</f>
        <v/>
      </c>
    </row>
    <row r="1274">
      <c r="A1274" s="2" t="n">
        <v>45657</v>
      </c>
      <c r="B1274" s="8" t="n">
        <v>2348.11</v>
      </c>
      <c r="C1274" s="8" t="n">
        <v>132.2479</v>
      </c>
      <c r="D1274" s="8" t="n">
        <v>0.35</v>
      </c>
      <c r="E1274">
        <f>A1274-A1273</f>
        <v/>
      </c>
      <c r="F1274" s="4">
        <f>ROUND(B1274/B1273-1,8)</f>
        <v/>
      </c>
      <c r="G1274" s="4">
        <f>ROUND(C1274/C1273-1,8)</f>
        <v/>
      </c>
      <c r="H1274" s="4">
        <f>ROUND(D1274/100/(DATE(YEAR(A1274)+1,1,1)-DATE(YEAR(A1274),1,1))*E1274,8)</f>
        <v/>
      </c>
      <c r="I1274" s="4">
        <f>ROUND(I1273*(1+F1274),8)</f>
        <v/>
      </c>
      <c r="J1274" s="4">
        <f>ROUND(J1273*(1+G1274),8)</f>
        <v/>
      </c>
      <c r="K1274" s="4">
        <f>ROUND(K1273+H1274,8)</f>
        <v/>
      </c>
      <c r="L1274" s="4">
        <f>ROUND(0.9*F1274+0.05*G1274+0.05*H1274,8)</f>
        <v/>
      </c>
    </row>
    <row r="1275">
      <c r="A1275" s="2" t="n">
        <v>45659</v>
      </c>
      <c r="B1275" s="8" t="n">
        <v>2313.8</v>
      </c>
      <c r="C1275" s="8" t="n">
        <v>132.6661</v>
      </c>
      <c r="D1275" s="8" t="n">
        <v>0.35</v>
      </c>
      <c r="E1275">
        <f>A1275-A1274</f>
        <v/>
      </c>
      <c r="F1275" s="4">
        <f>ROUND(B1275/B1274-1,8)</f>
        <v/>
      </c>
      <c r="G1275" s="4">
        <f>ROUND(C1275/C1274-1,8)</f>
        <v/>
      </c>
      <c r="H1275" s="4">
        <f>ROUND(D1275/100/(DATE(YEAR(A1275)+1,1,1)-DATE(YEAR(A1275),1,1))*E1275,8)</f>
        <v/>
      </c>
      <c r="I1275" s="4">
        <f>ROUND(I1274*(1+F1275),8)</f>
        <v/>
      </c>
      <c r="J1275" s="4">
        <f>ROUND(J1274*(1+G1275),8)</f>
        <v/>
      </c>
      <c r="K1275" s="4">
        <f>ROUND(K1274+H1275,8)</f>
        <v/>
      </c>
      <c r="L1275" s="4">
        <f>ROUND(0.9*F1275+0.05*G1275+0.05*H1275,8)</f>
        <v/>
      </c>
    </row>
    <row r="1276">
      <c r="A1276" s="2" t="n">
        <v>45660</v>
      </c>
      <c r="B1276" s="8" t="n">
        <v>2211.07</v>
      </c>
      <c r="C1276" s="8" t="n">
        <v>132.8309</v>
      </c>
      <c r="D1276" s="8" t="n">
        <v>0.35</v>
      </c>
      <c r="E1276">
        <f>A1276-A1275</f>
        <v/>
      </c>
      <c r="F1276" s="4">
        <f>ROUND(B1276/B1275-1,8)</f>
        <v/>
      </c>
      <c r="G1276" s="4">
        <f>ROUND(C1276/C1275-1,8)</f>
        <v/>
      </c>
      <c r="H1276" s="4">
        <f>ROUND(D1276/100/(DATE(YEAR(A1276)+1,1,1)-DATE(YEAR(A1276),1,1))*E1276,8)</f>
        <v/>
      </c>
      <c r="I1276" s="4">
        <f>ROUND(I1275*(1+F1276),8)</f>
        <v/>
      </c>
      <c r="J1276" s="4">
        <f>ROUND(J1275*(1+G1276),8)</f>
        <v/>
      </c>
      <c r="K1276" s="4">
        <f>ROUND(K1275+H1276,8)</f>
        <v/>
      </c>
      <c r="L1276" s="4">
        <f>ROUND(0.9*F1276+0.05*G1276+0.05*H1276,8)</f>
        <v/>
      </c>
    </row>
    <row r="1277">
      <c r="A1277" s="2" t="n">
        <v>45663</v>
      </c>
      <c r="B1277" s="8" t="n">
        <v>2192.47</v>
      </c>
      <c r="C1277" s="8" t="n">
        <v>132.8564</v>
      </c>
      <c r="D1277" s="8" t="n">
        <v>0.35</v>
      </c>
      <c r="E1277">
        <f>A1277-A1276</f>
        <v/>
      </c>
      <c r="F1277" s="4">
        <f>ROUND(B1277/B1276-1,8)</f>
        <v/>
      </c>
      <c r="G1277" s="4">
        <f>ROUND(C1277/C1276-1,8)</f>
        <v/>
      </c>
      <c r="H1277" s="4">
        <f>ROUND(D1277/100/(DATE(YEAR(A1277)+1,1,1)-DATE(YEAR(A1277),1,1))*E1277,8)</f>
        <v/>
      </c>
      <c r="I1277" s="4">
        <f>ROUND(I1276*(1+F1277),8)</f>
        <v/>
      </c>
      <c r="J1277" s="4">
        <f>ROUND(J1276*(1+G1277),8)</f>
        <v/>
      </c>
      <c r="K1277" s="4">
        <f>ROUND(K1276+H1277,8)</f>
        <v/>
      </c>
      <c r="L1277" s="4">
        <f>ROUND(0.9*F1277+0.05*G1277+0.05*H1277,8)</f>
        <v/>
      </c>
    </row>
    <row r="1278">
      <c r="A1278" s="2" t="n">
        <v>45664</v>
      </c>
      <c r="B1278" s="8" t="n">
        <v>2256.71</v>
      </c>
      <c r="C1278" s="8" t="n">
        <v>132.7391</v>
      </c>
      <c r="D1278" s="8" t="n">
        <v>0.35</v>
      </c>
      <c r="E1278">
        <f>A1278-A1277</f>
        <v/>
      </c>
      <c r="F1278" s="4">
        <f>ROUND(B1278/B1277-1,8)</f>
        <v/>
      </c>
      <c r="G1278" s="4">
        <f>ROUND(C1278/C1277-1,8)</f>
        <v/>
      </c>
      <c r="H1278" s="4">
        <f>ROUND(D1278/100/(DATE(YEAR(A1278)+1,1,1)-DATE(YEAR(A1278),1,1))*E1278,8)</f>
        <v/>
      </c>
      <c r="I1278" s="4">
        <f>ROUND(I1277*(1+F1278),8)</f>
        <v/>
      </c>
      <c r="J1278" s="4">
        <f>ROUND(J1277*(1+G1278),8)</f>
        <v/>
      </c>
      <c r="K1278" s="4">
        <f>ROUND(K1277+H1278,8)</f>
        <v/>
      </c>
      <c r="L1278" s="4">
        <f>ROUND(0.9*F1278+0.05*G1278+0.05*H1278,8)</f>
        <v/>
      </c>
    </row>
    <row r="1279">
      <c r="A1279" s="2" t="n">
        <v>45665</v>
      </c>
      <c r="B1279" s="8" t="n">
        <v>2264.02</v>
      </c>
      <c r="C1279" s="8" t="n">
        <v>132.6764</v>
      </c>
      <c r="D1279" s="8" t="n">
        <v>0.35</v>
      </c>
      <c r="E1279">
        <f>A1279-A1278</f>
        <v/>
      </c>
      <c r="F1279" s="4">
        <f>ROUND(B1279/B1278-1,8)</f>
        <v/>
      </c>
      <c r="G1279" s="4">
        <f>ROUND(C1279/C1278-1,8)</f>
        <v/>
      </c>
      <c r="H1279" s="4">
        <f>ROUND(D1279/100/(DATE(YEAR(A1279)+1,1,1)-DATE(YEAR(A1279),1,1))*E1279,8)</f>
        <v/>
      </c>
      <c r="I1279" s="4">
        <f>ROUND(I1278*(1+F1279),8)</f>
        <v/>
      </c>
      <c r="J1279" s="4">
        <f>ROUND(J1278*(1+G1279),8)</f>
        <v/>
      </c>
      <c r="K1279" s="4">
        <f>ROUND(K1278+H1279,8)</f>
        <v/>
      </c>
      <c r="L1279" s="4">
        <f>ROUND(0.9*F1279+0.05*G1279+0.05*H1279,8)</f>
        <v/>
      </c>
    </row>
    <row r="1280">
      <c r="A1280" s="2" t="n">
        <v>45666</v>
      </c>
      <c r="B1280" s="8" t="n">
        <v>2276.27</v>
      </c>
      <c r="C1280" s="8" t="n">
        <v>132.4876</v>
      </c>
      <c r="D1280" s="8" t="n">
        <v>0.35</v>
      </c>
      <c r="E1280">
        <f>A1280-A1279</f>
        <v/>
      </c>
      <c r="F1280" s="4">
        <f>ROUND(B1280/B1279-1,8)</f>
        <v/>
      </c>
      <c r="G1280" s="4">
        <f>ROUND(C1280/C1279-1,8)</f>
        <v/>
      </c>
      <c r="H1280" s="4">
        <f>ROUND(D1280/100/(DATE(YEAR(A1280)+1,1,1)-DATE(YEAR(A1280),1,1))*E1280,8)</f>
        <v/>
      </c>
      <c r="I1280" s="4">
        <f>ROUND(I1279*(1+F1280),8)</f>
        <v/>
      </c>
      <c r="J1280" s="4">
        <f>ROUND(J1279*(1+G1280),8)</f>
        <v/>
      </c>
      <c r="K1280" s="4">
        <f>ROUND(K1279+H1280,8)</f>
        <v/>
      </c>
      <c r="L1280" s="4">
        <f>ROUND(0.9*F1280+0.05*G1280+0.05*H1280,8)</f>
        <v/>
      </c>
    </row>
    <row r="1281">
      <c r="A1281" s="2" t="n">
        <v>45667</v>
      </c>
      <c r="B1281" s="8" t="n">
        <v>2206.91</v>
      </c>
      <c r="C1281" s="8" t="n">
        <v>132.4982</v>
      </c>
      <c r="D1281" s="8" t="n">
        <v>0.35</v>
      </c>
      <c r="E1281">
        <f>A1281-A1280</f>
        <v/>
      </c>
      <c r="F1281" s="4">
        <f>ROUND(B1281/B1280-1,8)</f>
        <v/>
      </c>
      <c r="G1281" s="4">
        <f>ROUND(C1281/C1280-1,8)</f>
        <v/>
      </c>
      <c r="H1281" s="4">
        <f>ROUND(D1281/100/(DATE(YEAR(A1281)+1,1,1)-DATE(YEAR(A1281),1,1))*E1281,8)</f>
        <v/>
      </c>
      <c r="I1281" s="4">
        <f>ROUND(I1280*(1+F1281),8)</f>
        <v/>
      </c>
      <c r="J1281" s="4">
        <f>ROUND(J1280*(1+G1281),8)</f>
        <v/>
      </c>
      <c r="K1281" s="4">
        <f>ROUND(K1280+H1281,8)</f>
        <v/>
      </c>
      <c r="L1281" s="4">
        <f>ROUND(0.9*F1281+0.05*G1281+0.05*H1281,8)</f>
        <v/>
      </c>
    </row>
    <row r="1282">
      <c r="A1282" s="2" t="n">
        <v>45670</v>
      </c>
      <c r="B1282" s="8" t="n">
        <v>2206.36</v>
      </c>
      <c r="C1282" s="8" t="n">
        <v>132.377</v>
      </c>
      <c r="D1282" s="8" t="n">
        <v>0.35</v>
      </c>
      <c r="E1282">
        <f>A1282-A1281</f>
        <v/>
      </c>
      <c r="F1282" s="4">
        <f>ROUND(B1282/B1281-1,8)</f>
        <v/>
      </c>
      <c r="G1282" s="4">
        <f>ROUND(C1282/C1281-1,8)</f>
        <v/>
      </c>
      <c r="H1282" s="4">
        <f>ROUND(D1282/100/(DATE(YEAR(A1282)+1,1,1)-DATE(YEAR(A1282),1,1))*E1282,8)</f>
        <v/>
      </c>
      <c r="I1282" s="4">
        <f>ROUND(I1281*(1+F1282),8)</f>
        <v/>
      </c>
      <c r="J1282" s="4">
        <f>ROUND(J1281*(1+G1282),8)</f>
        <v/>
      </c>
      <c r="K1282" s="4">
        <f>ROUND(K1281+H1282,8)</f>
        <v/>
      </c>
      <c r="L1282" s="4">
        <f>ROUND(0.9*F1282+0.05*G1282+0.05*H1282,8)</f>
        <v/>
      </c>
    </row>
    <row r="1283">
      <c r="A1283" s="2" t="n">
        <v>45671</v>
      </c>
      <c r="B1283" s="8" t="n">
        <v>2324.78</v>
      </c>
      <c r="C1283" s="8" t="n">
        <v>132.4617</v>
      </c>
      <c r="D1283" s="8" t="n">
        <v>0.35</v>
      </c>
      <c r="E1283">
        <f>A1283-A1282</f>
        <v/>
      </c>
      <c r="F1283" s="4">
        <f>ROUND(B1283/B1282-1,8)</f>
        <v/>
      </c>
      <c r="G1283" s="4">
        <f>ROUND(C1283/C1282-1,8)</f>
        <v/>
      </c>
      <c r="H1283" s="4">
        <f>ROUND(D1283/100/(DATE(YEAR(A1283)+1,1,1)-DATE(YEAR(A1283),1,1))*E1283,8)</f>
        <v/>
      </c>
      <c r="I1283" s="4">
        <f>ROUND(I1282*(1+F1283),8)</f>
        <v/>
      </c>
      <c r="J1283" s="4">
        <f>ROUND(J1282*(1+G1283),8)</f>
        <v/>
      </c>
      <c r="K1283" s="4">
        <f>ROUND(K1282+H1283,8)</f>
        <v/>
      </c>
      <c r="L1283" s="4">
        <f>ROUND(0.9*F1283+0.05*G1283+0.05*H1283,8)</f>
        <v/>
      </c>
    </row>
    <row r="1284">
      <c r="A1284" s="2" t="n">
        <v>45672</v>
      </c>
      <c r="B1284" s="8" t="n">
        <v>2318.05</v>
      </c>
      <c r="C1284" s="8" t="n">
        <v>132.5393</v>
      </c>
      <c r="D1284" s="8" t="n">
        <v>0.35</v>
      </c>
      <c r="E1284">
        <f>A1284-A1283</f>
        <v/>
      </c>
      <c r="F1284" s="4">
        <f>ROUND(B1284/B1283-1,8)</f>
        <v/>
      </c>
      <c r="G1284" s="4">
        <f>ROUND(C1284/C1283-1,8)</f>
        <v/>
      </c>
      <c r="H1284" s="4">
        <f>ROUND(D1284/100/(DATE(YEAR(A1284)+1,1,1)-DATE(YEAR(A1284),1,1))*E1284,8)</f>
        <v/>
      </c>
      <c r="I1284" s="4">
        <f>ROUND(I1283*(1+F1284),8)</f>
        <v/>
      </c>
      <c r="J1284" s="4">
        <f>ROUND(J1283*(1+G1284),8)</f>
        <v/>
      </c>
      <c r="K1284" s="4">
        <f>ROUND(K1283+H1284,8)</f>
        <v/>
      </c>
      <c r="L1284" s="4">
        <f>ROUND(0.9*F1284+0.05*G1284+0.05*H1284,8)</f>
        <v/>
      </c>
    </row>
    <row r="1285">
      <c r="A1285" s="2" t="n">
        <v>45673</v>
      </c>
      <c r="B1285" s="8" t="n">
        <v>2335.13</v>
      </c>
      <c r="C1285" s="8" t="n">
        <v>132.4744</v>
      </c>
      <c r="D1285" s="8" t="n">
        <v>0.35</v>
      </c>
      <c r="E1285">
        <f>A1285-A1284</f>
        <v/>
      </c>
      <c r="F1285" s="4">
        <f>ROUND(B1285/B1284-1,8)</f>
        <v/>
      </c>
      <c r="G1285" s="4">
        <f>ROUND(C1285/C1284-1,8)</f>
        <v/>
      </c>
      <c r="H1285" s="4">
        <f>ROUND(D1285/100/(DATE(YEAR(A1285)+1,1,1)-DATE(YEAR(A1285),1,1))*E1285,8)</f>
        <v/>
      </c>
      <c r="I1285" s="4">
        <f>ROUND(I1284*(1+F1285),8)</f>
        <v/>
      </c>
      <c r="J1285" s="4">
        <f>ROUND(J1284*(1+G1285),8)</f>
        <v/>
      </c>
      <c r="K1285" s="4">
        <f>ROUND(K1284+H1285,8)</f>
        <v/>
      </c>
      <c r="L1285" s="4">
        <f>ROUND(0.9*F1285+0.05*G1285+0.05*H1285,8)</f>
        <v/>
      </c>
    </row>
    <row r="1286">
      <c r="A1286" s="2" t="n">
        <v>45674</v>
      </c>
      <c r="B1286" s="8" t="n">
        <v>2332.66</v>
      </c>
      <c r="C1286" s="8" t="n">
        <v>132.4103</v>
      </c>
      <c r="D1286" s="8" t="n">
        <v>0.35</v>
      </c>
      <c r="E1286">
        <f>A1286-A1285</f>
        <v/>
      </c>
      <c r="F1286" s="4">
        <f>ROUND(B1286/B1285-1,8)</f>
        <v/>
      </c>
      <c r="G1286" s="4">
        <f>ROUND(C1286/C1285-1,8)</f>
        <v/>
      </c>
      <c r="H1286" s="4">
        <f>ROUND(D1286/100/(DATE(YEAR(A1286)+1,1,1)-DATE(YEAR(A1286),1,1))*E1286,8)</f>
        <v/>
      </c>
      <c r="I1286" s="4">
        <f>ROUND(I1285*(1+F1286),8)</f>
        <v/>
      </c>
      <c r="J1286" s="4">
        <f>ROUND(J1285*(1+G1286),8)</f>
        <v/>
      </c>
      <c r="K1286" s="4">
        <f>ROUND(K1285+H1286,8)</f>
        <v/>
      </c>
      <c r="L1286" s="4">
        <f>ROUND(0.9*F1286+0.05*G1286+0.05*H1286,8)</f>
        <v/>
      </c>
    </row>
    <row r="1287">
      <c r="A1287" s="2" t="n">
        <v>45677</v>
      </c>
      <c r="B1287" s="8" t="n">
        <v>2360.77</v>
      </c>
      <c r="C1287" s="8" t="n">
        <v>132.3238</v>
      </c>
      <c r="D1287" s="8" t="n">
        <v>0.35</v>
      </c>
      <c r="E1287">
        <f>A1287-A1286</f>
        <v/>
      </c>
      <c r="F1287" s="4">
        <f>ROUND(B1287/B1286-1,8)</f>
        <v/>
      </c>
      <c r="G1287" s="4">
        <f>ROUND(C1287/C1286-1,8)</f>
        <v/>
      </c>
      <c r="H1287" s="4">
        <f>ROUND(D1287/100/(DATE(YEAR(A1287)+1,1,1)-DATE(YEAR(A1287),1,1))*E1287,8)</f>
        <v/>
      </c>
      <c r="I1287" s="4">
        <f>ROUND(I1286*(1+F1287),8)</f>
        <v/>
      </c>
      <c r="J1287" s="4">
        <f>ROUND(J1286*(1+G1287),8)</f>
        <v/>
      </c>
      <c r="K1287" s="4">
        <f>ROUND(K1286+H1287,8)</f>
        <v/>
      </c>
      <c r="L1287" s="4">
        <f>ROUND(0.9*F1287+0.05*G1287+0.05*H1287,8)</f>
        <v/>
      </c>
    </row>
    <row r="1288">
      <c r="A1288" s="2" t="n">
        <v>45678</v>
      </c>
      <c r="B1288" s="8" t="n">
        <v>2365.58</v>
      </c>
      <c r="C1288" s="8" t="n">
        <v>132.3998</v>
      </c>
      <c r="D1288" s="8" t="n">
        <v>0.35</v>
      </c>
      <c r="E1288">
        <f>A1288-A1287</f>
        <v/>
      </c>
      <c r="F1288" s="4">
        <f>ROUND(B1288/B1287-1,8)</f>
        <v/>
      </c>
      <c r="G1288" s="4">
        <f>ROUND(C1288/C1287-1,8)</f>
        <v/>
      </c>
      <c r="H1288" s="4">
        <f>ROUND(D1288/100/(DATE(YEAR(A1288)+1,1,1)-DATE(YEAR(A1288),1,1))*E1288,8)</f>
        <v/>
      </c>
      <c r="I1288" s="4">
        <f>ROUND(I1287*(1+F1288),8)</f>
        <v/>
      </c>
      <c r="J1288" s="4">
        <f>ROUND(J1287*(1+G1288),8)</f>
        <v/>
      </c>
      <c r="K1288" s="4">
        <f>ROUND(K1287+H1288,8)</f>
        <v/>
      </c>
      <c r="L1288" s="4">
        <f>ROUND(0.9*F1288+0.05*G1288+0.05*H1288,8)</f>
        <v/>
      </c>
    </row>
    <row r="1289">
      <c r="A1289" s="2" t="n">
        <v>45679</v>
      </c>
      <c r="B1289" s="8" t="n">
        <v>2334.37</v>
      </c>
      <c r="C1289" s="8" t="n">
        <v>132.4336</v>
      </c>
      <c r="D1289" s="8" t="n">
        <v>0.35</v>
      </c>
      <c r="E1289">
        <f>A1289-A1288</f>
        <v/>
      </c>
      <c r="F1289" s="4">
        <f>ROUND(B1289/B1288-1,8)</f>
        <v/>
      </c>
      <c r="G1289" s="4">
        <f>ROUND(C1289/C1288-1,8)</f>
        <v/>
      </c>
      <c r="H1289" s="4">
        <f>ROUND(D1289/100/(DATE(YEAR(A1289)+1,1,1)-DATE(YEAR(A1289),1,1))*E1289,8)</f>
        <v/>
      </c>
      <c r="I1289" s="4">
        <f>ROUND(I1288*(1+F1289),8)</f>
        <v/>
      </c>
      <c r="J1289" s="4">
        <f>ROUND(J1288*(1+G1289),8)</f>
        <v/>
      </c>
      <c r="K1289" s="4">
        <f>ROUND(K1288+H1289,8)</f>
        <v/>
      </c>
      <c r="L1289" s="4">
        <f>ROUND(0.9*F1289+0.05*G1289+0.05*H1289,8)</f>
        <v/>
      </c>
    </row>
    <row r="1290">
      <c r="A1290" s="2" t="n">
        <v>45680</v>
      </c>
      <c r="B1290" s="8" t="n">
        <v>2328.4</v>
      </c>
      <c r="C1290" s="8" t="n">
        <v>132.3674</v>
      </c>
      <c r="D1290" s="8" t="n">
        <v>0.35</v>
      </c>
      <c r="E1290">
        <f>A1290-A1289</f>
        <v/>
      </c>
      <c r="F1290" s="4">
        <f>ROUND(B1290/B1289-1,8)</f>
        <v/>
      </c>
      <c r="G1290" s="4">
        <f>ROUND(C1290/C1289-1,8)</f>
        <v/>
      </c>
      <c r="H1290" s="4">
        <f>ROUND(D1290/100/(DATE(YEAR(A1290)+1,1,1)-DATE(YEAR(A1290),1,1))*E1290,8)</f>
        <v/>
      </c>
      <c r="I1290" s="4">
        <f>ROUND(I1289*(1+F1290),8)</f>
        <v/>
      </c>
      <c r="J1290" s="4">
        <f>ROUND(J1289*(1+G1290),8)</f>
        <v/>
      </c>
      <c r="K1290" s="4">
        <f>ROUND(K1289+H1290,8)</f>
        <v/>
      </c>
      <c r="L1290" s="4">
        <f>ROUND(0.9*F1290+0.05*G1290+0.05*H1290,8)</f>
        <v/>
      </c>
    </row>
    <row r="1291">
      <c r="A1291" s="2" t="n">
        <v>45681</v>
      </c>
      <c r="B1291" s="8" t="n">
        <v>2362.2</v>
      </c>
      <c r="C1291" s="8" t="n">
        <v>132.3054</v>
      </c>
      <c r="D1291" s="8" t="n">
        <v>0.35</v>
      </c>
      <c r="E1291">
        <f>A1291-A1290</f>
        <v/>
      </c>
      <c r="F1291" s="4">
        <f>ROUND(B1291/B1290-1,8)</f>
        <v/>
      </c>
      <c r="G1291" s="4">
        <f>ROUND(C1291/C1290-1,8)</f>
        <v/>
      </c>
      <c r="H1291" s="4">
        <f>ROUND(D1291/100/(DATE(YEAR(A1291)+1,1,1)-DATE(YEAR(A1291),1,1))*E1291,8)</f>
        <v/>
      </c>
      <c r="I1291" s="4">
        <f>ROUND(I1290*(1+F1291),8)</f>
        <v/>
      </c>
      <c r="J1291" s="4">
        <f>ROUND(J1290*(1+G1291),8)</f>
        <v/>
      </c>
      <c r="K1291" s="4">
        <f>ROUND(K1290+H1291,8)</f>
        <v/>
      </c>
      <c r="L1291" s="4">
        <f>ROUND(0.9*F1291+0.05*G1291+0.05*H1291,8)</f>
        <v/>
      </c>
    </row>
    <row r="1292">
      <c r="A1292" s="2" t="n">
        <v>45684</v>
      </c>
      <c r="B1292" s="8" t="n">
        <v>2322.82</v>
      </c>
      <c r="C1292" s="8" t="n">
        <v>132.5112</v>
      </c>
      <c r="D1292" s="8" t="n">
        <v>0.35</v>
      </c>
      <c r="E1292">
        <f>A1292-A1291</f>
        <v/>
      </c>
      <c r="F1292" s="4">
        <f>ROUND(B1292/B1291-1,8)</f>
        <v/>
      </c>
      <c r="G1292" s="4">
        <f>ROUND(C1292/C1291-1,8)</f>
        <v/>
      </c>
      <c r="H1292" s="4">
        <f>ROUND(D1292/100/(DATE(YEAR(A1292)+1,1,1)-DATE(YEAR(A1292),1,1))*E1292,8)</f>
        <v/>
      </c>
      <c r="I1292" s="4">
        <f>ROUND(I1291*(1+F1292),8)</f>
        <v/>
      </c>
      <c r="J1292" s="4">
        <f>ROUND(J1291*(1+G1292),8)</f>
        <v/>
      </c>
      <c r="K1292" s="4">
        <f>ROUND(K1291+H1292,8)</f>
        <v/>
      </c>
      <c r="L1292" s="4">
        <f>ROUND(0.9*F1292+0.05*G1292+0.05*H1292,8)</f>
        <v/>
      </c>
    </row>
    <row r="1293">
      <c r="A1293" s="2" t="n">
        <v>45693</v>
      </c>
      <c r="B1293" s="8" t="n">
        <v>2355.07</v>
      </c>
      <c r="C1293" s="8" t="n">
        <v>132.616</v>
      </c>
      <c r="D1293" s="8" t="n">
        <v>0.35</v>
      </c>
      <c r="E1293">
        <f>A1293-A1292</f>
        <v/>
      </c>
      <c r="F1293" s="4">
        <f>ROUND(B1293/B1292-1,8)</f>
        <v/>
      </c>
      <c r="G1293" s="4">
        <f>ROUND(C1293/C1292-1,8)</f>
        <v/>
      </c>
      <c r="H1293" s="4">
        <f>ROUND(D1293/100/(DATE(YEAR(A1293)+1,1,1)-DATE(YEAR(A1293),1,1))*E1293,8)</f>
        <v/>
      </c>
      <c r="I1293" s="4">
        <f>ROUND(I1292*(1+F1293),8)</f>
        <v/>
      </c>
      <c r="J1293" s="4">
        <f>ROUND(J1292*(1+G1293),8)</f>
        <v/>
      </c>
      <c r="K1293" s="4">
        <f>ROUND(K1292+H1293,8)</f>
        <v/>
      </c>
      <c r="L1293" s="4">
        <f>ROUND(0.9*F1293+0.05*G1293+0.05*H1293,8)</f>
        <v/>
      </c>
    </row>
    <row r="1294">
      <c r="A1294" s="2" t="n">
        <v>45694</v>
      </c>
      <c r="B1294" s="8" t="n">
        <v>2421.63</v>
      </c>
      <c r="C1294" s="8" t="n">
        <v>132.7551</v>
      </c>
      <c r="D1294" s="8" t="n">
        <v>0.35</v>
      </c>
      <c r="E1294">
        <f>A1294-A1293</f>
        <v/>
      </c>
      <c r="F1294" s="4">
        <f>ROUND(B1294/B1293-1,8)</f>
        <v/>
      </c>
      <c r="G1294" s="4">
        <f>ROUND(C1294/C1293-1,8)</f>
        <v/>
      </c>
      <c r="H1294" s="4">
        <f>ROUND(D1294/100/(DATE(YEAR(A1294)+1,1,1)-DATE(YEAR(A1294),1,1))*E1294,8)</f>
        <v/>
      </c>
      <c r="I1294" s="4">
        <f>ROUND(I1293*(1+F1294),8)</f>
        <v/>
      </c>
      <c r="J1294" s="4">
        <f>ROUND(J1293*(1+G1294),8)</f>
        <v/>
      </c>
      <c r="K1294" s="4">
        <f>ROUND(K1293+H1294,8)</f>
        <v/>
      </c>
      <c r="L1294" s="4">
        <f>ROUND(0.9*F1294+0.05*G1294+0.05*H1294,8)</f>
        <v/>
      </c>
    </row>
    <row r="1295">
      <c r="A1295" s="2" t="n">
        <v>45695</v>
      </c>
      <c r="B1295" s="8" t="n">
        <v>2458.5</v>
      </c>
      <c r="C1295" s="8" t="n">
        <v>132.7764</v>
      </c>
      <c r="D1295" s="8" t="n">
        <v>0.35</v>
      </c>
      <c r="E1295">
        <f>A1295-A1294</f>
        <v/>
      </c>
      <c r="F1295" s="4">
        <f>ROUND(B1295/B1294-1,8)</f>
        <v/>
      </c>
      <c r="G1295" s="4">
        <f>ROUND(C1295/C1294-1,8)</f>
        <v/>
      </c>
      <c r="H1295" s="4">
        <f>ROUND(D1295/100/(DATE(YEAR(A1295)+1,1,1)-DATE(YEAR(A1295),1,1))*E1295,8)</f>
        <v/>
      </c>
      <c r="I1295" s="4">
        <f>ROUND(I1294*(1+F1295),8)</f>
        <v/>
      </c>
      <c r="J1295" s="4">
        <f>ROUND(J1294*(1+G1295),8)</f>
        <v/>
      </c>
      <c r="K1295" s="4">
        <f>ROUND(K1294+H1295,8)</f>
        <v/>
      </c>
      <c r="L1295" s="4">
        <f>ROUND(0.9*F1295+0.05*G1295+0.05*H1295,8)</f>
        <v/>
      </c>
    </row>
    <row r="1296">
      <c r="A1296" s="2" t="n">
        <v>45698</v>
      </c>
      <c r="B1296" s="8" t="n">
        <v>2512.81</v>
      </c>
      <c r="C1296" s="8" t="n">
        <v>132.6524</v>
      </c>
      <c r="D1296" s="8" t="n">
        <v>0.35</v>
      </c>
      <c r="E1296">
        <f>A1296-A1295</f>
        <v/>
      </c>
      <c r="F1296" s="4">
        <f>ROUND(B1296/B1295-1,8)</f>
        <v/>
      </c>
      <c r="G1296" s="4">
        <f>ROUND(C1296/C1295-1,8)</f>
        <v/>
      </c>
      <c r="H1296" s="4">
        <f>ROUND(D1296/100/(DATE(YEAR(A1296)+1,1,1)-DATE(YEAR(A1296),1,1))*E1296,8)</f>
        <v/>
      </c>
      <c r="I1296" s="4">
        <f>ROUND(I1295*(1+F1296),8)</f>
        <v/>
      </c>
      <c r="J1296" s="4">
        <f>ROUND(J1295*(1+G1296),8)</f>
        <v/>
      </c>
      <c r="K1296" s="4">
        <f>ROUND(K1295+H1296,8)</f>
        <v/>
      </c>
      <c r="L1296" s="4">
        <f>ROUND(0.9*F1296+0.05*G1296+0.05*H1296,8)</f>
        <v/>
      </c>
    </row>
    <row r="1297">
      <c r="A1297" s="2" t="n">
        <v>45699</v>
      </c>
      <c r="B1297" s="8" t="n">
        <v>2505.65</v>
      </c>
      <c r="C1297" s="8" t="n">
        <v>132.6569</v>
      </c>
      <c r="D1297" s="8" t="n">
        <v>0.35</v>
      </c>
      <c r="E1297">
        <f>A1297-A1296</f>
        <v/>
      </c>
      <c r="F1297" s="4">
        <f>ROUND(B1297/B1296-1,8)</f>
        <v/>
      </c>
      <c r="G1297" s="4">
        <f>ROUND(C1297/C1296-1,8)</f>
        <v/>
      </c>
      <c r="H1297" s="4">
        <f>ROUND(D1297/100/(DATE(YEAR(A1297)+1,1,1)-DATE(YEAR(A1297),1,1))*E1297,8)</f>
        <v/>
      </c>
      <c r="I1297" s="4">
        <f>ROUND(I1296*(1+F1297),8)</f>
        <v/>
      </c>
      <c r="J1297" s="4">
        <f>ROUND(J1296*(1+G1297),8)</f>
        <v/>
      </c>
      <c r="K1297" s="4">
        <f>ROUND(K1296+H1297,8)</f>
        <v/>
      </c>
      <c r="L1297" s="4">
        <f>ROUND(0.9*F1297+0.05*G1297+0.05*H1297,8)</f>
        <v/>
      </c>
    </row>
    <row r="1298">
      <c r="A1298" s="2" t="n">
        <v>45700</v>
      </c>
      <c r="B1298" s="8" t="n">
        <v>2538.45</v>
      </c>
      <c r="C1298" s="8" t="n">
        <v>132.6585</v>
      </c>
      <c r="D1298" s="8" t="n">
        <v>0.35</v>
      </c>
      <c r="E1298">
        <f>A1298-A1297</f>
        <v/>
      </c>
      <c r="F1298" s="4">
        <f>ROUND(B1298/B1297-1,8)</f>
        <v/>
      </c>
      <c r="G1298" s="4">
        <f>ROUND(C1298/C1297-1,8)</f>
        <v/>
      </c>
      <c r="H1298" s="4">
        <f>ROUND(D1298/100/(DATE(YEAR(A1298)+1,1,1)-DATE(YEAR(A1298),1,1))*E1298,8)</f>
        <v/>
      </c>
      <c r="I1298" s="4">
        <f>ROUND(I1297*(1+F1298),8)</f>
        <v/>
      </c>
      <c r="J1298" s="4">
        <f>ROUND(J1297*(1+G1298),8)</f>
        <v/>
      </c>
      <c r="K1298" s="4">
        <f>ROUND(K1297+H1298,8)</f>
        <v/>
      </c>
      <c r="L1298" s="4">
        <f>ROUND(0.9*F1298+0.05*G1298+0.05*H1298,8)</f>
        <v/>
      </c>
    </row>
    <row r="1299">
      <c r="A1299" s="2" t="n">
        <v>45701</v>
      </c>
      <c r="B1299" s="8" t="n">
        <v>2510.65</v>
      </c>
      <c r="C1299" s="8" t="n">
        <v>132.6383</v>
      </c>
      <c r="D1299" s="8" t="n">
        <v>0.35</v>
      </c>
      <c r="E1299">
        <f>A1299-A1298</f>
        <v/>
      </c>
      <c r="F1299" s="4">
        <f>ROUND(B1299/B1298-1,8)</f>
        <v/>
      </c>
      <c r="G1299" s="4">
        <f>ROUND(C1299/C1298-1,8)</f>
        <v/>
      </c>
      <c r="H1299" s="4">
        <f>ROUND(D1299/100/(DATE(YEAR(A1299)+1,1,1)-DATE(YEAR(A1299),1,1))*E1299,8)</f>
        <v/>
      </c>
      <c r="I1299" s="4">
        <f>ROUND(I1298*(1+F1299),8)</f>
        <v/>
      </c>
      <c r="J1299" s="4">
        <f>ROUND(J1298*(1+G1299),8)</f>
        <v/>
      </c>
      <c r="K1299" s="4">
        <f>ROUND(K1298+H1299,8)</f>
        <v/>
      </c>
      <c r="L1299" s="4">
        <f>ROUND(0.9*F1299+0.05*G1299+0.05*H1299,8)</f>
        <v/>
      </c>
    </row>
    <row r="1300">
      <c r="A1300" s="2" t="n">
        <v>45702</v>
      </c>
      <c r="B1300" s="8" t="n">
        <v>2506.65</v>
      </c>
      <c r="C1300" s="8" t="n">
        <v>132.5075</v>
      </c>
      <c r="D1300" s="8" t="n">
        <v>0.35</v>
      </c>
      <c r="E1300">
        <f>A1300-A1299</f>
        <v/>
      </c>
      <c r="F1300" s="4">
        <f>ROUND(B1300/B1299-1,8)</f>
        <v/>
      </c>
      <c r="G1300" s="4">
        <f>ROUND(C1300/C1299-1,8)</f>
        <v/>
      </c>
      <c r="H1300" s="4">
        <f>ROUND(D1300/100/(DATE(YEAR(A1300)+1,1,1)-DATE(YEAR(A1300),1,1))*E1300,8)</f>
        <v/>
      </c>
      <c r="I1300" s="4">
        <f>ROUND(I1299*(1+F1300),8)</f>
        <v/>
      </c>
      <c r="J1300" s="4">
        <f>ROUND(J1299*(1+G1300),8)</f>
        <v/>
      </c>
      <c r="K1300" s="4">
        <f>ROUND(K1299+H1300,8)</f>
        <v/>
      </c>
      <c r="L1300" s="4">
        <f>ROUND(0.9*F1300+0.05*G1300+0.05*H1300,8)</f>
        <v/>
      </c>
    </row>
    <row r="1301">
      <c r="A1301" s="2" t="n">
        <v>45705</v>
      </c>
      <c r="B1301" s="8" t="n">
        <v>2551.38</v>
      </c>
      <c r="C1301" s="8" t="n">
        <v>132.289</v>
      </c>
      <c r="D1301" s="8" t="n">
        <v>0.35</v>
      </c>
      <c r="E1301">
        <f>A1301-A1300</f>
        <v/>
      </c>
      <c r="F1301" s="4">
        <f>ROUND(B1301/B1300-1,8)</f>
        <v/>
      </c>
      <c r="G1301" s="4">
        <f>ROUND(C1301/C1300-1,8)</f>
        <v/>
      </c>
      <c r="H1301" s="4">
        <f>ROUND(D1301/100/(DATE(YEAR(A1301)+1,1,1)-DATE(YEAR(A1301),1,1))*E1301,8)</f>
        <v/>
      </c>
      <c r="I1301" s="4">
        <f>ROUND(I1300*(1+F1301),8)</f>
        <v/>
      </c>
      <c r="J1301" s="4">
        <f>ROUND(J1300*(1+G1301),8)</f>
        <v/>
      </c>
      <c r="K1301" s="4">
        <f>ROUND(K1300+H1301,8)</f>
        <v/>
      </c>
      <c r="L1301" s="4">
        <f>ROUND(0.9*F1301+0.05*G1301+0.05*H1301,8)</f>
        <v/>
      </c>
    </row>
    <row r="1302">
      <c r="A1302" s="2" t="n">
        <v>45706</v>
      </c>
      <c r="B1302" s="8" t="n">
        <v>2479.36</v>
      </c>
      <c r="C1302" s="8" t="n">
        <v>132.1491</v>
      </c>
      <c r="D1302" s="8" t="n">
        <v>0.35</v>
      </c>
      <c r="E1302">
        <f>A1302-A1301</f>
        <v/>
      </c>
      <c r="F1302" s="4">
        <f>ROUND(B1302/B1301-1,8)</f>
        <v/>
      </c>
      <c r="G1302" s="4">
        <f>ROUND(C1302/C1301-1,8)</f>
        <v/>
      </c>
      <c r="H1302" s="4">
        <f>ROUND(D1302/100/(DATE(YEAR(A1302)+1,1,1)-DATE(YEAR(A1302),1,1))*E1302,8)</f>
        <v/>
      </c>
      <c r="I1302" s="4">
        <f>ROUND(I1301*(1+F1302),8)</f>
        <v/>
      </c>
      <c r="J1302" s="4">
        <f>ROUND(J1301*(1+G1302),8)</f>
        <v/>
      </c>
      <c r="K1302" s="4">
        <f>ROUND(K1301+H1302,8)</f>
        <v/>
      </c>
      <c r="L1302" s="4">
        <f>ROUND(0.9*F1302+0.05*G1302+0.05*H1302,8)</f>
        <v/>
      </c>
    </row>
    <row r="1303">
      <c r="A1303" s="2" t="n">
        <v>45707</v>
      </c>
      <c r="B1303" s="8" t="n">
        <v>2552.75</v>
      </c>
      <c r="C1303" s="8" t="n">
        <v>132.1713</v>
      </c>
      <c r="D1303" s="8" t="n">
        <v>0.35</v>
      </c>
      <c r="E1303">
        <f>A1303-A1302</f>
        <v/>
      </c>
      <c r="F1303" s="4">
        <f>ROUND(B1303/B1302-1,8)</f>
        <v/>
      </c>
      <c r="G1303" s="4">
        <f>ROUND(C1303/C1302-1,8)</f>
        <v/>
      </c>
      <c r="H1303" s="4">
        <f>ROUND(D1303/100/(DATE(YEAR(A1303)+1,1,1)-DATE(YEAR(A1303),1,1))*E1303,8)</f>
        <v/>
      </c>
      <c r="I1303" s="4">
        <f>ROUND(I1302*(1+F1303),8)</f>
        <v/>
      </c>
      <c r="J1303" s="4">
        <f>ROUND(J1302*(1+G1303),8)</f>
        <v/>
      </c>
      <c r="K1303" s="4">
        <f>ROUND(K1302+H1303,8)</f>
        <v/>
      </c>
      <c r="L1303" s="4">
        <f>ROUND(0.9*F1303+0.05*G1303+0.05*H1303,8)</f>
        <v/>
      </c>
    </row>
    <row r="1304">
      <c r="A1304" s="2" t="n">
        <v>45708</v>
      </c>
      <c r="B1304" s="8" t="n">
        <v>2584.47</v>
      </c>
      <c r="C1304" s="8" t="n">
        <v>132.0275</v>
      </c>
      <c r="D1304" s="8" t="n">
        <v>0.35</v>
      </c>
      <c r="E1304">
        <f>A1304-A1303</f>
        <v/>
      </c>
      <c r="F1304" s="4">
        <f>ROUND(B1304/B1303-1,8)</f>
        <v/>
      </c>
      <c r="G1304" s="4">
        <f>ROUND(C1304/C1303-1,8)</f>
        <v/>
      </c>
      <c r="H1304" s="4">
        <f>ROUND(D1304/100/(DATE(YEAR(A1304)+1,1,1)-DATE(YEAR(A1304),1,1))*E1304,8)</f>
        <v/>
      </c>
      <c r="I1304" s="4">
        <f>ROUND(I1303*(1+F1304),8)</f>
        <v/>
      </c>
      <c r="J1304" s="4">
        <f>ROUND(J1303*(1+G1304),8)</f>
        <v/>
      </c>
      <c r="K1304" s="4">
        <f>ROUND(K1303+H1304,8)</f>
        <v/>
      </c>
      <c r="L1304" s="4">
        <f>ROUND(0.9*F1304+0.05*G1304+0.05*H1304,8)</f>
        <v/>
      </c>
    </row>
    <row r="1305">
      <c r="A1305" s="2" t="n">
        <v>45709</v>
      </c>
      <c r="B1305" s="8" t="n">
        <v>2617.67</v>
      </c>
      <c r="C1305" s="8" t="n">
        <v>131.7954</v>
      </c>
      <c r="D1305" s="8" t="n">
        <v>0.35</v>
      </c>
      <c r="E1305">
        <f>A1305-A1304</f>
        <v/>
      </c>
      <c r="F1305" s="4">
        <f>ROUND(B1305/B1304-1,8)</f>
        <v/>
      </c>
      <c r="G1305" s="4">
        <f>ROUND(C1305/C1304-1,8)</f>
        <v/>
      </c>
      <c r="H1305" s="4">
        <f>ROUND(D1305/100/(DATE(YEAR(A1305)+1,1,1)-DATE(YEAR(A1305),1,1))*E1305,8)</f>
        <v/>
      </c>
      <c r="I1305" s="4">
        <f>ROUND(I1304*(1+F1305),8)</f>
        <v/>
      </c>
      <c r="J1305" s="4">
        <f>ROUND(J1304*(1+G1305),8)</f>
        <v/>
      </c>
      <c r="K1305" s="4">
        <f>ROUND(K1304+H1305,8)</f>
        <v/>
      </c>
      <c r="L1305" s="4">
        <f>ROUND(0.9*F1305+0.05*G1305+0.05*H1305,8)</f>
        <v/>
      </c>
    </row>
    <row r="1306">
      <c r="A1306" s="2" t="n">
        <v>45712</v>
      </c>
      <c r="B1306" s="8" t="n">
        <v>2622.38</v>
      </c>
      <c r="C1306" s="8" t="n">
        <v>131.4374</v>
      </c>
      <c r="D1306" s="8" t="n">
        <v>0.35</v>
      </c>
      <c r="E1306">
        <f>A1306-A1305</f>
        <v/>
      </c>
      <c r="F1306" s="4">
        <f>ROUND(B1306/B1305-1,8)</f>
        <v/>
      </c>
      <c r="G1306" s="4">
        <f>ROUND(C1306/C1305-1,8)</f>
        <v/>
      </c>
      <c r="H1306" s="4">
        <f>ROUND(D1306/100/(DATE(YEAR(A1306)+1,1,1)-DATE(YEAR(A1306),1,1))*E1306,8)</f>
        <v/>
      </c>
      <c r="I1306" s="4">
        <f>ROUND(I1305*(1+F1306),8)</f>
        <v/>
      </c>
      <c r="J1306" s="4">
        <f>ROUND(J1305*(1+G1306),8)</f>
        <v/>
      </c>
      <c r="K1306" s="4">
        <f>ROUND(K1305+H1306,8)</f>
        <v/>
      </c>
      <c r="L1306" s="4">
        <f>ROUND(0.9*F1306+0.05*G1306+0.05*H1306,8)</f>
        <v/>
      </c>
    </row>
    <row r="1307">
      <c r="A1307" s="2" t="n">
        <v>45713</v>
      </c>
      <c r="B1307" s="8" t="n">
        <v>2619.68</v>
      </c>
      <c r="C1307" s="8" t="n">
        <v>131.3891</v>
      </c>
      <c r="D1307" s="8" t="n">
        <v>0.35</v>
      </c>
      <c r="E1307">
        <f>A1307-A1306</f>
        <v/>
      </c>
      <c r="F1307" s="4">
        <f>ROUND(B1307/B1306-1,8)</f>
        <v/>
      </c>
      <c r="G1307" s="4">
        <f>ROUND(C1307/C1306-1,8)</f>
        <v/>
      </c>
      <c r="H1307" s="4">
        <f>ROUND(D1307/100/(DATE(YEAR(A1307)+1,1,1)-DATE(YEAR(A1307),1,1))*E1307,8)</f>
        <v/>
      </c>
      <c r="I1307" s="4">
        <f>ROUND(I1306*(1+F1307),8)</f>
        <v/>
      </c>
      <c r="J1307" s="4">
        <f>ROUND(J1306*(1+G1307),8)</f>
        <v/>
      </c>
      <c r="K1307" s="4">
        <f>ROUND(K1306+H1307,8)</f>
        <v/>
      </c>
      <c r="L1307" s="4">
        <f>ROUND(0.9*F1307+0.05*G1307+0.05*H1307,8)</f>
        <v/>
      </c>
    </row>
    <row r="1308">
      <c r="A1308" s="2" t="n">
        <v>45714</v>
      </c>
      <c r="B1308" s="8" t="n">
        <v>2661.15</v>
      </c>
      <c r="C1308" s="8" t="n">
        <v>131.4012</v>
      </c>
      <c r="D1308" s="8" t="n">
        <v>0.35</v>
      </c>
      <c r="E1308">
        <f>A1308-A1307</f>
        <v/>
      </c>
      <c r="F1308" s="4">
        <f>ROUND(B1308/B1307-1,8)</f>
        <v/>
      </c>
      <c r="G1308" s="4">
        <f>ROUND(C1308/C1307-1,8)</f>
        <v/>
      </c>
      <c r="H1308" s="4">
        <f>ROUND(D1308/100/(DATE(YEAR(A1308)+1,1,1)-DATE(YEAR(A1308),1,1))*E1308,8)</f>
        <v/>
      </c>
      <c r="I1308" s="4">
        <f>ROUND(I1307*(1+F1308),8)</f>
        <v/>
      </c>
      <c r="J1308" s="4">
        <f>ROUND(J1307*(1+G1308),8)</f>
        <v/>
      </c>
      <c r="K1308" s="4">
        <f>ROUND(K1307+H1308,8)</f>
        <v/>
      </c>
      <c r="L1308" s="4">
        <f>ROUND(0.9*F1308+0.05*G1308+0.05*H1308,8)</f>
        <v/>
      </c>
    </row>
    <row r="1309">
      <c r="A1309" s="2" t="n">
        <v>45715</v>
      </c>
      <c r="B1309" s="8" t="n">
        <v>2653.3</v>
      </c>
      <c r="C1309" s="8" t="n">
        <v>131.2289</v>
      </c>
      <c r="D1309" s="8" t="n">
        <v>0.35</v>
      </c>
      <c r="E1309">
        <f>A1309-A1308</f>
        <v/>
      </c>
      <c r="F1309" s="4">
        <f>ROUND(B1309/B1308-1,8)</f>
        <v/>
      </c>
      <c r="G1309" s="4">
        <f>ROUND(C1309/C1308-1,8)</f>
        <v/>
      </c>
      <c r="H1309" s="4">
        <f>ROUND(D1309/100/(DATE(YEAR(A1309)+1,1,1)-DATE(YEAR(A1309),1,1))*E1309,8)</f>
        <v/>
      </c>
      <c r="I1309" s="4">
        <f>ROUND(I1308*(1+F1309),8)</f>
        <v/>
      </c>
      <c r="J1309" s="4">
        <f>ROUND(J1308*(1+G1309),8)</f>
        <v/>
      </c>
      <c r="K1309" s="4">
        <f>ROUND(K1308+H1309,8)</f>
        <v/>
      </c>
      <c r="L1309" s="4">
        <f>ROUND(0.9*F1309+0.05*G1309+0.05*H1309,8)</f>
        <v/>
      </c>
    </row>
    <row r="1310">
      <c r="A1310" s="2" t="n">
        <v>45716</v>
      </c>
      <c r="B1310" s="8" t="n">
        <v>2542.85</v>
      </c>
      <c r="C1310" s="8" t="n">
        <v>131.2568</v>
      </c>
      <c r="D1310" s="8" t="n">
        <v>0.35</v>
      </c>
      <c r="E1310">
        <f>A1310-A1309</f>
        <v/>
      </c>
      <c r="F1310" s="4">
        <f>ROUND(B1310/B1309-1,8)</f>
        <v/>
      </c>
      <c r="G1310" s="4">
        <f>ROUND(C1310/C1309-1,8)</f>
        <v/>
      </c>
      <c r="H1310" s="4">
        <f>ROUND(D1310/100/(DATE(YEAR(A1310)+1,1,1)-DATE(YEAR(A1310),1,1))*E1310,8)</f>
        <v/>
      </c>
      <c r="I1310" s="4">
        <f>ROUND(I1309*(1+F1310),8)</f>
        <v/>
      </c>
      <c r="J1310" s="4">
        <f>ROUND(J1309*(1+G1310),8)</f>
        <v/>
      </c>
      <c r="K1310" s="4">
        <f>ROUND(K1309+H1310,8)</f>
        <v/>
      </c>
      <c r="L1310" s="4">
        <f>ROUND(0.9*F1310+0.05*G1310+0.05*H1310,8)</f>
        <v/>
      </c>
    </row>
    <row r="1311">
      <c r="A1311" s="2" t="n">
        <v>45719</v>
      </c>
      <c r="B1311" s="8" t="n">
        <v>2547.45</v>
      </c>
      <c r="C1311" s="8" t="n">
        <v>131.345</v>
      </c>
      <c r="D1311" s="8" t="n">
        <v>0.35</v>
      </c>
      <c r="E1311">
        <f>A1311-A1310</f>
        <v/>
      </c>
      <c r="F1311" s="4">
        <f>ROUND(B1311/B1310-1,8)</f>
        <v/>
      </c>
      <c r="G1311" s="4">
        <f>ROUND(C1311/C1310-1,8)</f>
        <v/>
      </c>
      <c r="H1311" s="4">
        <f>ROUND(D1311/100/(DATE(YEAR(A1311)+1,1,1)-DATE(YEAR(A1311),1,1))*E1311,8)</f>
        <v/>
      </c>
      <c r="I1311" s="4">
        <f>ROUND(I1310*(1+F1311),8)</f>
        <v/>
      </c>
      <c r="J1311" s="4">
        <f>ROUND(J1310*(1+G1311),8)</f>
        <v/>
      </c>
      <c r="K1311" s="4">
        <f>ROUND(K1310+H1311,8)</f>
        <v/>
      </c>
      <c r="L1311" s="4">
        <f>ROUND(0.9*F1311+0.05*G1311+0.05*H1311,8)</f>
        <v/>
      </c>
    </row>
    <row r="1312">
      <c r="A1312" s="2" t="n">
        <v>45720</v>
      </c>
      <c r="B1312" s="8" t="n">
        <v>2587.01</v>
      </c>
      <c r="C1312" s="8" t="n">
        <v>131.3584</v>
      </c>
      <c r="D1312" s="8" t="n">
        <v>0.35</v>
      </c>
      <c r="E1312">
        <f>A1312-A1311</f>
        <v/>
      </c>
      <c r="F1312" s="4">
        <f>ROUND(B1312/B1311-1,8)</f>
        <v/>
      </c>
      <c r="G1312" s="4">
        <f>ROUND(C1312/C1311-1,8)</f>
        <v/>
      </c>
      <c r="H1312" s="4">
        <f>ROUND(D1312/100/(DATE(YEAR(A1312)+1,1,1)-DATE(YEAR(A1312),1,1))*E1312,8)</f>
        <v/>
      </c>
      <c r="I1312" s="4">
        <f>ROUND(I1311*(1+F1312),8)</f>
        <v/>
      </c>
      <c r="J1312" s="4">
        <f>ROUND(J1311*(1+G1312),8)</f>
        <v/>
      </c>
      <c r="K1312" s="4">
        <f>ROUND(K1311+H1312,8)</f>
        <v/>
      </c>
      <c r="L1312" s="4">
        <f>ROUND(0.9*F1312+0.05*G1312+0.05*H1312,8)</f>
        <v/>
      </c>
    </row>
    <row r="1313">
      <c r="A1313" s="2" t="n">
        <v>45721</v>
      </c>
      <c r="B1313" s="8" t="n">
        <v>2605.96</v>
      </c>
      <c r="C1313" s="8" t="n">
        <v>131.3808</v>
      </c>
      <c r="D1313" s="8" t="n">
        <v>0.35</v>
      </c>
      <c r="E1313">
        <f>A1313-A1312</f>
        <v/>
      </c>
      <c r="F1313" s="4">
        <f>ROUND(B1313/B1312-1,8)</f>
        <v/>
      </c>
      <c r="G1313" s="4">
        <f>ROUND(C1313/C1312-1,8)</f>
        <v/>
      </c>
      <c r="H1313" s="4">
        <f>ROUND(D1313/100/(DATE(YEAR(A1313)+1,1,1)-DATE(YEAR(A1313),1,1))*E1313,8)</f>
        <v/>
      </c>
      <c r="I1313" s="4">
        <f>ROUND(I1312*(1+F1313),8)</f>
        <v/>
      </c>
      <c r="J1313" s="4">
        <f>ROUND(J1312*(1+G1313),8)</f>
        <v/>
      </c>
      <c r="K1313" s="4">
        <f>ROUND(K1312+H1313,8)</f>
        <v/>
      </c>
      <c r="L1313" s="4">
        <f>ROUND(0.9*F1313+0.05*G1313+0.05*H1313,8)</f>
        <v/>
      </c>
    </row>
    <row r="1314">
      <c r="A1314" s="2" t="n">
        <v>45722</v>
      </c>
      <c r="B1314" s="8" t="n">
        <v>2659.67</v>
      </c>
      <c r="C1314" s="8" t="n">
        <v>131.2182</v>
      </c>
      <c r="D1314" s="8" t="n">
        <v>0.35</v>
      </c>
      <c r="E1314">
        <f>A1314-A1313</f>
        <v/>
      </c>
      <c r="F1314" s="4">
        <f>ROUND(B1314/B1313-1,8)</f>
        <v/>
      </c>
      <c r="G1314" s="4">
        <f>ROUND(C1314/C1313-1,8)</f>
        <v/>
      </c>
      <c r="H1314" s="4">
        <f>ROUND(D1314/100/(DATE(YEAR(A1314)+1,1,1)-DATE(YEAR(A1314),1,1))*E1314,8)</f>
        <v/>
      </c>
      <c r="I1314" s="4">
        <f>ROUND(I1313*(1+F1314),8)</f>
        <v/>
      </c>
      <c r="J1314" s="4">
        <f>ROUND(J1313*(1+G1314),8)</f>
        <v/>
      </c>
      <c r="K1314" s="4">
        <f>ROUND(K1313+H1314,8)</f>
        <v/>
      </c>
      <c r="L1314" s="4">
        <f>ROUND(0.9*F1314+0.05*G1314+0.05*H1314,8)</f>
        <v/>
      </c>
    </row>
    <row r="1315">
      <c r="A1315" s="2" t="n">
        <v>45723</v>
      </c>
      <c r="B1315" s="8" t="n">
        <v>2644.3</v>
      </c>
      <c r="C1315" s="8" t="n">
        <v>130.8602</v>
      </c>
      <c r="D1315" s="8" t="n">
        <v>0.35</v>
      </c>
      <c r="E1315">
        <f>A1315-A1314</f>
        <v/>
      </c>
      <c r="F1315" s="4">
        <f>ROUND(B1315/B1314-1,8)</f>
        <v/>
      </c>
      <c r="G1315" s="4">
        <f>ROUND(C1315/C1314-1,8)</f>
        <v/>
      </c>
      <c r="H1315" s="4">
        <f>ROUND(D1315/100/(DATE(YEAR(A1315)+1,1,1)-DATE(YEAR(A1315),1,1))*E1315,8)</f>
        <v/>
      </c>
      <c r="I1315" s="4">
        <f>ROUND(I1314*(1+F1315),8)</f>
        <v/>
      </c>
      <c r="J1315" s="4">
        <f>ROUND(J1314*(1+G1315),8)</f>
        <v/>
      </c>
      <c r="K1315" s="4">
        <f>ROUND(K1314+H1315,8)</f>
        <v/>
      </c>
      <c r="L1315" s="4">
        <f>ROUND(0.9*F1315+0.05*G1315+0.05*H1315,8)</f>
        <v/>
      </c>
    </row>
    <row r="1316">
      <c r="A1316" s="2" t="n">
        <v>45726</v>
      </c>
      <c r="B1316" s="8" t="n">
        <v>2654.65</v>
      </c>
      <c r="C1316" s="8" t="n">
        <v>130.7484</v>
      </c>
      <c r="D1316" s="8" t="n">
        <v>0.35</v>
      </c>
      <c r="E1316">
        <f>A1316-A1315</f>
        <v/>
      </c>
      <c r="F1316" s="4">
        <f>ROUND(B1316/B1315-1,8)</f>
        <v/>
      </c>
      <c r="G1316" s="4">
        <f>ROUND(C1316/C1315-1,8)</f>
        <v/>
      </c>
      <c r="H1316" s="4">
        <f>ROUND(D1316/100/(DATE(YEAR(A1316)+1,1,1)-DATE(YEAR(A1316),1,1))*E1316,8)</f>
        <v/>
      </c>
      <c r="I1316" s="4">
        <f>ROUND(I1315*(1+F1316),8)</f>
        <v/>
      </c>
      <c r="J1316" s="4">
        <f>ROUND(J1315*(1+G1316),8)</f>
        <v/>
      </c>
      <c r="K1316" s="4">
        <f>ROUND(K1315+H1316,8)</f>
        <v/>
      </c>
      <c r="L1316" s="4">
        <f>ROUND(0.9*F1316+0.05*G1316+0.05*H1316,8)</f>
        <v/>
      </c>
    </row>
    <row r="1317">
      <c r="A1317" s="2" t="n">
        <v>45727</v>
      </c>
      <c r="B1317" s="8" t="n">
        <v>2662.35</v>
      </c>
      <c r="C1317" s="8" t="n">
        <v>130.3606</v>
      </c>
      <c r="D1317" s="8" t="n">
        <v>0.35</v>
      </c>
      <c r="E1317">
        <f>A1317-A1316</f>
        <v/>
      </c>
      <c r="F1317" s="4">
        <f>ROUND(B1317/B1316-1,8)</f>
        <v/>
      </c>
      <c r="G1317" s="4">
        <f>ROUND(C1317/C1316-1,8)</f>
        <v/>
      </c>
      <c r="H1317" s="4">
        <f>ROUND(D1317/100/(DATE(YEAR(A1317)+1,1,1)-DATE(YEAR(A1317),1,1))*E1317,8)</f>
        <v/>
      </c>
      <c r="I1317" s="4">
        <f>ROUND(I1316*(1+F1317),8)</f>
        <v/>
      </c>
      <c r="J1317" s="4">
        <f>ROUND(J1316*(1+G1317),8)</f>
        <v/>
      </c>
      <c r="K1317" s="4">
        <f>ROUND(K1316+H1317,8)</f>
        <v/>
      </c>
      <c r="L1317" s="4">
        <f>ROUND(0.9*F1317+0.05*G1317+0.05*H1317,8)</f>
        <v/>
      </c>
    </row>
    <row r="1318">
      <c r="A1318" s="2" t="n">
        <v>45728</v>
      </c>
      <c r="B1318" s="8" t="n">
        <v>2681.89</v>
      </c>
      <c r="C1318" s="8" t="n">
        <v>130.4885</v>
      </c>
      <c r="D1318" s="8" t="n">
        <v>0.35</v>
      </c>
      <c r="E1318">
        <f>A1318-A1317</f>
        <v/>
      </c>
      <c r="F1318" s="4">
        <f>ROUND(B1318/B1317-1,8)</f>
        <v/>
      </c>
      <c r="G1318" s="4">
        <f>ROUND(C1318/C1317-1,8)</f>
        <v/>
      </c>
      <c r="H1318" s="4">
        <f>ROUND(D1318/100/(DATE(YEAR(A1318)+1,1,1)-DATE(YEAR(A1318),1,1))*E1318,8)</f>
        <v/>
      </c>
      <c r="I1318" s="4">
        <f>ROUND(I1317*(1+F1318),8)</f>
        <v/>
      </c>
      <c r="J1318" s="4">
        <f>ROUND(J1317*(1+G1318),8)</f>
        <v/>
      </c>
      <c r="K1318" s="4">
        <f>ROUND(K1317+H1318,8)</f>
        <v/>
      </c>
      <c r="L1318" s="4">
        <f>ROUND(0.9*F1318+0.05*G1318+0.05*H1318,8)</f>
        <v/>
      </c>
    </row>
    <row r="1319">
      <c r="A1319" s="2" t="n">
        <v>45729</v>
      </c>
      <c r="B1319" s="8" t="n">
        <v>2632.57</v>
      </c>
      <c r="C1319" s="8" t="n">
        <v>130.5094</v>
      </c>
      <c r="D1319" s="8" t="n">
        <v>0.35</v>
      </c>
      <c r="E1319">
        <f>A1319-A1318</f>
        <v/>
      </c>
      <c r="F1319" s="4">
        <f>ROUND(B1319/B1318-1,8)</f>
        <v/>
      </c>
      <c r="G1319" s="4">
        <f>ROUND(C1319/C1318-1,8)</f>
        <v/>
      </c>
      <c r="H1319" s="4">
        <f>ROUND(D1319/100/(DATE(YEAR(A1319)+1,1,1)-DATE(YEAR(A1319),1,1))*E1319,8)</f>
        <v/>
      </c>
      <c r="I1319" s="4">
        <f>ROUND(I1318*(1+F1319),8)</f>
        <v/>
      </c>
      <c r="J1319" s="4">
        <f>ROUND(J1318*(1+G1319),8)</f>
        <v/>
      </c>
      <c r="K1319" s="4">
        <f>ROUND(K1318+H1319,8)</f>
        <v/>
      </c>
      <c r="L1319" s="4">
        <f>ROUND(0.9*F1319+0.05*G1319+0.05*H1319,8)</f>
        <v/>
      </c>
    </row>
    <row r="1320">
      <c r="A1320" s="2" t="n">
        <v>45730</v>
      </c>
      <c r="B1320" s="8" t="n">
        <v>2679.82</v>
      </c>
      <c r="C1320" s="8" t="n">
        <v>130.5135</v>
      </c>
      <c r="D1320" s="8" t="n">
        <v>0.35</v>
      </c>
      <c r="E1320">
        <f>A1320-A1319</f>
        <v/>
      </c>
      <c r="F1320" s="4">
        <f>ROUND(B1320/B1319-1,8)</f>
        <v/>
      </c>
      <c r="G1320" s="4">
        <f>ROUND(C1320/C1319-1,8)</f>
        <v/>
      </c>
      <c r="H1320" s="4">
        <f>ROUND(D1320/100/(DATE(YEAR(A1320)+1,1,1)-DATE(YEAR(A1320),1,1))*E1320,8)</f>
        <v/>
      </c>
      <c r="I1320" s="4">
        <f>ROUND(I1319*(1+F1320),8)</f>
        <v/>
      </c>
      <c r="J1320" s="4">
        <f>ROUND(J1319*(1+G1320),8)</f>
        <v/>
      </c>
      <c r="K1320" s="4">
        <f>ROUND(K1319+H1320,8)</f>
        <v/>
      </c>
      <c r="L1320" s="4">
        <f>ROUND(0.9*F1320+0.05*G1320+0.05*H1320,8)</f>
        <v/>
      </c>
    </row>
    <row r="1321">
      <c r="A1321" s="2" t="n">
        <v>45733</v>
      </c>
      <c r="B1321" s="8" t="n">
        <v>2700.72</v>
      </c>
      <c r="C1321" s="8" t="n">
        <v>130.1302</v>
      </c>
      <c r="D1321" s="8" t="n">
        <v>0.35</v>
      </c>
      <c r="E1321">
        <f>A1321-A1320</f>
        <v/>
      </c>
      <c r="F1321" s="4">
        <f>ROUND(B1321/B1320-1,8)</f>
        <v/>
      </c>
      <c r="G1321" s="4">
        <f>ROUND(C1321/C1320-1,8)</f>
        <v/>
      </c>
      <c r="H1321" s="4">
        <f>ROUND(D1321/100/(DATE(YEAR(A1321)+1,1,1)-DATE(YEAR(A1321),1,1))*E1321,8)</f>
        <v/>
      </c>
      <c r="I1321" s="4">
        <f>ROUND(I1320*(1+F1321),8)</f>
        <v/>
      </c>
      <c r="J1321" s="4">
        <f>ROUND(J1320*(1+G1321),8)</f>
        <v/>
      </c>
      <c r="K1321" s="4">
        <f>ROUND(K1320+H1321,8)</f>
        <v/>
      </c>
      <c r="L1321" s="4">
        <f>ROUND(0.9*F1321+0.05*G1321+0.05*H1321,8)</f>
        <v/>
      </c>
    </row>
    <row r="1322">
      <c r="A1322" s="2" t="n">
        <v>45734</v>
      </c>
      <c r="B1322" s="8" t="n">
        <v>2716.9</v>
      </c>
      <c r="C1322" s="8" t="n">
        <v>130.1457</v>
      </c>
      <c r="D1322" s="8" t="n">
        <v>0.35</v>
      </c>
      <c r="E1322">
        <f>A1322-A1321</f>
        <v/>
      </c>
      <c r="F1322" s="4">
        <f>ROUND(B1322/B1321-1,8)</f>
        <v/>
      </c>
      <c r="G1322" s="4">
        <f>ROUND(C1322/C1321-1,8)</f>
        <v/>
      </c>
      <c r="H1322" s="4">
        <f>ROUND(D1322/100/(DATE(YEAR(A1322)+1,1,1)-DATE(YEAR(A1322),1,1))*E1322,8)</f>
        <v/>
      </c>
      <c r="I1322" s="4">
        <f>ROUND(I1321*(1+F1322),8)</f>
        <v/>
      </c>
      <c r="J1322" s="4">
        <f>ROUND(J1321*(1+G1322),8)</f>
        <v/>
      </c>
      <c r="K1322" s="4">
        <f>ROUND(K1321+H1322,8)</f>
        <v/>
      </c>
      <c r="L1322" s="4">
        <f>ROUND(0.9*F1322+0.05*G1322+0.05*H1322,8)</f>
        <v/>
      </c>
    </row>
    <row r="1323">
      <c r="A1323" s="2" t="n">
        <v>45735</v>
      </c>
      <c r="B1323" s="8" t="n">
        <v>2702.11</v>
      </c>
      <c r="C1323" s="8" t="n">
        <v>130.1758</v>
      </c>
      <c r="D1323" s="8" t="n">
        <v>0.35</v>
      </c>
      <c r="E1323">
        <f>A1323-A1322</f>
        <v/>
      </c>
      <c r="F1323" s="4">
        <f>ROUND(B1323/B1322-1,8)</f>
        <v/>
      </c>
      <c r="G1323" s="4">
        <f>ROUND(C1323/C1322-1,8)</f>
        <v/>
      </c>
      <c r="H1323" s="4">
        <f>ROUND(D1323/100/(DATE(YEAR(A1323)+1,1,1)-DATE(YEAR(A1323),1,1))*E1323,8)</f>
        <v/>
      </c>
      <c r="I1323" s="4">
        <f>ROUND(I1322*(1+F1323),8)</f>
        <v/>
      </c>
      <c r="J1323" s="4">
        <f>ROUND(J1322*(1+G1323),8)</f>
        <v/>
      </c>
      <c r="K1323" s="4">
        <f>ROUND(K1322+H1323,8)</f>
        <v/>
      </c>
      <c r="L1323" s="4">
        <f>ROUND(0.9*F1323+0.05*G1323+0.05*H1323,8)</f>
        <v/>
      </c>
    </row>
    <row r="1324">
      <c r="A1324" s="2" t="n">
        <v>45736</v>
      </c>
      <c r="B1324" s="8" t="n">
        <v>2705.78</v>
      </c>
      <c r="C1324" s="8" t="n">
        <v>130.4392</v>
      </c>
      <c r="D1324" s="8" t="n">
        <v>0.35</v>
      </c>
      <c r="E1324">
        <f>A1324-A1323</f>
        <v/>
      </c>
      <c r="F1324" s="4">
        <f>ROUND(B1324/B1323-1,8)</f>
        <v/>
      </c>
      <c r="G1324" s="4">
        <f>ROUND(C1324/C1323-1,8)</f>
        <v/>
      </c>
      <c r="H1324" s="4">
        <f>ROUND(D1324/100/(DATE(YEAR(A1324)+1,1,1)-DATE(YEAR(A1324),1,1))*E1324,8)</f>
        <v/>
      </c>
      <c r="I1324" s="4">
        <f>ROUND(I1323*(1+F1324),8)</f>
        <v/>
      </c>
      <c r="J1324" s="4">
        <f>ROUND(J1323*(1+G1324),8)</f>
        <v/>
      </c>
      <c r="K1324" s="4">
        <f>ROUND(K1323+H1324,8)</f>
        <v/>
      </c>
      <c r="L1324" s="4">
        <f>ROUND(0.9*F1324+0.05*G1324+0.05*H1324,8)</f>
        <v/>
      </c>
    </row>
    <row r="1325">
      <c r="A1325" s="2" t="n">
        <v>45737</v>
      </c>
      <c r="B1325" s="8" t="n">
        <v>2648.56</v>
      </c>
      <c r="C1325" s="8" t="n">
        <v>130.4535</v>
      </c>
      <c r="D1325" s="8" t="n">
        <v>0.35</v>
      </c>
      <c r="E1325">
        <f>A1325-A1324</f>
        <v/>
      </c>
      <c r="F1325" s="4">
        <f>ROUND(B1325/B1324-1,8)</f>
        <v/>
      </c>
      <c r="G1325" s="4">
        <f>ROUND(C1325/C1324-1,8)</f>
        <v/>
      </c>
      <c r="H1325" s="4">
        <f>ROUND(D1325/100/(DATE(YEAR(A1325)+1,1,1)-DATE(YEAR(A1325),1,1))*E1325,8)</f>
        <v/>
      </c>
      <c r="I1325" s="4">
        <f>ROUND(I1324*(1+F1325),8)</f>
        <v/>
      </c>
      <c r="J1325" s="4">
        <f>ROUND(J1324*(1+G1325),8)</f>
        <v/>
      </c>
      <c r="K1325" s="4">
        <f>ROUND(K1324+H1325,8)</f>
        <v/>
      </c>
      <c r="L1325" s="4">
        <f>ROUND(0.9*F1325+0.05*G1325+0.05*H1325,8)</f>
        <v/>
      </c>
    </row>
    <row r="1326">
      <c r="A1326" s="2" t="n">
        <v>45740</v>
      </c>
      <c r="B1326" s="8" t="n">
        <v>2598.37</v>
      </c>
      <c r="C1326" s="8" t="n">
        <v>130.4262</v>
      </c>
      <c r="D1326" s="8" t="n">
        <v>0.35</v>
      </c>
      <c r="E1326">
        <f>A1326-A1325</f>
        <v/>
      </c>
      <c r="F1326" s="4">
        <f>ROUND(B1326/B1325-1,8)</f>
        <v/>
      </c>
      <c r="G1326" s="4">
        <f>ROUND(C1326/C1325-1,8)</f>
        <v/>
      </c>
      <c r="H1326" s="4">
        <f>ROUND(D1326/100/(DATE(YEAR(A1326)+1,1,1)-DATE(YEAR(A1326),1,1))*E1326,8)</f>
        <v/>
      </c>
      <c r="I1326" s="4">
        <f>ROUND(I1325*(1+F1326),8)</f>
        <v/>
      </c>
      <c r="J1326" s="4">
        <f>ROUND(J1325*(1+G1326),8)</f>
        <v/>
      </c>
      <c r="K1326" s="4">
        <f>ROUND(K1325+H1326,8)</f>
        <v/>
      </c>
      <c r="L1326" s="4">
        <f>ROUND(0.9*F1326+0.05*G1326+0.05*H1326,8)</f>
        <v/>
      </c>
    </row>
    <row r="1327">
      <c r="A1327" s="2" t="n">
        <v>45741</v>
      </c>
      <c r="B1327" s="8" t="n">
        <v>2572.82</v>
      </c>
      <c r="C1327" s="8" t="n">
        <v>130.5578</v>
      </c>
      <c r="D1327" s="8" t="n">
        <v>0.35</v>
      </c>
      <c r="E1327">
        <f>A1327-A1326</f>
        <v/>
      </c>
      <c r="F1327" s="4">
        <f>ROUND(B1327/B1326-1,8)</f>
        <v/>
      </c>
      <c r="G1327" s="4">
        <f>ROUND(C1327/C1326-1,8)</f>
        <v/>
      </c>
      <c r="H1327" s="4">
        <f>ROUND(D1327/100/(DATE(YEAR(A1327)+1,1,1)-DATE(YEAR(A1327),1,1))*E1327,8)</f>
        <v/>
      </c>
      <c r="I1327" s="4">
        <f>ROUND(I1326*(1+F1327),8)</f>
        <v/>
      </c>
      <c r="J1327" s="4">
        <f>ROUND(J1326*(1+G1327),8)</f>
        <v/>
      </c>
      <c r="K1327" s="4">
        <f>ROUND(K1326+H1327,8)</f>
        <v/>
      </c>
      <c r="L1327" s="4">
        <f>ROUND(0.9*F1327+0.05*G1327+0.05*H1327,8)</f>
        <v/>
      </c>
    </row>
    <row r="1328">
      <c r="A1328" s="2" t="n">
        <v>45742</v>
      </c>
      <c r="B1328" s="8" t="n">
        <v>2603.15</v>
      </c>
      <c r="C1328" s="8" t="n">
        <v>130.6329</v>
      </c>
      <c r="D1328" s="8" t="n">
        <v>0.35</v>
      </c>
      <c r="E1328">
        <f>A1328-A1327</f>
        <v/>
      </c>
      <c r="F1328" s="4">
        <f>ROUND(B1328/B1327-1,8)</f>
        <v/>
      </c>
      <c r="G1328" s="4">
        <f>ROUND(C1328/C1327-1,8)</f>
        <v/>
      </c>
      <c r="H1328" s="4">
        <f>ROUND(D1328/100/(DATE(YEAR(A1328)+1,1,1)-DATE(YEAR(A1328),1,1))*E1328,8)</f>
        <v/>
      </c>
      <c r="I1328" s="4">
        <f>ROUND(I1327*(1+F1328),8)</f>
        <v/>
      </c>
      <c r="J1328" s="4">
        <f>ROUND(J1327*(1+G1328),8)</f>
        <v/>
      </c>
      <c r="K1328" s="4">
        <f>ROUND(K1327+H1328,8)</f>
        <v/>
      </c>
      <c r="L1328" s="4">
        <f>ROUND(0.9*F1328+0.05*G1328+0.05*H1328,8)</f>
        <v/>
      </c>
    </row>
    <row r="1329">
      <c r="A1329" s="2" t="n">
        <v>45743</v>
      </c>
      <c r="B1329" s="8" t="n">
        <v>2584.22</v>
      </c>
      <c r="C1329" s="8" t="n">
        <v>130.6591</v>
      </c>
      <c r="D1329" s="8" t="n">
        <v>0.35</v>
      </c>
      <c r="E1329">
        <f>A1329-A1328</f>
        <v/>
      </c>
      <c r="F1329" s="4">
        <f>ROUND(B1329/B1328-1,8)</f>
        <v/>
      </c>
      <c r="G1329" s="4">
        <f>ROUND(C1329/C1328-1,8)</f>
        <v/>
      </c>
      <c r="H1329" s="4">
        <f>ROUND(D1329/100/(DATE(YEAR(A1329)+1,1,1)-DATE(YEAR(A1329),1,1))*E1329,8)</f>
        <v/>
      </c>
      <c r="I1329" s="4">
        <f>ROUND(I1328*(1+F1329),8)</f>
        <v/>
      </c>
      <c r="J1329" s="4">
        <f>ROUND(J1328*(1+G1329),8)</f>
        <v/>
      </c>
      <c r="K1329" s="4">
        <f>ROUND(K1328+H1329,8)</f>
        <v/>
      </c>
      <c r="L1329" s="4">
        <f>ROUND(0.9*F1329+0.05*G1329+0.05*H1329,8)</f>
        <v/>
      </c>
    </row>
    <row r="1330">
      <c r="A1330" s="2" t="n">
        <v>45744</v>
      </c>
      <c r="B1330" s="8" t="n">
        <v>2545.24</v>
      </c>
      <c r="C1330" s="8" t="n">
        <v>130.6448</v>
      </c>
      <c r="D1330" s="8" t="n">
        <v>0.35</v>
      </c>
      <c r="E1330">
        <f>A1330-A1329</f>
        <v/>
      </c>
      <c r="F1330" s="4">
        <f>ROUND(B1330/B1329-1,8)</f>
        <v/>
      </c>
      <c r="G1330" s="4">
        <f>ROUND(C1330/C1329-1,8)</f>
        <v/>
      </c>
      <c r="H1330" s="4">
        <f>ROUND(D1330/100/(DATE(YEAR(A1330)+1,1,1)-DATE(YEAR(A1330),1,1))*E1330,8)</f>
        <v/>
      </c>
      <c r="I1330" s="4">
        <f>ROUND(I1329*(1+F1330),8)</f>
        <v/>
      </c>
      <c r="J1330" s="4">
        <f>ROUND(J1329*(1+G1330),8)</f>
        <v/>
      </c>
      <c r="K1330" s="4">
        <f>ROUND(K1329+H1330,8)</f>
        <v/>
      </c>
      <c r="L1330" s="4">
        <f>ROUND(0.9*F1330+0.05*G1330+0.05*H1330,8)</f>
        <v/>
      </c>
    </row>
    <row r="1331">
      <c r="A1331" s="2" t="n">
        <v>45747</v>
      </c>
      <c r="B1331" s="8" t="n">
        <v>2514.34</v>
      </c>
      <c r="C1331" s="8" t="n">
        <v>130.6766</v>
      </c>
      <c r="D1331" s="8" t="n">
        <v>0.35</v>
      </c>
      <c r="E1331">
        <f>A1331-A1330</f>
        <v/>
      </c>
      <c r="F1331" s="4">
        <f>ROUND(B1331/B1330-1,8)</f>
        <v/>
      </c>
      <c r="G1331" s="4">
        <f>ROUND(C1331/C1330-1,8)</f>
        <v/>
      </c>
      <c r="H1331" s="4">
        <f>ROUND(D1331/100/(DATE(YEAR(A1331)+1,1,1)-DATE(YEAR(A1331),1,1))*E1331,8)</f>
        <v/>
      </c>
      <c r="I1331" s="4">
        <f>ROUND(I1330*(1+F1331),8)</f>
        <v/>
      </c>
      <c r="J1331" s="4">
        <f>ROUND(J1330*(1+G1331),8)</f>
        <v/>
      </c>
      <c r="K1331" s="4">
        <f>ROUND(K1330+H1331,8)</f>
        <v/>
      </c>
      <c r="L1331" s="4">
        <f>ROUND(0.9*F1331+0.05*G1331+0.05*H1331,8)</f>
        <v/>
      </c>
    </row>
    <row r="1332">
      <c r="A1332" s="2" t="n">
        <v>45748</v>
      </c>
      <c r="B1332" s="8" t="n">
        <v>2536.67</v>
      </c>
      <c r="C1332" s="8" t="n">
        <v>130.7217</v>
      </c>
      <c r="D1332" s="8" t="n">
        <v>0.35</v>
      </c>
      <c r="E1332">
        <f>A1332-A1331</f>
        <v/>
      </c>
      <c r="F1332" s="4">
        <f>ROUND(B1332/B1331-1,8)</f>
        <v/>
      </c>
      <c r="G1332" s="4">
        <f>ROUND(C1332/C1331-1,8)</f>
        <v/>
      </c>
      <c r="H1332" s="4">
        <f>ROUND(D1332/100/(DATE(YEAR(A1332)+1,1,1)-DATE(YEAR(A1332),1,1))*E1332,8)</f>
        <v/>
      </c>
      <c r="I1332" s="4">
        <f>ROUND(I1331*(1+F1332),8)</f>
        <v/>
      </c>
      <c r="J1332" s="4">
        <f>ROUND(J1331*(1+G1332),8)</f>
        <v/>
      </c>
      <c r="K1332" s="4">
        <f>ROUND(K1331+H1332,8)</f>
        <v/>
      </c>
      <c r="L1332" s="4">
        <f>ROUND(0.9*F1332+0.05*G1332+0.05*H1332,8)</f>
        <v/>
      </c>
    </row>
    <row r="1333">
      <c r="A1333" s="2" t="n">
        <v>45749</v>
      </c>
      <c r="B1333" s="8" t="n">
        <v>2543.58</v>
      </c>
      <c r="C1333" s="8" t="n">
        <v>130.9025</v>
      </c>
      <c r="D1333" s="8" t="n">
        <v>0.35</v>
      </c>
      <c r="E1333">
        <f>A1333-A1332</f>
        <v/>
      </c>
      <c r="F1333" s="4">
        <f>ROUND(B1333/B1332-1,8)</f>
        <v/>
      </c>
      <c r="G1333" s="4">
        <f>ROUND(C1333/C1332-1,8)</f>
        <v/>
      </c>
      <c r="H1333" s="4">
        <f>ROUND(D1333/100/(DATE(YEAR(A1333)+1,1,1)-DATE(YEAR(A1333),1,1))*E1333,8)</f>
        <v/>
      </c>
      <c r="I1333" s="4">
        <f>ROUND(I1332*(1+F1333),8)</f>
        <v/>
      </c>
      <c r="J1333" s="4">
        <f>ROUND(J1332*(1+G1333),8)</f>
        <v/>
      </c>
      <c r="K1333" s="4">
        <f>ROUND(K1332+H1333,8)</f>
        <v/>
      </c>
      <c r="L1333" s="4">
        <f>ROUND(0.9*F1333+0.05*G1333+0.05*H1333,8)</f>
        <v/>
      </c>
    </row>
    <row r="1334">
      <c r="A1334" s="2" t="n">
        <v>45750</v>
      </c>
      <c r="B1334" s="8" t="n">
        <v>2517.51</v>
      </c>
      <c r="C1334" s="8" t="n">
        <v>131.4507</v>
      </c>
      <c r="D1334" s="8" t="n">
        <v>0.35</v>
      </c>
      <c r="E1334">
        <f>A1334-A1333</f>
        <v/>
      </c>
      <c r="F1334" s="4">
        <f>ROUND(B1334/B1333-1,8)</f>
        <v/>
      </c>
      <c r="G1334" s="4">
        <f>ROUND(C1334/C1333-1,8)</f>
        <v/>
      </c>
      <c r="H1334" s="4">
        <f>ROUND(D1334/100/(DATE(YEAR(A1334)+1,1,1)-DATE(YEAR(A1334),1,1))*E1334,8)</f>
        <v/>
      </c>
      <c r="I1334" s="4">
        <f>ROUND(I1333*(1+F1334),8)</f>
        <v/>
      </c>
      <c r="J1334" s="4">
        <f>ROUND(J1333*(1+G1334),8)</f>
        <v/>
      </c>
      <c r="K1334" s="4">
        <f>ROUND(K1333+H1334,8)</f>
        <v/>
      </c>
      <c r="L1334" s="4">
        <f>ROUND(0.9*F1334+0.05*G1334+0.05*H1334,8)</f>
        <v/>
      </c>
    </row>
    <row r="1335">
      <c r="A1335" s="2" t="n">
        <v>45754</v>
      </c>
      <c r="B1335" s="8" t="n">
        <v>2194.48</v>
      </c>
      <c r="C1335" s="8" t="n">
        <v>132.0177</v>
      </c>
      <c r="D1335" s="8" t="n">
        <v>0.35</v>
      </c>
      <c r="E1335">
        <f>A1335-A1334</f>
        <v/>
      </c>
      <c r="F1335" s="4">
        <f>ROUND(B1335/B1334-1,8)</f>
        <v/>
      </c>
      <c r="G1335" s="4">
        <f>ROUND(C1335/C1334-1,8)</f>
        <v/>
      </c>
      <c r="H1335" s="4">
        <f>ROUND(D1335/100/(DATE(YEAR(A1335)+1,1,1)-DATE(YEAR(A1335),1,1))*E1335,8)</f>
        <v/>
      </c>
      <c r="I1335" s="4">
        <f>ROUND(I1334*(1+F1335),8)</f>
        <v/>
      </c>
      <c r="J1335" s="4">
        <f>ROUND(J1334*(1+G1335),8)</f>
        <v/>
      </c>
      <c r="K1335" s="4">
        <f>ROUND(K1334+H1335,8)</f>
        <v/>
      </c>
      <c r="L1335" s="4">
        <f>ROUND(0.9*F1335+0.05*G1335+0.05*H1335,8)</f>
        <v/>
      </c>
    </row>
    <row r="1336">
      <c r="A1336" s="2" t="n">
        <v>45755</v>
      </c>
      <c r="B1336" s="8" t="n">
        <v>2183.12</v>
      </c>
      <c r="C1336" s="8" t="n">
        <v>131.7734</v>
      </c>
      <c r="D1336" s="8" t="n">
        <v>0.35</v>
      </c>
      <c r="E1336">
        <f>A1336-A1335</f>
        <v/>
      </c>
      <c r="F1336" s="4">
        <f>ROUND(B1336/B1335-1,8)</f>
        <v/>
      </c>
      <c r="G1336" s="4">
        <f>ROUND(C1336/C1335-1,8)</f>
        <v/>
      </c>
      <c r="H1336" s="4">
        <f>ROUND(D1336/100/(DATE(YEAR(A1336)+1,1,1)-DATE(YEAR(A1336),1,1))*E1336,8)</f>
        <v/>
      </c>
      <c r="I1336" s="4">
        <f>ROUND(I1335*(1+F1336),8)</f>
        <v/>
      </c>
      <c r="J1336" s="4">
        <f>ROUND(J1335*(1+G1336),8)</f>
        <v/>
      </c>
      <c r="K1336" s="4">
        <f>ROUND(K1335+H1336,8)</f>
        <v/>
      </c>
      <c r="L1336" s="4">
        <f>ROUND(0.9*F1336+0.05*G1336+0.05*H1336,8)</f>
        <v/>
      </c>
    </row>
    <row r="1337">
      <c r="A1337" s="2" t="n">
        <v>45756</v>
      </c>
      <c r="B1337" s="8" t="n">
        <v>2248.34</v>
      </c>
      <c r="C1337" s="8" t="n">
        <v>131.804</v>
      </c>
      <c r="D1337" s="8" t="n">
        <v>0.35</v>
      </c>
      <c r="E1337">
        <f>A1337-A1336</f>
        <v/>
      </c>
      <c r="F1337" s="4">
        <f>ROUND(B1337/B1336-1,8)</f>
        <v/>
      </c>
      <c r="G1337" s="4">
        <f>ROUND(C1337/C1336-1,8)</f>
        <v/>
      </c>
      <c r="H1337" s="4">
        <f>ROUND(D1337/100/(DATE(YEAR(A1337)+1,1,1)-DATE(YEAR(A1337),1,1))*E1337,8)</f>
        <v/>
      </c>
      <c r="I1337" s="4">
        <f>ROUND(I1336*(1+F1337),8)</f>
        <v/>
      </c>
      <c r="J1337" s="4">
        <f>ROUND(J1336*(1+G1337),8)</f>
        <v/>
      </c>
      <c r="K1337" s="4">
        <f>ROUND(K1336+H1337,8)</f>
        <v/>
      </c>
      <c r="L1337" s="4">
        <f>ROUND(0.9*F1337+0.05*G1337+0.05*H1337,8)</f>
        <v/>
      </c>
    </row>
    <row r="1338">
      <c r="A1338" s="2" t="n">
        <v>45757</v>
      </c>
      <c r="B1338" s="8" t="n">
        <v>2318.56</v>
      </c>
      <c r="C1338" s="8" t="n">
        <v>131.7522</v>
      </c>
      <c r="D1338" s="8" t="n">
        <v>0.35</v>
      </c>
      <c r="E1338">
        <f>A1338-A1337</f>
        <v/>
      </c>
      <c r="F1338" s="4">
        <f>ROUND(B1338/B1337-1,8)</f>
        <v/>
      </c>
      <c r="G1338" s="4">
        <f>ROUND(C1338/C1337-1,8)</f>
        <v/>
      </c>
      <c r="H1338" s="4">
        <f>ROUND(D1338/100/(DATE(YEAR(A1338)+1,1,1)-DATE(YEAR(A1338),1,1))*E1338,8)</f>
        <v/>
      </c>
      <c r="I1338" s="4">
        <f>ROUND(I1337*(1+F1338),8)</f>
        <v/>
      </c>
      <c r="J1338" s="4">
        <f>ROUND(J1337*(1+G1338),8)</f>
        <v/>
      </c>
      <c r="K1338" s="4">
        <f>ROUND(K1337+H1338,8)</f>
        <v/>
      </c>
      <c r="L1338" s="4">
        <f>ROUND(0.9*F1338+0.05*G1338+0.05*H1338,8)</f>
        <v/>
      </c>
    </row>
    <row r="1339">
      <c r="A1339" s="2" t="n">
        <v>45758</v>
      </c>
      <c r="B1339" s="8" t="n">
        <v>2341.06</v>
      </c>
      <c r="C1339" s="8" t="n">
        <v>131.7819</v>
      </c>
      <c r="D1339" s="8" t="n">
        <v>0.35</v>
      </c>
      <c r="E1339">
        <f>A1339-A1338</f>
        <v/>
      </c>
      <c r="F1339" s="4">
        <f>ROUND(B1339/B1338-1,8)</f>
        <v/>
      </c>
      <c r="G1339" s="4">
        <f>ROUND(C1339/C1338-1,8)</f>
        <v/>
      </c>
      <c r="H1339" s="4">
        <f>ROUND(D1339/100/(DATE(YEAR(A1339)+1,1,1)-DATE(YEAR(A1339),1,1))*E1339,8)</f>
        <v/>
      </c>
      <c r="I1339" s="4">
        <f>ROUND(I1338*(1+F1339),8)</f>
        <v/>
      </c>
      <c r="J1339" s="4">
        <f>ROUND(J1338*(1+G1339),8)</f>
        <v/>
      </c>
      <c r="K1339" s="4">
        <f>ROUND(K1338+H1339,8)</f>
        <v/>
      </c>
      <c r="L1339" s="4">
        <f>ROUND(0.9*F1339+0.05*G1339+0.05*H1339,8)</f>
        <v/>
      </c>
    </row>
    <row r="1340">
      <c r="A1340" s="2" t="n">
        <v>45761</v>
      </c>
      <c r="B1340" s="8" t="n">
        <v>2392.14</v>
      </c>
      <c r="C1340" s="8" t="n">
        <v>131.7377</v>
      </c>
      <c r="D1340" s="8" t="n">
        <v>0.35</v>
      </c>
      <c r="E1340">
        <f>A1340-A1339</f>
        <v/>
      </c>
      <c r="F1340" s="4">
        <f>ROUND(B1340/B1339-1,8)</f>
        <v/>
      </c>
      <c r="G1340" s="4">
        <f>ROUND(C1340/C1339-1,8)</f>
        <v/>
      </c>
      <c r="H1340" s="4">
        <f>ROUND(D1340/100/(DATE(YEAR(A1340)+1,1,1)-DATE(YEAR(A1340),1,1))*E1340,8)</f>
        <v/>
      </c>
      <c r="I1340" s="4">
        <f>ROUND(I1339*(1+F1340),8)</f>
        <v/>
      </c>
      <c r="J1340" s="4">
        <f>ROUND(J1339*(1+G1340),8)</f>
        <v/>
      </c>
      <c r="K1340" s="4">
        <f>ROUND(K1339+H1340,8)</f>
        <v/>
      </c>
      <c r="L1340" s="4">
        <f>ROUND(0.9*F1340+0.05*G1340+0.05*H1340,8)</f>
        <v/>
      </c>
    </row>
    <row r="1341">
      <c r="A1341" s="2" t="n">
        <v>45762</v>
      </c>
      <c r="B1341" s="8" t="n">
        <v>2390.95</v>
      </c>
      <c r="C1341" s="8" t="n">
        <v>131.7242</v>
      </c>
      <c r="D1341" s="8" t="n">
        <v>0.35</v>
      </c>
      <c r="E1341">
        <f>A1341-A1340</f>
        <v/>
      </c>
      <c r="F1341" s="4">
        <f>ROUND(B1341/B1340-1,8)</f>
        <v/>
      </c>
      <c r="G1341" s="4">
        <f>ROUND(C1341/C1340-1,8)</f>
        <v/>
      </c>
      <c r="H1341" s="4">
        <f>ROUND(D1341/100/(DATE(YEAR(A1341)+1,1,1)-DATE(YEAR(A1341),1,1))*E1341,8)</f>
        <v/>
      </c>
      <c r="I1341" s="4">
        <f>ROUND(I1340*(1+F1341),8)</f>
        <v/>
      </c>
      <c r="J1341" s="4">
        <f>ROUND(J1340*(1+G1341),8)</f>
        <v/>
      </c>
      <c r="K1341" s="4">
        <f>ROUND(K1340+H1341,8)</f>
        <v/>
      </c>
      <c r="L1341" s="4">
        <f>ROUND(0.9*F1341+0.05*G1341+0.05*H1341,8)</f>
        <v/>
      </c>
    </row>
    <row r="1342">
      <c r="A1342" s="2" t="n">
        <v>45763</v>
      </c>
      <c r="B1342" s="8" t="n">
        <v>2350.1</v>
      </c>
      <c r="C1342" s="8" t="n">
        <v>131.7859</v>
      </c>
      <c r="D1342" s="8" t="n">
        <v>0.35</v>
      </c>
      <c r="E1342">
        <f>A1342-A1341</f>
        <v/>
      </c>
      <c r="F1342" s="4">
        <f>ROUND(B1342/B1341-1,8)</f>
        <v/>
      </c>
      <c r="G1342" s="4">
        <f>ROUND(C1342/C1341-1,8)</f>
        <v/>
      </c>
      <c r="H1342" s="4">
        <f>ROUND(D1342/100/(DATE(YEAR(A1342)+1,1,1)-DATE(YEAR(A1342),1,1))*E1342,8)</f>
        <v/>
      </c>
      <c r="I1342" s="4">
        <f>ROUND(I1341*(1+F1342),8)</f>
        <v/>
      </c>
      <c r="J1342" s="4">
        <f>ROUND(J1341*(1+G1342),8)</f>
        <v/>
      </c>
      <c r="K1342" s="4">
        <f>ROUND(K1341+H1342,8)</f>
        <v/>
      </c>
      <c r="L1342" s="4">
        <f>ROUND(0.9*F1342+0.05*G1342+0.05*H1342,8)</f>
        <v/>
      </c>
    </row>
    <row r="1343">
      <c r="A1343" s="2" t="n">
        <v>45764</v>
      </c>
      <c r="B1343" s="8" t="n">
        <v>2363.26</v>
      </c>
      <c r="C1343" s="8" t="n">
        <v>131.7207</v>
      </c>
      <c r="D1343" s="8" t="n">
        <v>0.35</v>
      </c>
      <c r="E1343">
        <f>A1343-A1342</f>
        <v/>
      </c>
      <c r="F1343" s="4">
        <f>ROUND(B1343/B1342-1,8)</f>
        <v/>
      </c>
      <c r="G1343" s="4">
        <f>ROUND(C1343/C1342-1,8)</f>
        <v/>
      </c>
      <c r="H1343" s="4">
        <f>ROUND(D1343/100/(DATE(YEAR(A1343)+1,1,1)-DATE(YEAR(A1343),1,1))*E1343,8)</f>
        <v/>
      </c>
      <c r="I1343" s="4">
        <f>ROUND(I1342*(1+F1343),8)</f>
        <v/>
      </c>
      <c r="J1343" s="4">
        <f>ROUND(J1342*(1+G1343),8)</f>
        <v/>
      </c>
      <c r="K1343" s="4">
        <f>ROUND(K1342+H1343,8)</f>
        <v/>
      </c>
      <c r="L1343" s="4">
        <f>ROUND(0.9*F1343+0.05*G1343+0.05*H1343,8)</f>
        <v/>
      </c>
    </row>
    <row r="1344">
      <c r="A1344" s="2" t="n">
        <v>45765</v>
      </c>
      <c r="B1344" s="8" t="n">
        <v>2358.63</v>
      </c>
      <c r="C1344" s="8" t="n">
        <v>131.7026</v>
      </c>
      <c r="D1344" s="8" t="n">
        <v>0.35</v>
      </c>
      <c r="E1344">
        <f>A1344-A1343</f>
        <v/>
      </c>
      <c r="F1344" s="4">
        <f>ROUND(B1344/B1343-1,8)</f>
        <v/>
      </c>
      <c r="G1344" s="4">
        <f>ROUND(C1344/C1343-1,8)</f>
        <v/>
      </c>
      <c r="H1344" s="4">
        <f>ROUND(D1344/100/(DATE(YEAR(A1344)+1,1,1)-DATE(YEAR(A1344),1,1))*E1344,8)</f>
        <v/>
      </c>
      <c r="I1344" s="4">
        <f>ROUND(I1343*(1+F1344),8)</f>
        <v/>
      </c>
      <c r="J1344" s="4">
        <f>ROUND(J1343*(1+G1344),8)</f>
        <v/>
      </c>
      <c r="K1344" s="4">
        <f>ROUND(K1343+H1344,8)</f>
        <v/>
      </c>
      <c r="L1344" s="4">
        <f>ROUND(0.9*F1344+0.05*G1344+0.05*H1344,8)</f>
        <v/>
      </c>
    </row>
    <row r="1345">
      <c r="A1345" s="2" t="n">
        <v>45768</v>
      </c>
      <c r="B1345" s="8" t="n">
        <v>2412.66</v>
      </c>
      <c r="C1345" s="8" t="n">
        <v>131.6411</v>
      </c>
      <c r="D1345" s="8" t="n">
        <v>0.35</v>
      </c>
      <c r="E1345">
        <f>A1345-A1344</f>
        <v/>
      </c>
      <c r="F1345" s="4">
        <f>ROUND(B1345/B1344-1,8)</f>
        <v/>
      </c>
      <c r="G1345" s="4">
        <f>ROUND(C1345/C1344-1,8)</f>
        <v/>
      </c>
      <c r="H1345" s="4">
        <f>ROUND(D1345/100/(DATE(YEAR(A1345)+1,1,1)-DATE(YEAR(A1345),1,1))*E1345,8)</f>
        <v/>
      </c>
      <c r="I1345" s="4">
        <f>ROUND(I1344*(1+F1345),8)</f>
        <v/>
      </c>
      <c r="J1345" s="4">
        <f>ROUND(J1344*(1+G1345),8)</f>
        <v/>
      </c>
      <c r="K1345" s="4">
        <f>ROUND(K1344+H1345,8)</f>
        <v/>
      </c>
      <c r="L1345" s="4">
        <f>ROUND(0.9*F1345+0.05*G1345+0.05*H1345,8)</f>
        <v/>
      </c>
    </row>
    <row r="1346">
      <c r="A1346" s="2" t="n">
        <v>45769</v>
      </c>
      <c r="B1346" s="8" t="n">
        <v>2412.3</v>
      </c>
      <c r="C1346" s="8" t="n">
        <v>131.6755</v>
      </c>
      <c r="D1346" s="8" t="n">
        <v>0.35</v>
      </c>
      <c r="E1346">
        <f>A1346-A1345</f>
        <v/>
      </c>
      <c r="F1346" s="4">
        <f>ROUND(B1346/B1345-1,8)</f>
        <v/>
      </c>
      <c r="G1346" s="4">
        <f>ROUND(C1346/C1345-1,8)</f>
        <v/>
      </c>
      <c r="H1346" s="4">
        <f>ROUND(D1346/100/(DATE(YEAR(A1346)+1,1,1)-DATE(YEAR(A1346),1,1))*E1346,8)</f>
        <v/>
      </c>
      <c r="I1346" s="4">
        <f>ROUND(I1345*(1+F1346),8)</f>
        <v/>
      </c>
      <c r="J1346" s="4">
        <f>ROUND(J1345*(1+G1346),8)</f>
        <v/>
      </c>
      <c r="K1346" s="4">
        <f>ROUND(K1345+H1346,8)</f>
        <v/>
      </c>
      <c r="L1346" s="4">
        <f>ROUND(0.9*F1346+0.05*G1346+0.05*H1346,8)</f>
        <v/>
      </c>
    </row>
    <row r="1347">
      <c r="A1347" s="2" t="n">
        <v>45770</v>
      </c>
      <c r="B1347" s="8" t="n">
        <v>2440.61</v>
      </c>
      <c r="C1347" s="8" t="n">
        <v>131.5967</v>
      </c>
      <c r="D1347" s="8" t="n">
        <v>0.35</v>
      </c>
      <c r="E1347">
        <f>A1347-A1346</f>
        <v/>
      </c>
      <c r="F1347" s="4">
        <f>ROUND(B1347/B1346-1,8)</f>
        <v/>
      </c>
      <c r="G1347" s="4">
        <f>ROUND(C1347/C1346-1,8)</f>
        <v/>
      </c>
      <c r="H1347" s="4">
        <f>ROUND(D1347/100/(DATE(YEAR(A1347)+1,1,1)-DATE(YEAR(A1347),1,1))*E1347,8)</f>
        <v/>
      </c>
      <c r="I1347" s="4">
        <f>ROUND(I1346*(1+F1347),8)</f>
        <v/>
      </c>
      <c r="J1347" s="4">
        <f>ROUND(J1346*(1+G1347),8)</f>
        <v/>
      </c>
      <c r="K1347" s="4">
        <f>ROUND(K1346+H1347,8)</f>
        <v/>
      </c>
      <c r="L1347" s="4">
        <f>ROUND(0.9*F1347+0.05*G1347+0.05*H1347,8)</f>
        <v/>
      </c>
    </row>
    <row r="1348">
      <c r="A1348" s="2" t="n">
        <v>45771</v>
      </c>
      <c r="B1348" s="8" t="n">
        <v>2415.55</v>
      </c>
      <c r="C1348" s="8" t="n">
        <v>131.601</v>
      </c>
      <c r="D1348" s="8" t="n">
        <v>0.35</v>
      </c>
      <c r="E1348">
        <f>A1348-A1347</f>
        <v/>
      </c>
      <c r="F1348" s="4">
        <f>ROUND(B1348/B1347-1,8)</f>
        <v/>
      </c>
      <c r="G1348" s="4">
        <f>ROUND(C1348/C1347-1,8)</f>
        <v/>
      </c>
      <c r="H1348" s="4">
        <f>ROUND(D1348/100/(DATE(YEAR(A1348)+1,1,1)-DATE(YEAR(A1348),1,1))*E1348,8)</f>
        <v/>
      </c>
      <c r="I1348" s="4">
        <f>ROUND(I1347*(1+F1348),8)</f>
        <v/>
      </c>
      <c r="J1348" s="4">
        <f>ROUND(J1347*(1+G1348),8)</f>
        <v/>
      </c>
      <c r="K1348" s="4">
        <f>ROUND(K1347+H1348,8)</f>
        <v/>
      </c>
      <c r="L1348" s="4">
        <f>ROUND(0.9*F1348+0.05*G1348+0.05*H1348,8)</f>
        <v/>
      </c>
    </row>
    <row r="1349">
      <c r="A1349" s="2" t="n">
        <v>45772</v>
      </c>
      <c r="B1349" s="8" t="n">
        <v>2422.49</v>
      </c>
      <c r="C1349" s="8" t="n">
        <v>131.6186</v>
      </c>
      <c r="D1349" s="8" t="n">
        <v>0.35</v>
      </c>
      <c r="E1349">
        <f>A1349-A1348</f>
        <v/>
      </c>
      <c r="F1349" s="4">
        <f>ROUND(B1349/B1348-1,8)</f>
        <v/>
      </c>
      <c r="G1349" s="4">
        <f>ROUND(C1349/C1348-1,8)</f>
        <v/>
      </c>
      <c r="H1349" s="4">
        <f>ROUND(D1349/100/(DATE(YEAR(A1349)+1,1,1)-DATE(YEAR(A1349),1,1))*E1349,8)</f>
        <v/>
      </c>
      <c r="I1349" s="4">
        <f>ROUND(I1348*(1+F1349),8)</f>
        <v/>
      </c>
      <c r="J1349" s="4">
        <f>ROUND(J1348*(1+G1349),8)</f>
        <v/>
      </c>
      <c r="K1349" s="4">
        <f>ROUND(K1348+H1349,8)</f>
        <v/>
      </c>
      <c r="L1349" s="4">
        <f>ROUND(0.9*F1349+0.05*G1349+0.05*H1349,8)</f>
        <v/>
      </c>
    </row>
    <row r="1350">
      <c r="A1350" s="2" t="n">
        <v>45775</v>
      </c>
      <c r="B1350" s="8" t="n">
        <v>2388.03</v>
      </c>
      <c r="C1350" s="8" t="n">
        <v>131.697</v>
      </c>
      <c r="D1350" s="8" t="n">
        <v>0.35</v>
      </c>
      <c r="E1350">
        <f>A1350-A1349</f>
        <v/>
      </c>
      <c r="F1350" s="4">
        <f>ROUND(B1350/B1349-1,8)</f>
        <v/>
      </c>
      <c r="G1350" s="4">
        <f>ROUND(C1350/C1349-1,8)</f>
        <v/>
      </c>
      <c r="H1350" s="4">
        <f>ROUND(D1350/100/(DATE(YEAR(A1350)+1,1,1)-DATE(YEAR(A1350),1,1))*E1350,8)</f>
        <v/>
      </c>
      <c r="I1350" s="4">
        <f>ROUND(I1349*(1+F1350),8)</f>
        <v/>
      </c>
      <c r="J1350" s="4">
        <f>ROUND(J1349*(1+G1350),8)</f>
        <v/>
      </c>
      <c r="K1350" s="4">
        <f>ROUND(K1349+H1350,8)</f>
        <v/>
      </c>
      <c r="L1350" s="4">
        <f>ROUND(0.9*F1350+0.05*G1350+0.05*H1350,8)</f>
        <v/>
      </c>
    </row>
    <row r="1351">
      <c r="A1351" s="2" t="n">
        <v>45776</v>
      </c>
      <c r="B1351" s="8" t="n">
        <v>2411.68</v>
      </c>
      <c r="C1351" s="8" t="n">
        <v>131.8468</v>
      </c>
      <c r="D1351" s="8" t="n">
        <v>0.35</v>
      </c>
      <c r="E1351">
        <f>A1351-A1350</f>
        <v/>
      </c>
      <c r="F1351" s="4">
        <f>ROUND(B1351/B1350-1,8)</f>
        <v/>
      </c>
      <c r="G1351" s="4">
        <f>ROUND(C1351/C1350-1,8)</f>
        <v/>
      </c>
      <c r="H1351" s="4">
        <f>ROUND(D1351/100/(DATE(YEAR(A1351)+1,1,1)-DATE(YEAR(A1351),1,1))*E1351,8)</f>
        <v/>
      </c>
      <c r="I1351" s="4">
        <f>ROUND(I1350*(1+F1351),8)</f>
        <v/>
      </c>
      <c r="J1351" s="4">
        <f>ROUND(J1350*(1+G1351),8)</f>
        <v/>
      </c>
      <c r="K1351" s="4">
        <f>ROUND(K1350+H1351,8)</f>
        <v/>
      </c>
      <c r="L1351" s="4">
        <f>ROUND(0.9*F1351+0.05*G1351+0.05*H1351,8)</f>
        <v/>
      </c>
    </row>
    <row r="1352">
      <c r="A1352" s="2" t="n">
        <v>45777</v>
      </c>
      <c r="B1352" s="8" t="n">
        <v>2442.89</v>
      </c>
      <c r="C1352" s="8" t="n">
        <v>131.9156</v>
      </c>
      <c r="D1352" s="8" t="n">
        <v>0.35</v>
      </c>
      <c r="E1352">
        <f>A1352-A1351</f>
        <v/>
      </c>
      <c r="F1352" s="4">
        <f>ROUND(B1352/B1351-1,8)</f>
        <v/>
      </c>
      <c r="G1352" s="4">
        <f>ROUND(C1352/C1351-1,8)</f>
        <v/>
      </c>
      <c r="H1352" s="4">
        <f>ROUND(D1352/100/(DATE(YEAR(A1352)+1,1,1)-DATE(YEAR(A1352),1,1))*E1352,8)</f>
        <v/>
      </c>
      <c r="I1352" s="4">
        <f>ROUND(I1351*(1+F1352),8)</f>
        <v/>
      </c>
      <c r="J1352" s="4">
        <f>ROUND(J1351*(1+G1352),8)</f>
        <v/>
      </c>
      <c r="K1352" s="4">
        <f>ROUND(K1351+H1352,8)</f>
        <v/>
      </c>
      <c r="L1352" s="4">
        <f>ROUND(0.9*F1352+0.05*G1352+0.05*H1352,8)</f>
        <v/>
      </c>
    </row>
    <row r="1353">
      <c r="A1353" s="2" t="n">
        <v>45783</v>
      </c>
      <c r="B1353" s="8" t="n">
        <v>2522.31</v>
      </c>
      <c r="C1353" s="8" t="n">
        <v>131.9718</v>
      </c>
      <c r="D1353" s="8" t="n">
        <v>0.35</v>
      </c>
      <c r="E1353">
        <f>A1353-A1352</f>
        <v/>
      </c>
      <c r="F1353" s="4">
        <f>ROUND(B1353/B1352-1,8)</f>
        <v/>
      </c>
      <c r="G1353" s="4">
        <f>ROUND(C1353/C1352-1,8)</f>
        <v/>
      </c>
      <c r="H1353" s="4">
        <f>ROUND(D1353/100/(DATE(YEAR(A1353)+1,1,1)-DATE(YEAR(A1353),1,1))*E1353,8)</f>
        <v/>
      </c>
      <c r="I1353" s="4">
        <f>ROUND(I1352*(1+F1353),8)</f>
        <v/>
      </c>
      <c r="J1353" s="4">
        <f>ROUND(J1352*(1+G1353),8)</f>
        <v/>
      </c>
      <c r="K1353" s="4">
        <f>ROUND(K1352+H1353,8)</f>
        <v/>
      </c>
      <c r="L1353" s="4">
        <f>ROUND(0.9*F1353+0.05*G1353+0.05*H1353,8)</f>
        <v/>
      </c>
    </row>
    <row r="1354">
      <c r="A1354" s="2" t="n">
        <v>45784</v>
      </c>
      <c r="B1354" s="8" t="n">
        <v>2540.98</v>
      </c>
      <c r="C1354" s="8" t="n">
        <v>131.9164</v>
      </c>
      <c r="D1354" s="8" t="n">
        <v>0.35</v>
      </c>
      <c r="E1354">
        <f>A1354-A1353</f>
        <v/>
      </c>
      <c r="F1354" s="4">
        <f>ROUND(B1354/B1353-1,8)</f>
        <v/>
      </c>
      <c r="G1354" s="4">
        <f>ROUND(C1354/C1353-1,8)</f>
        <v/>
      </c>
      <c r="H1354" s="4">
        <f>ROUND(D1354/100/(DATE(YEAR(A1354)+1,1,1)-DATE(YEAR(A1354),1,1))*E1354,8)</f>
        <v/>
      </c>
      <c r="I1354" s="4">
        <f>ROUND(I1353*(1+F1354),8)</f>
        <v/>
      </c>
      <c r="J1354" s="4">
        <f>ROUND(J1353*(1+G1354),8)</f>
        <v/>
      </c>
      <c r="K1354" s="4">
        <f>ROUND(K1353+H1354,8)</f>
        <v/>
      </c>
      <c r="L1354" s="4">
        <f>ROUND(0.9*F1354+0.05*G1354+0.05*H1354,8)</f>
        <v/>
      </c>
    </row>
    <row r="1355">
      <c r="A1355" s="2" t="n">
        <v>45785</v>
      </c>
      <c r="B1355" s="8" t="n">
        <v>2568.67</v>
      </c>
      <c r="C1355" s="8" t="n">
        <v>132.0201</v>
      </c>
      <c r="D1355" s="8" t="n">
        <v>0.35</v>
      </c>
      <c r="E1355">
        <f>A1355-A1354</f>
        <v/>
      </c>
      <c r="F1355" s="4">
        <f>ROUND(B1355/B1354-1,8)</f>
        <v/>
      </c>
      <c r="G1355" s="4">
        <f>ROUND(C1355/C1354-1,8)</f>
        <v/>
      </c>
      <c r="H1355" s="4">
        <f>ROUND(D1355/100/(DATE(YEAR(A1355)+1,1,1)-DATE(YEAR(A1355),1,1))*E1355,8)</f>
        <v/>
      </c>
      <c r="I1355" s="4">
        <f>ROUND(I1354*(1+F1355),8)</f>
        <v/>
      </c>
      <c r="J1355" s="4">
        <f>ROUND(J1354*(1+G1355),8)</f>
        <v/>
      </c>
      <c r="K1355" s="4">
        <f>ROUND(K1354+H1355,8)</f>
        <v/>
      </c>
      <c r="L1355" s="4">
        <f>ROUND(0.9*F1355+0.05*G1355+0.05*H1355,8)</f>
        <v/>
      </c>
    </row>
    <row r="1356">
      <c r="A1356" s="2" t="n">
        <v>45786</v>
      </c>
      <c r="B1356" s="8" t="n">
        <v>2530.34</v>
      </c>
      <c r="C1356" s="8" t="n">
        <v>132.0705</v>
      </c>
      <c r="D1356" s="8" t="n">
        <v>0.35</v>
      </c>
      <c r="E1356">
        <f>A1356-A1355</f>
        <v/>
      </c>
      <c r="F1356" s="4">
        <f>ROUND(B1356/B1355-1,8)</f>
        <v/>
      </c>
      <c r="G1356" s="4">
        <f>ROUND(C1356/C1355-1,8)</f>
        <v/>
      </c>
      <c r="H1356" s="4">
        <f>ROUND(D1356/100/(DATE(YEAR(A1356)+1,1,1)-DATE(YEAR(A1356),1,1))*E1356,8)</f>
        <v/>
      </c>
      <c r="I1356" s="4">
        <f>ROUND(I1355*(1+F1356),8)</f>
        <v/>
      </c>
      <c r="J1356" s="4">
        <f>ROUND(J1355*(1+G1356),8)</f>
        <v/>
      </c>
      <c r="K1356" s="4">
        <f>ROUND(K1355+H1356,8)</f>
        <v/>
      </c>
      <c r="L1356" s="4">
        <f>ROUND(0.9*F1356+0.05*G1356+0.05*H1356,8)</f>
        <v/>
      </c>
    </row>
    <row r="1357">
      <c r="A1357" s="2" t="n">
        <v>45789</v>
      </c>
      <c r="B1357" s="8" t="n">
        <v>2570.73</v>
      </c>
      <c r="C1357" s="8" t="n">
        <v>131.8036</v>
      </c>
      <c r="D1357" s="8" t="n">
        <v>0.35</v>
      </c>
      <c r="E1357">
        <f>A1357-A1356</f>
        <v/>
      </c>
      <c r="F1357" s="4">
        <f>ROUND(B1357/B1356-1,8)</f>
        <v/>
      </c>
      <c r="G1357" s="4">
        <f>ROUND(C1357/C1356-1,8)</f>
        <v/>
      </c>
      <c r="H1357" s="4">
        <f>ROUND(D1357/100/(DATE(YEAR(A1357)+1,1,1)-DATE(YEAR(A1357),1,1))*E1357,8)</f>
        <v/>
      </c>
      <c r="I1357" s="4">
        <f>ROUND(I1356*(1+F1357),8)</f>
        <v/>
      </c>
      <c r="J1357" s="4">
        <f>ROUND(J1356*(1+G1357),8)</f>
        <v/>
      </c>
      <c r="K1357" s="4">
        <f>ROUND(K1356+H1357,8)</f>
        <v/>
      </c>
      <c r="L1357" s="4">
        <f>ROUND(0.9*F1357+0.05*G1357+0.05*H1357,8)</f>
        <v/>
      </c>
    </row>
    <row r="1358">
      <c r="A1358" s="2" t="n">
        <v>45790</v>
      </c>
      <c r="B1358" s="8" t="n">
        <v>2562.91</v>
      </c>
      <c r="C1358" s="8" t="n">
        <v>131.8493</v>
      </c>
      <c r="D1358" s="8" t="n">
        <v>0.35</v>
      </c>
      <c r="E1358">
        <f>A1358-A1357</f>
        <v/>
      </c>
      <c r="F1358" s="4">
        <f>ROUND(B1358/B1357-1,8)</f>
        <v/>
      </c>
      <c r="G1358" s="4">
        <f>ROUND(C1358/C1357-1,8)</f>
        <v/>
      </c>
      <c r="H1358" s="4">
        <f>ROUND(D1358/100/(DATE(YEAR(A1358)+1,1,1)-DATE(YEAR(A1358),1,1))*E1358,8)</f>
        <v/>
      </c>
      <c r="I1358" s="4">
        <f>ROUND(I1357*(1+F1358),8)</f>
        <v/>
      </c>
      <c r="J1358" s="4">
        <f>ROUND(J1357*(1+G1358),8)</f>
        <v/>
      </c>
      <c r="K1358" s="4">
        <f>ROUND(K1357+H1358,8)</f>
        <v/>
      </c>
      <c r="L1358" s="4">
        <f>ROUND(0.9*F1358+0.05*G1358+0.05*H1358,8)</f>
        <v/>
      </c>
    </row>
    <row r="1359">
      <c r="A1359" s="2" t="n">
        <v>45791</v>
      </c>
      <c r="B1359" s="8" t="n">
        <v>2565.71</v>
      </c>
      <c r="C1359" s="8" t="n">
        <v>131.8286</v>
      </c>
      <c r="D1359" s="8" t="n">
        <v>0.35</v>
      </c>
      <c r="E1359">
        <f>A1359-A1358</f>
        <v/>
      </c>
      <c r="F1359" s="4">
        <f>ROUND(B1359/B1358-1,8)</f>
        <v/>
      </c>
      <c r="G1359" s="4">
        <f>ROUND(C1359/C1358-1,8)</f>
        <v/>
      </c>
      <c r="H1359" s="4">
        <f>ROUND(D1359/100/(DATE(YEAR(A1359)+1,1,1)-DATE(YEAR(A1359),1,1))*E1359,8)</f>
        <v/>
      </c>
      <c r="I1359" s="4">
        <f>ROUND(I1358*(1+F1359),8)</f>
        <v/>
      </c>
      <c r="J1359" s="4">
        <f>ROUND(J1358*(1+G1359),8)</f>
        <v/>
      </c>
      <c r="K1359" s="4">
        <f>ROUND(K1358+H1359,8)</f>
        <v/>
      </c>
      <c r="L1359" s="4">
        <f>ROUND(0.9*F1359+0.05*G1359+0.05*H1359,8)</f>
        <v/>
      </c>
    </row>
    <row r="1360">
      <c r="A1360" s="2" t="n">
        <v>45792</v>
      </c>
      <c r="B1360" s="8" t="n">
        <v>2531.96</v>
      </c>
      <c r="C1360" s="8" t="n">
        <v>131.7988</v>
      </c>
      <c r="D1360" s="8" t="n">
        <v>0.35</v>
      </c>
      <c r="E1360">
        <f>A1360-A1359</f>
        <v/>
      </c>
      <c r="F1360" s="4">
        <f>ROUND(B1360/B1359-1,8)</f>
        <v/>
      </c>
      <c r="G1360" s="4">
        <f>ROUND(C1360/C1359-1,8)</f>
        <v/>
      </c>
      <c r="H1360" s="4">
        <f>ROUND(D1360/100/(DATE(YEAR(A1360)+1,1,1)-DATE(YEAR(A1360),1,1))*E1360,8)</f>
        <v/>
      </c>
      <c r="I1360" s="4">
        <f>ROUND(I1359*(1+F1360),8)</f>
        <v/>
      </c>
      <c r="J1360" s="4">
        <f>ROUND(J1359*(1+G1360),8)</f>
        <v/>
      </c>
      <c r="K1360" s="4">
        <f>ROUND(K1359+H1360,8)</f>
        <v/>
      </c>
      <c r="L1360" s="4">
        <f>ROUND(0.9*F1360+0.05*G1360+0.05*H1360,8)</f>
        <v/>
      </c>
    </row>
    <row r="1361">
      <c r="A1361" s="2" t="n">
        <v>45793</v>
      </c>
      <c r="B1361" s="8" t="n">
        <v>2554.78</v>
      </c>
      <c r="C1361" s="8" t="n">
        <v>131.7415</v>
      </c>
      <c r="D1361" s="8" t="n">
        <v>0.35</v>
      </c>
      <c r="E1361">
        <f>A1361-A1360</f>
        <v/>
      </c>
      <c r="F1361" s="4">
        <f>ROUND(B1361/B1360-1,8)</f>
        <v/>
      </c>
      <c r="G1361" s="4">
        <f>ROUND(C1361/C1360-1,8)</f>
        <v/>
      </c>
      <c r="H1361" s="4">
        <f>ROUND(D1361/100/(DATE(YEAR(A1361)+1,1,1)-DATE(YEAR(A1361),1,1))*E1361,8)</f>
        <v/>
      </c>
      <c r="I1361" s="4">
        <f>ROUND(I1360*(1+F1361),8)</f>
        <v/>
      </c>
      <c r="J1361" s="4">
        <f>ROUND(J1360*(1+G1361),8)</f>
        <v/>
      </c>
      <c r="K1361" s="4">
        <f>ROUND(K1360+H1361,8)</f>
        <v/>
      </c>
      <c r="L1361" s="4">
        <f>ROUND(0.9*F1361+0.05*G1361+0.05*H1361,8)</f>
        <v/>
      </c>
    </row>
    <row r="1362">
      <c r="A1362" s="2" t="n">
        <v>45796</v>
      </c>
      <c r="B1362" s="8" t="n">
        <v>2576.73</v>
      </c>
      <c r="C1362" s="8" t="n">
        <v>131.7969</v>
      </c>
      <c r="D1362" s="8" t="n">
        <v>0.35</v>
      </c>
      <c r="E1362">
        <f>A1362-A1361</f>
        <v/>
      </c>
      <c r="F1362" s="4">
        <f>ROUND(B1362/B1361-1,8)</f>
        <v/>
      </c>
      <c r="G1362" s="4">
        <f>ROUND(C1362/C1361-1,8)</f>
        <v/>
      </c>
      <c r="H1362" s="4">
        <f>ROUND(D1362/100/(DATE(YEAR(A1362)+1,1,1)-DATE(YEAR(A1362),1,1))*E1362,8)</f>
        <v/>
      </c>
      <c r="I1362" s="4">
        <f>ROUND(I1361*(1+F1362),8)</f>
        <v/>
      </c>
      <c r="J1362" s="4">
        <f>ROUND(J1361*(1+G1362),8)</f>
        <v/>
      </c>
      <c r="K1362" s="4">
        <f>ROUND(K1361+H1362,8)</f>
        <v/>
      </c>
      <c r="L1362" s="4">
        <f>ROUND(0.9*F1362+0.05*G1362+0.05*H1362,8)</f>
        <v/>
      </c>
    </row>
    <row r="1363">
      <c r="A1363" s="2" t="n">
        <v>45797</v>
      </c>
      <c r="B1363" s="8" t="n">
        <v>2598.36</v>
      </c>
      <c r="C1363" s="8" t="n">
        <v>131.8121</v>
      </c>
      <c r="D1363" s="8" t="n">
        <v>0.35</v>
      </c>
      <c r="E1363">
        <f>A1363-A1362</f>
        <v/>
      </c>
      <c r="F1363" s="4">
        <f>ROUND(B1363/B1362-1,8)</f>
        <v/>
      </c>
      <c r="G1363" s="4">
        <f>ROUND(C1363/C1362-1,8)</f>
        <v/>
      </c>
      <c r="H1363" s="4">
        <f>ROUND(D1363/100/(DATE(YEAR(A1363)+1,1,1)-DATE(YEAR(A1363),1,1))*E1363,8)</f>
        <v/>
      </c>
      <c r="I1363" s="4">
        <f>ROUND(I1362*(1+F1363),8)</f>
        <v/>
      </c>
      <c r="J1363" s="4">
        <f>ROUND(J1362*(1+G1363),8)</f>
        <v/>
      </c>
      <c r="K1363" s="4">
        <f>ROUND(K1362+H1363,8)</f>
        <v/>
      </c>
      <c r="L1363" s="4">
        <f>ROUND(0.9*F1363+0.05*G1363+0.05*H1363,8)</f>
        <v/>
      </c>
    </row>
    <row r="1364">
      <c r="A1364" s="2" t="n">
        <v>45798</v>
      </c>
      <c r="B1364" s="8" t="n">
        <v>2577.56</v>
      </c>
      <c r="C1364" s="8" t="n">
        <v>131.7784</v>
      </c>
      <c r="D1364" s="8" t="n">
        <v>0.35</v>
      </c>
      <c r="E1364">
        <f>A1364-A1363</f>
        <v/>
      </c>
      <c r="F1364" s="4">
        <f>ROUND(B1364/B1363-1,8)</f>
        <v/>
      </c>
      <c r="G1364" s="4">
        <f>ROUND(C1364/C1363-1,8)</f>
        <v/>
      </c>
      <c r="H1364" s="4">
        <f>ROUND(D1364/100/(DATE(YEAR(A1364)+1,1,1)-DATE(YEAR(A1364),1,1))*E1364,8)</f>
        <v/>
      </c>
      <c r="I1364" s="4">
        <f>ROUND(I1363*(1+F1364),8)</f>
        <v/>
      </c>
      <c r="J1364" s="4">
        <f>ROUND(J1363*(1+G1364),8)</f>
        <v/>
      </c>
      <c r="K1364" s="4">
        <f>ROUND(K1363+H1364,8)</f>
        <v/>
      </c>
      <c r="L1364" s="4">
        <f>ROUND(0.9*F1364+0.05*G1364+0.05*H1364,8)</f>
        <v/>
      </c>
    </row>
    <row r="1365">
      <c r="A1365" s="2" t="n">
        <v>45799</v>
      </c>
      <c r="B1365" s="8" t="n">
        <v>2545.83</v>
      </c>
      <c r="C1365" s="8" t="n">
        <v>131.7808</v>
      </c>
      <c r="D1365" s="8" t="n">
        <v>0.35</v>
      </c>
      <c r="E1365">
        <f>A1365-A1364</f>
        <v/>
      </c>
      <c r="F1365" s="4">
        <f>ROUND(B1365/B1364-1,8)</f>
        <v/>
      </c>
      <c r="G1365" s="4">
        <f>ROUND(C1365/C1364-1,8)</f>
        <v/>
      </c>
      <c r="H1365" s="4">
        <f>ROUND(D1365/100/(DATE(YEAR(A1365)+1,1,1)-DATE(YEAR(A1365),1,1))*E1365,8)</f>
        <v/>
      </c>
      <c r="I1365" s="4">
        <f>ROUND(I1364*(1+F1365),8)</f>
        <v/>
      </c>
      <c r="J1365" s="4">
        <f>ROUND(J1364*(1+G1365),8)</f>
        <v/>
      </c>
      <c r="K1365" s="4">
        <f>ROUND(K1364+H1365,8)</f>
        <v/>
      </c>
      <c r="L1365" s="4">
        <f>ROUND(0.9*F1365+0.05*G1365+0.05*H1365,8)</f>
        <v/>
      </c>
    </row>
    <row r="1366">
      <c r="A1366" s="2" t="n">
        <v>45800</v>
      </c>
      <c r="B1366" s="8" t="n">
        <v>2515.88</v>
      </c>
      <c r="C1366" s="8" t="n">
        <v>131.7618</v>
      </c>
      <c r="D1366" s="8" t="n">
        <v>0.35</v>
      </c>
      <c r="E1366">
        <f>A1366-A1365</f>
        <v/>
      </c>
      <c r="F1366" s="4">
        <f>ROUND(B1366/B1365-1,8)</f>
        <v/>
      </c>
      <c r="G1366" s="4">
        <f>ROUND(C1366/C1365-1,8)</f>
        <v/>
      </c>
      <c r="H1366" s="4">
        <f>ROUND(D1366/100/(DATE(YEAR(A1366)+1,1,1)-DATE(YEAR(A1366),1,1))*E1366,8)</f>
        <v/>
      </c>
      <c r="I1366" s="4">
        <f>ROUND(I1365*(1+F1366),8)</f>
        <v/>
      </c>
      <c r="J1366" s="4">
        <f>ROUND(J1365*(1+G1366),8)</f>
        <v/>
      </c>
      <c r="K1366" s="4">
        <f>ROUND(K1365+H1366,8)</f>
        <v/>
      </c>
      <c r="L1366" s="4">
        <f>ROUND(0.9*F1366+0.05*G1366+0.05*H1366,8)</f>
        <v/>
      </c>
    </row>
    <row r="1367">
      <c r="A1367" s="2" t="n">
        <v>45803</v>
      </c>
      <c r="B1367" s="8" t="n">
        <v>2547.46</v>
      </c>
      <c r="C1367" s="8" t="n">
        <v>131.7578</v>
      </c>
      <c r="D1367" s="8" t="n">
        <v>0.35</v>
      </c>
      <c r="E1367">
        <f>A1367-A1366</f>
        <v/>
      </c>
      <c r="F1367" s="4">
        <f>ROUND(B1367/B1366-1,8)</f>
        <v/>
      </c>
      <c r="G1367" s="4">
        <f>ROUND(C1367/C1366-1,8)</f>
        <v/>
      </c>
      <c r="H1367" s="4">
        <f>ROUND(D1367/100/(DATE(YEAR(A1367)+1,1,1)-DATE(YEAR(A1367),1,1))*E1367,8)</f>
        <v/>
      </c>
      <c r="I1367" s="4">
        <f>ROUND(I1366*(1+F1367),8)</f>
        <v/>
      </c>
      <c r="J1367" s="4">
        <f>ROUND(J1366*(1+G1367),8)</f>
        <v/>
      </c>
      <c r="K1367" s="4">
        <f>ROUND(K1366+H1367,8)</f>
        <v/>
      </c>
      <c r="L1367" s="4">
        <f>ROUND(0.9*F1367+0.05*G1367+0.05*H1367,8)</f>
        <v/>
      </c>
    </row>
    <row r="1368">
      <c r="A1368" s="2" t="n">
        <v>45804</v>
      </c>
      <c r="B1368" s="8" t="n">
        <v>2552.66</v>
      </c>
      <c r="C1368" s="8" t="n">
        <v>131.7197</v>
      </c>
      <c r="D1368" s="8" t="n">
        <v>0.35</v>
      </c>
      <c r="E1368">
        <f>A1368-A1367</f>
        <v/>
      </c>
      <c r="F1368" s="4">
        <f>ROUND(B1368/B1367-1,8)</f>
        <v/>
      </c>
      <c r="G1368" s="4">
        <f>ROUND(C1368/C1367-1,8)</f>
        <v/>
      </c>
      <c r="H1368" s="4">
        <f>ROUND(D1368/100/(DATE(YEAR(A1368)+1,1,1)-DATE(YEAR(A1368),1,1))*E1368,8)</f>
        <v/>
      </c>
      <c r="I1368" s="4">
        <f>ROUND(I1367*(1+F1368),8)</f>
        <v/>
      </c>
      <c r="J1368" s="4">
        <f>ROUND(J1367*(1+G1368),8)</f>
        <v/>
      </c>
      <c r="K1368" s="4">
        <f>ROUND(K1367+H1368,8)</f>
        <v/>
      </c>
      <c r="L1368" s="4">
        <f>ROUND(0.9*F1368+0.05*G1368+0.05*H1368,8)</f>
        <v/>
      </c>
    </row>
    <row r="1369">
      <c r="A1369" s="2" t="n">
        <v>45805</v>
      </c>
      <c r="B1369" s="8" t="n">
        <v>2543.97</v>
      </c>
      <c r="C1369" s="8" t="n">
        <v>131.6825</v>
      </c>
      <c r="D1369" s="8" t="n">
        <v>0.35</v>
      </c>
      <c r="E1369">
        <f>A1369-A1368</f>
        <v/>
      </c>
      <c r="F1369" s="4">
        <f>ROUND(B1369/B1368-1,8)</f>
        <v/>
      </c>
      <c r="G1369" s="4">
        <f>ROUND(C1369/C1368-1,8)</f>
        <v/>
      </c>
      <c r="H1369" s="4">
        <f>ROUND(D1369/100/(DATE(YEAR(A1369)+1,1,1)-DATE(YEAR(A1369),1,1))*E1369,8)</f>
        <v/>
      </c>
      <c r="I1369" s="4">
        <f>ROUND(I1368*(1+F1369),8)</f>
        <v/>
      </c>
      <c r="J1369" s="4">
        <f>ROUND(J1368*(1+G1369),8)</f>
        <v/>
      </c>
      <c r="K1369" s="4">
        <f>ROUND(K1368+H1369,8)</f>
        <v/>
      </c>
      <c r="L1369" s="4">
        <f>ROUND(0.9*F1369+0.05*G1369+0.05*H1369,8)</f>
        <v/>
      </c>
    </row>
    <row r="1370">
      <c r="A1370" s="2" t="n">
        <v>45806</v>
      </c>
      <c r="B1370" s="8" t="n">
        <v>2588.55</v>
      </c>
      <c r="C1370" s="8" t="n">
        <v>131.5485</v>
      </c>
      <c r="D1370" s="8" t="n">
        <v>0.35</v>
      </c>
      <c r="E1370">
        <f>A1370-A1369</f>
        <v/>
      </c>
      <c r="F1370" s="4">
        <f>ROUND(B1370/B1369-1,8)</f>
        <v/>
      </c>
      <c r="G1370" s="4">
        <f>ROUND(C1370/C1369-1,8)</f>
        <v/>
      </c>
      <c r="H1370" s="4">
        <f>ROUND(D1370/100/(DATE(YEAR(A1370)+1,1,1)-DATE(YEAR(A1370),1,1))*E1370,8)</f>
        <v/>
      </c>
      <c r="I1370" s="4">
        <f>ROUND(I1369*(1+F1370),8)</f>
        <v/>
      </c>
      <c r="J1370" s="4">
        <f>ROUND(J1369*(1+G1370),8)</f>
        <v/>
      </c>
      <c r="K1370" s="4">
        <f>ROUND(K1369+H1370,8)</f>
        <v/>
      </c>
      <c r="L1370" s="4">
        <f>ROUND(0.9*F1370+0.05*G1370+0.05*H1370,8)</f>
        <v/>
      </c>
    </row>
    <row r="1371">
      <c r="A1371" s="2" t="n">
        <v>45807</v>
      </c>
      <c r="B1371" s="8" t="n">
        <v>2543.2</v>
      </c>
      <c r="C1371" s="8" t="n">
        <v>131.6621</v>
      </c>
      <c r="D1371" s="8" t="n">
        <v>0.35</v>
      </c>
      <c r="E1371">
        <f>A1371-A1370</f>
        <v/>
      </c>
      <c r="F1371" s="4">
        <f>ROUND(B1371/B1370-1,8)</f>
        <v/>
      </c>
      <c r="G1371" s="4">
        <f>ROUND(C1371/C1370-1,8)</f>
        <v/>
      </c>
      <c r="H1371" s="4">
        <f>ROUND(D1371/100/(DATE(YEAR(A1371)+1,1,1)-DATE(YEAR(A1371),1,1))*E1371,8)</f>
        <v/>
      </c>
      <c r="I1371" s="4">
        <f>ROUND(I1370*(1+F1371),8)</f>
        <v/>
      </c>
      <c r="J1371" s="4">
        <f>ROUND(J1370*(1+G1371),8)</f>
        <v/>
      </c>
      <c r="K1371" s="4">
        <f>ROUND(K1370+H1371,8)</f>
        <v/>
      </c>
      <c r="L1371" s="4">
        <f>ROUND(0.9*F1371+0.05*G1371+0.05*H1371,8)</f>
        <v/>
      </c>
    </row>
    <row r="1372">
      <c r="A1372" s="2" t="n">
        <v>45811</v>
      </c>
      <c r="B1372" s="8" t="n">
        <v>2564.12</v>
      </c>
      <c r="C1372" s="8" t="n">
        <v>131.6673</v>
      </c>
      <c r="D1372" s="8" t="n">
        <v>0.35</v>
      </c>
      <c r="E1372">
        <f>A1372-A1371</f>
        <v/>
      </c>
      <c r="F1372" s="4">
        <f>ROUND(B1372/B1371-1,8)</f>
        <v/>
      </c>
      <c r="G1372" s="4">
        <f>ROUND(C1372/C1371-1,8)</f>
        <v/>
      </c>
      <c r="H1372" s="4">
        <f>ROUND(D1372/100/(DATE(YEAR(A1372)+1,1,1)-DATE(YEAR(A1372),1,1))*E1372,8)</f>
        <v/>
      </c>
      <c r="I1372" s="4">
        <f>ROUND(I1371*(1+F1372),8)</f>
        <v/>
      </c>
      <c r="J1372" s="4">
        <f>ROUND(J1371*(1+G1372),8)</f>
        <v/>
      </c>
      <c r="K1372" s="4">
        <f>ROUND(K1371+H1372,8)</f>
        <v/>
      </c>
      <c r="L1372" s="4">
        <f>ROUND(0.9*F1372+0.05*G1372+0.05*H1372,8)</f>
        <v/>
      </c>
    </row>
    <row r="1373">
      <c r="A1373" s="2" t="n">
        <v>45812</v>
      </c>
      <c r="B1373" s="8" t="n">
        <v>2591.18</v>
      </c>
      <c r="C1373" s="8" t="n">
        <v>131.6797</v>
      </c>
      <c r="D1373" s="8" t="n">
        <v>0.35</v>
      </c>
      <c r="E1373">
        <f>A1373-A1372</f>
        <v/>
      </c>
      <c r="F1373" s="4">
        <f>ROUND(B1373/B1372-1,8)</f>
        <v/>
      </c>
      <c r="G1373" s="4">
        <f>ROUND(C1373/C1372-1,8)</f>
        <v/>
      </c>
      <c r="H1373" s="4">
        <f>ROUND(D1373/100/(DATE(YEAR(A1373)+1,1,1)-DATE(YEAR(A1373),1,1))*E1373,8)</f>
        <v/>
      </c>
      <c r="I1373" s="4">
        <f>ROUND(I1372*(1+F1373),8)</f>
        <v/>
      </c>
      <c r="J1373" s="4">
        <f>ROUND(J1372*(1+G1373),8)</f>
        <v/>
      </c>
      <c r="K1373" s="4">
        <f>ROUND(K1372+H1373,8)</f>
        <v/>
      </c>
      <c r="L1373" s="4">
        <f>ROUND(0.9*F1373+0.05*G1373+0.05*H1373,8)</f>
        <v/>
      </c>
    </row>
    <row r="1374">
      <c r="A1374" s="2" t="n">
        <v>45813</v>
      </c>
      <c r="B1374" s="8" t="n">
        <v>2606.51</v>
      </c>
      <c r="C1374" s="8" t="n">
        <v>131.7064</v>
      </c>
      <c r="D1374" s="8" t="n">
        <v>0.35</v>
      </c>
      <c r="E1374">
        <f>A1374-A1373</f>
        <v/>
      </c>
      <c r="F1374" s="4">
        <f>ROUND(B1374/B1373-1,8)</f>
        <v/>
      </c>
      <c r="G1374" s="4">
        <f>ROUND(C1374/C1373-1,8)</f>
        <v/>
      </c>
      <c r="H1374" s="4">
        <f>ROUND(D1374/100/(DATE(YEAR(A1374)+1,1,1)-DATE(YEAR(A1374),1,1))*E1374,8)</f>
        <v/>
      </c>
      <c r="I1374" s="4">
        <f>ROUND(I1373*(1+F1374),8)</f>
        <v/>
      </c>
      <c r="J1374" s="4">
        <f>ROUND(J1373*(1+G1374),8)</f>
        <v/>
      </c>
      <c r="K1374" s="4">
        <f>ROUND(K1373+H1374,8)</f>
        <v/>
      </c>
      <c r="L1374" s="4">
        <f>ROUND(0.9*F1374+0.05*G1374+0.05*H1374,8)</f>
        <v/>
      </c>
    </row>
    <row r="1375">
      <c r="A1375" s="2" t="n">
        <v>45814</v>
      </c>
      <c r="B1375" s="8" t="n">
        <v>2601.49</v>
      </c>
      <c r="C1375" s="8" t="n">
        <v>131.7778</v>
      </c>
      <c r="D1375" s="8" t="n">
        <v>0.35</v>
      </c>
      <c r="E1375">
        <f>A1375-A1374</f>
        <v/>
      </c>
      <c r="F1375" s="4">
        <f>ROUND(B1375/B1374-1,8)</f>
        <v/>
      </c>
      <c r="G1375" s="4">
        <f>ROUND(C1375/C1374-1,8)</f>
        <v/>
      </c>
      <c r="H1375" s="4">
        <f>ROUND(D1375/100/(DATE(YEAR(A1375)+1,1,1)-DATE(YEAR(A1375),1,1))*E1375,8)</f>
        <v/>
      </c>
      <c r="I1375" s="4">
        <f>ROUND(I1374*(1+F1375),8)</f>
        <v/>
      </c>
      <c r="J1375" s="4">
        <f>ROUND(J1374*(1+G1375),8)</f>
        <v/>
      </c>
      <c r="K1375" s="4">
        <f>ROUND(K1374+H1375,8)</f>
        <v/>
      </c>
      <c r="L1375" s="4">
        <f>ROUND(0.9*F1375+0.05*G1375+0.05*H1375,8)</f>
        <v/>
      </c>
    </row>
    <row r="1376">
      <c r="A1376" s="2" t="n">
        <v>45817</v>
      </c>
      <c r="B1376" s="8" t="n">
        <v>2638.89</v>
      </c>
      <c r="C1376" s="8" t="n">
        <v>131.831</v>
      </c>
      <c r="D1376" s="8" t="n">
        <v>0.35</v>
      </c>
      <c r="E1376">
        <f>A1376-A1375</f>
        <v/>
      </c>
      <c r="F1376" s="4">
        <f>ROUND(B1376/B1375-1,8)</f>
        <v/>
      </c>
      <c r="G1376" s="4">
        <f>ROUND(C1376/C1375-1,8)</f>
        <v/>
      </c>
      <c r="H1376" s="4">
        <f>ROUND(D1376/100/(DATE(YEAR(A1376)+1,1,1)-DATE(YEAR(A1376),1,1))*E1376,8)</f>
        <v/>
      </c>
      <c r="I1376" s="4">
        <f>ROUND(I1375*(1+F1376),8)</f>
        <v/>
      </c>
      <c r="J1376" s="4">
        <f>ROUND(J1375*(1+G1376),8)</f>
        <v/>
      </c>
      <c r="K1376" s="4">
        <f>ROUND(K1375+H1376,8)</f>
        <v/>
      </c>
      <c r="L1376" s="4">
        <f>ROUND(0.9*F1376+0.05*G1376+0.05*H1376,8)</f>
        <v/>
      </c>
    </row>
    <row r="1377">
      <c r="A1377" s="2" t="n">
        <v>45818</v>
      </c>
      <c r="B1377" s="8" t="n">
        <v>2617.33</v>
      </c>
      <c r="C1377" s="8" t="n">
        <v>131.854</v>
      </c>
      <c r="D1377" s="8" t="n">
        <v>0.35</v>
      </c>
      <c r="E1377">
        <f>A1377-A1376</f>
        <v/>
      </c>
      <c r="F1377" s="4">
        <f>ROUND(B1377/B1376-1,8)</f>
        <v/>
      </c>
      <c r="G1377" s="4">
        <f>ROUND(C1377/C1376-1,8)</f>
        <v/>
      </c>
      <c r="H1377" s="4">
        <f>ROUND(D1377/100/(DATE(YEAR(A1377)+1,1,1)-DATE(YEAR(A1377),1,1))*E1377,8)</f>
        <v/>
      </c>
      <c r="I1377" s="4">
        <f>ROUND(I1376*(1+F1377),8)</f>
        <v/>
      </c>
      <c r="J1377" s="4">
        <f>ROUND(J1376*(1+G1377),8)</f>
        <v/>
      </c>
      <c r="K1377" s="4">
        <f>ROUND(K1376+H1377,8)</f>
        <v/>
      </c>
      <c r="L1377" s="4">
        <f>ROUND(0.9*F1377+0.05*G1377+0.05*H1377,8)</f>
        <v/>
      </c>
    </row>
    <row r="1378">
      <c r="A1378" s="2" t="n">
        <v>45819</v>
      </c>
      <c r="B1378" s="8" t="n">
        <v>2628.87</v>
      </c>
      <c r="C1378" s="8" t="n">
        <v>131.9373</v>
      </c>
      <c r="D1378" s="8" t="n">
        <v>0.35</v>
      </c>
      <c r="E1378">
        <f>A1378-A1377</f>
        <v/>
      </c>
      <c r="F1378" s="4">
        <f>ROUND(B1378/B1377-1,8)</f>
        <v/>
      </c>
      <c r="G1378" s="4">
        <f>ROUND(C1378/C1377-1,8)</f>
        <v/>
      </c>
      <c r="H1378" s="4">
        <f>ROUND(D1378/100/(DATE(YEAR(A1378)+1,1,1)-DATE(YEAR(A1378),1,1))*E1378,8)</f>
        <v/>
      </c>
      <c r="I1378" s="4">
        <f>ROUND(I1377*(1+F1378),8)</f>
        <v/>
      </c>
      <c r="J1378" s="4">
        <f>ROUND(J1377*(1+G1378),8)</f>
        <v/>
      </c>
      <c r="K1378" s="4">
        <f>ROUND(K1377+H1378,8)</f>
        <v/>
      </c>
      <c r="L1378" s="4">
        <f>ROUND(0.9*F1378+0.05*G1378+0.05*H1378,8)</f>
        <v/>
      </c>
    </row>
    <row r="1379">
      <c r="A1379" s="2" t="n">
        <v>45820</v>
      </c>
      <c r="B1379" s="8" t="n">
        <v>2635.58</v>
      </c>
      <c r="C1379" s="8" t="n">
        <v>131.9639</v>
      </c>
      <c r="D1379" s="8" t="n">
        <v>0.35</v>
      </c>
      <c r="E1379">
        <f>A1379-A1378</f>
        <v/>
      </c>
      <c r="F1379" s="4">
        <f>ROUND(B1379/B1378-1,8)</f>
        <v/>
      </c>
      <c r="G1379" s="4">
        <f>ROUND(C1379/C1378-1,8)</f>
        <v/>
      </c>
      <c r="H1379" s="4">
        <f>ROUND(D1379/100/(DATE(YEAR(A1379)+1,1,1)-DATE(YEAR(A1379),1,1))*E1379,8)</f>
        <v/>
      </c>
      <c r="I1379" s="4">
        <f>ROUND(I1378*(1+F1379),8)</f>
        <v/>
      </c>
      <c r="J1379" s="4">
        <f>ROUND(J1378*(1+G1379),8)</f>
        <v/>
      </c>
      <c r="K1379" s="4">
        <f>ROUND(K1378+H1379,8)</f>
        <v/>
      </c>
      <c r="L1379" s="4">
        <f>ROUND(0.9*F1379+0.05*G1379+0.05*H1379,8)</f>
        <v/>
      </c>
    </row>
    <row r="1380">
      <c r="A1380" s="2" t="n">
        <v>45821</v>
      </c>
      <c r="B1380" s="8" t="n">
        <v>2582.04</v>
      </c>
      <c r="C1380" s="8" t="n">
        <v>131.9696</v>
      </c>
      <c r="D1380" s="8" t="n">
        <v>0.35</v>
      </c>
      <c r="E1380">
        <f>A1380-A1379</f>
        <v/>
      </c>
      <c r="F1380" s="4">
        <f>ROUND(B1380/B1379-1,8)</f>
        <v/>
      </c>
      <c r="G1380" s="4">
        <f>ROUND(C1380/C1379-1,8)</f>
        <v/>
      </c>
      <c r="H1380" s="4">
        <f>ROUND(D1380/100/(DATE(YEAR(A1380)+1,1,1)-DATE(YEAR(A1380),1,1))*E1380,8)</f>
        <v/>
      </c>
      <c r="I1380" s="4">
        <f>ROUND(I1379*(1+F1380),8)</f>
        <v/>
      </c>
      <c r="J1380" s="4">
        <f>ROUND(J1379*(1+G1380),8)</f>
        <v/>
      </c>
      <c r="K1380" s="4">
        <f>ROUND(K1379+H1380,8)</f>
        <v/>
      </c>
      <c r="L1380" s="4">
        <f>ROUND(0.9*F1380+0.05*G1380+0.05*H1380,8)</f>
        <v/>
      </c>
    </row>
    <row r="1381">
      <c r="A1381" s="2" t="n">
        <v>45824</v>
      </c>
      <c r="B1381" s="8" t="n">
        <v>2609.67</v>
      </c>
      <c r="C1381" s="8" t="n">
        <v>131.9751</v>
      </c>
      <c r="D1381" s="8" t="n">
        <v>0.35</v>
      </c>
      <c r="E1381">
        <f>A1381-A1380</f>
        <v/>
      </c>
      <c r="F1381" s="4">
        <f>ROUND(B1381/B1380-1,8)</f>
        <v/>
      </c>
      <c r="G1381" s="4">
        <f>ROUND(C1381/C1380-1,8)</f>
        <v/>
      </c>
      <c r="H1381" s="4">
        <f>ROUND(D1381/100/(DATE(YEAR(A1381)+1,1,1)-DATE(YEAR(A1381),1,1))*E1381,8)</f>
        <v/>
      </c>
      <c r="I1381" s="4">
        <f>ROUND(I1380*(1+F1381),8)</f>
        <v/>
      </c>
      <c r="J1381" s="4">
        <f>ROUND(J1380*(1+G1381),8)</f>
        <v/>
      </c>
      <c r="K1381" s="4">
        <f>ROUND(K1380+H1381,8)</f>
        <v/>
      </c>
      <c r="L1381" s="4">
        <f>ROUND(0.9*F1381+0.05*G1381+0.05*H1381,8)</f>
        <v/>
      </c>
    </row>
    <row r="1382">
      <c r="A1382" s="2" t="n">
        <v>45825</v>
      </c>
      <c r="B1382" s="8" t="n">
        <v>2605.97</v>
      </c>
      <c r="C1382" s="8" t="n">
        <v>132.0362</v>
      </c>
      <c r="D1382" s="8" t="n">
        <v>0.35</v>
      </c>
      <c r="E1382">
        <f>A1382-A1381</f>
        <v/>
      </c>
      <c r="F1382" s="4">
        <f>ROUND(B1382/B1381-1,8)</f>
        <v/>
      </c>
      <c r="G1382" s="4">
        <f>ROUND(C1382/C1381-1,8)</f>
        <v/>
      </c>
      <c r="H1382" s="4">
        <f>ROUND(D1382/100/(DATE(YEAR(A1382)+1,1,1)-DATE(YEAR(A1382),1,1))*E1382,8)</f>
        <v/>
      </c>
      <c r="I1382" s="4">
        <f>ROUND(I1381*(1+F1382),8)</f>
        <v/>
      </c>
      <c r="J1382" s="4">
        <f>ROUND(J1381*(1+G1382),8)</f>
        <v/>
      </c>
      <c r="K1382" s="4">
        <f>ROUND(K1381+H1382,8)</f>
        <v/>
      </c>
      <c r="L1382" s="4">
        <f>ROUND(0.9*F1382+0.05*G1382+0.05*H1382,8)</f>
        <v/>
      </c>
    </row>
    <row r="1383">
      <c r="A1383" s="2" t="n">
        <v>45826</v>
      </c>
      <c r="B1383" s="8" t="n">
        <v>2598.69</v>
      </c>
      <c r="C1383" s="8" t="n">
        <v>132.0752</v>
      </c>
      <c r="D1383" s="8" t="n">
        <v>0.35</v>
      </c>
      <c r="E1383">
        <f>A1383-A1382</f>
        <v/>
      </c>
      <c r="F1383" s="4">
        <f>ROUND(B1383/B1382-1,8)</f>
        <v/>
      </c>
      <c r="G1383" s="4">
        <f>ROUND(C1383/C1382-1,8)</f>
        <v/>
      </c>
      <c r="H1383" s="4">
        <f>ROUND(D1383/100/(DATE(YEAR(A1383)+1,1,1)-DATE(YEAR(A1383),1,1))*E1383,8)</f>
        <v/>
      </c>
      <c r="I1383" s="4">
        <f>ROUND(I1382*(1+F1383),8)</f>
        <v/>
      </c>
      <c r="J1383" s="4">
        <f>ROUND(J1382*(1+G1383),8)</f>
        <v/>
      </c>
      <c r="K1383" s="4">
        <f>ROUND(K1382+H1383,8)</f>
        <v/>
      </c>
      <c r="L1383" s="4">
        <f>ROUND(0.9*F1383+0.05*G1383+0.05*H1383,8)</f>
        <v/>
      </c>
    </row>
    <row r="1384">
      <c r="A1384" s="2" t="n">
        <v>45827</v>
      </c>
      <c r="B1384" s="8" t="n">
        <v>2547.99</v>
      </c>
      <c r="C1384" s="8" t="n">
        <v>132.1643</v>
      </c>
      <c r="D1384" s="8" t="n">
        <v>0.35</v>
      </c>
      <c r="E1384">
        <f>A1384-A1383</f>
        <v/>
      </c>
      <c r="F1384" s="4">
        <f>ROUND(B1384/B1383-1,8)</f>
        <v/>
      </c>
      <c r="G1384" s="4">
        <f>ROUND(C1384/C1383-1,8)</f>
        <v/>
      </c>
      <c r="H1384" s="4">
        <f>ROUND(D1384/100/(DATE(YEAR(A1384)+1,1,1)-DATE(YEAR(A1384),1,1))*E1384,8)</f>
        <v/>
      </c>
      <c r="I1384" s="4">
        <f>ROUND(I1383*(1+F1384),8)</f>
        <v/>
      </c>
      <c r="J1384" s="4">
        <f>ROUND(J1383*(1+G1384),8)</f>
        <v/>
      </c>
      <c r="K1384" s="4">
        <f>ROUND(K1383+H1384,8)</f>
        <v/>
      </c>
      <c r="L1384" s="4">
        <f>ROUND(0.9*F1384+0.05*G1384+0.05*H1384,8)</f>
        <v/>
      </c>
    </row>
    <row r="1385">
      <c r="A1385" s="2" t="n">
        <v>45828</v>
      </c>
      <c r="B1385" s="8" t="n">
        <v>2524.81</v>
      </c>
      <c r="C1385" s="8" t="n">
        <v>132.2212</v>
      </c>
      <c r="D1385" s="8" t="n">
        <v>0.35</v>
      </c>
      <c r="E1385">
        <f>A1385-A1384</f>
        <v/>
      </c>
      <c r="F1385" s="4">
        <f>ROUND(B1385/B1384-1,8)</f>
        <v/>
      </c>
      <c r="G1385" s="4">
        <f>ROUND(C1385/C1384-1,8)</f>
        <v/>
      </c>
      <c r="H1385" s="4">
        <f>ROUND(D1385/100/(DATE(YEAR(A1385)+1,1,1)-DATE(YEAR(A1385),1,1))*E1385,8)</f>
        <v/>
      </c>
      <c r="I1385" s="4">
        <f>ROUND(I1384*(1+F1385),8)</f>
        <v/>
      </c>
      <c r="J1385" s="4">
        <f>ROUND(J1384*(1+G1385),8)</f>
        <v/>
      </c>
      <c r="K1385" s="4">
        <f>ROUND(K1384+H1385,8)</f>
        <v/>
      </c>
      <c r="L1385" s="4">
        <f>ROUND(0.9*F1385+0.05*G1385+0.05*H1385,8)</f>
        <v/>
      </c>
    </row>
    <row r="1386">
      <c r="A1386" s="2" t="n">
        <v>45831</v>
      </c>
      <c r="B1386" s="8" t="n">
        <v>2573.84</v>
      </c>
      <c r="C1386" s="8" t="n">
        <v>132.2409</v>
      </c>
      <c r="D1386" s="8" t="n">
        <v>0.35</v>
      </c>
      <c r="E1386">
        <f>A1386-A1385</f>
        <v/>
      </c>
      <c r="F1386" s="4">
        <f>ROUND(B1386/B1385-1,8)</f>
        <v/>
      </c>
      <c r="G1386" s="4">
        <f>ROUND(C1386/C1385-1,8)</f>
        <v/>
      </c>
      <c r="H1386" s="4">
        <f>ROUND(D1386/100/(DATE(YEAR(A1386)+1,1,1)-DATE(YEAR(A1386),1,1))*E1386,8)</f>
        <v/>
      </c>
      <c r="I1386" s="4">
        <f>ROUND(I1385*(1+F1386),8)</f>
        <v/>
      </c>
      <c r="J1386" s="4">
        <f>ROUND(J1385*(1+G1386),8)</f>
        <v/>
      </c>
      <c r="K1386" s="4">
        <f>ROUND(K1385+H1386,8)</f>
        <v/>
      </c>
      <c r="L1386" s="4">
        <f>ROUND(0.9*F1386+0.05*G1386+0.05*H1386,8)</f>
        <v/>
      </c>
    </row>
    <row r="1387">
      <c r="A1387" s="2" t="n">
        <v>45832</v>
      </c>
      <c r="B1387" s="8" t="n">
        <v>2631.04</v>
      </c>
      <c r="C1387" s="8" t="n">
        <v>132.1601</v>
      </c>
      <c r="D1387" s="8" t="n">
        <v>0.35</v>
      </c>
      <c r="E1387">
        <f>A1387-A1386</f>
        <v/>
      </c>
      <c r="F1387" s="4">
        <f>ROUND(B1387/B1386-1,8)</f>
        <v/>
      </c>
      <c r="G1387" s="4">
        <f>ROUND(C1387/C1386-1,8)</f>
        <v/>
      </c>
      <c r="H1387" s="4">
        <f>ROUND(D1387/100/(DATE(YEAR(A1387)+1,1,1)-DATE(YEAR(A1387),1,1))*E1387,8)</f>
        <v/>
      </c>
      <c r="I1387" s="4">
        <f>ROUND(I1386*(1+F1387),8)</f>
        <v/>
      </c>
      <c r="J1387" s="4">
        <f>ROUND(J1386*(1+G1387),8)</f>
        <v/>
      </c>
      <c r="K1387" s="4">
        <f>ROUND(K1386+H1387,8)</f>
        <v/>
      </c>
      <c r="L1387" s="4">
        <f>ROUND(0.9*F1387+0.05*G1387+0.05*H1387,8)</f>
        <v/>
      </c>
    </row>
    <row r="1388">
      <c r="A1388" s="2" t="n">
        <v>45833</v>
      </c>
      <c r="B1388" s="8" t="n">
        <v>2657.41</v>
      </c>
      <c r="C1388" s="8" t="n">
        <v>132.0822</v>
      </c>
      <c r="D1388" s="8" t="n">
        <v>0.35</v>
      </c>
      <c r="E1388">
        <f>A1388-A1387</f>
        <v/>
      </c>
      <c r="F1388" s="4">
        <f>ROUND(B1388/B1387-1,8)</f>
        <v/>
      </c>
      <c r="G1388" s="4">
        <f>ROUND(C1388/C1387-1,8)</f>
        <v/>
      </c>
      <c r="H1388" s="4">
        <f>ROUND(D1388/100/(DATE(YEAR(A1388)+1,1,1)-DATE(YEAR(A1388),1,1))*E1388,8)</f>
        <v/>
      </c>
      <c r="I1388" s="4">
        <f>ROUND(I1387*(1+F1388),8)</f>
        <v/>
      </c>
      <c r="J1388" s="4">
        <f>ROUND(J1387*(1+G1388),8)</f>
        <v/>
      </c>
      <c r="K1388" s="4">
        <f>ROUND(K1387+H1388,8)</f>
        <v/>
      </c>
      <c r="L1388" s="4">
        <f>ROUND(0.9*F1388+0.05*G1388+0.05*H1388,8)</f>
        <v/>
      </c>
    </row>
    <row r="1389">
      <c r="A1389" s="2" t="n">
        <v>45834</v>
      </c>
      <c r="B1389" s="8" t="n">
        <v>2652.53</v>
      </c>
      <c r="C1389" s="8" t="n">
        <v>132.0774</v>
      </c>
      <c r="D1389" s="8" t="n">
        <v>0.35</v>
      </c>
      <c r="E1389">
        <f>A1389-A1388</f>
        <v/>
      </c>
      <c r="F1389" s="4">
        <f>ROUND(B1389/B1388-1,8)</f>
        <v/>
      </c>
      <c r="G1389" s="4">
        <f>ROUND(C1389/C1388-1,8)</f>
        <v/>
      </c>
      <c r="H1389" s="4">
        <f>ROUND(D1389/100/(DATE(YEAR(A1389)+1,1,1)-DATE(YEAR(A1389),1,1))*E1389,8)</f>
        <v/>
      </c>
      <c r="I1389" s="4">
        <f>ROUND(I1388*(1+F1389),8)</f>
        <v/>
      </c>
      <c r="J1389" s="4">
        <f>ROUND(J1388*(1+G1389),8)</f>
        <v/>
      </c>
      <c r="K1389" s="4">
        <f>ROUND(K1388+H1389,8)</f>
        <v/>
      </c>
      <c r="L1389" s="4">
        <f>ROUND(0.9*F1389+0.05*G1389+0.05*H1389,8)</f>
        <v/>
      </c>
    </row>
    <row r="1390">
      <c r="A1390" s="2" t="n">
        <v>45835</v>
      </c>
      <c r="B1390" s="8" t="n">
        <v>2664.97</v>
      </c>
      <c r="C1390" s="8" t="n">
        <v>132.107</v>
      </c>
      <c r="D1390" s="8" t="n">
        <v>0.35</v>
      </c>
      <c r="E1390">
        <f>A1390-A1389</f>
        <v/>
      </c>
      <c r="F1390" s="4">
        <f>ROUND(B1390/B1389-1,8)</f>
        <v/>
      </c>
      <c r="G1390" s="4">
        <f>ROUND(C1390/C1389-1,8)</f>
        <v/>
      </c>
      <c r="H1390" s="4">
        <f>ROUND(D1390/100/(DATE(YEAR(A1390)+1,1,1)-DATE(YEAR(A1390),1,1))*E1390,8)</f>
        <v/>
      </c>
      <c r="I1390" s="4">
        <f>ROUND(I1389*(1+F1390),8)</f>
        <v/>
      </c>
      <c r="J1390" s="4">
        <f>ROUND(J1389*(1+G1390),8)</f>
        <v/>
      </c>
      <c r="K1390" s="4">
        <f>ROUND(K1389+H1390,8)</f>
        <v/>
      </c>
      <c r="L1390" s="4">
        <f>ROUND(0.9*F1390+0.05*G1390+0.05*H1390,8)</f>
        <v/>
      </c>
    </row>
    <row r="1391">
      <c r="A1391" s="2" t="n">
        <v>45838</v>
      </c>
      <c r="B1391" s="8" t="n">
        <v>2705.98</v>
      </c>
      <c r="C1391" s="8" t="n">
        <v>132.0666</v>
      </c>
      <c r="D1391" s="8" t="n">
        <v>0.35</v>
      </c>
      <c r="E1391">
        <f>A1391-A1390</f>
        <v/>
      </c>
      <c r="F1391" s="4">
        <f>ROUND(B1391/B1390-1,8)</f>
        <v/>
      </c>
      <c r="G1391" s="4">
        <f>ROUND(C1391/C1390-1,8)</f>
        <v/>
      </c>
      <c r="H1391" s="4">
        <f>ROUND(D1391/100/(DATE(YEAR(A1391)+1,1,1)-DATE(YEAR(A1391),1,1))*E1391,8)</f>
        <v/>
      </c>
      <c r="I1391" s="4">
        <f>ROUND(I1390*(1+F1391),8)</f>
        <v/>
      </c>
      <c r="J1391" s="4">
        <f>ROUND(J1390*(1+G1391),8)</f>
        <v/>
      </c>
      <c r="K1391" s="4">
        <f>ROUND(K1390+H1391,8)</f>
        <v/>
      </c>
      <c r="L1391" s="4">
        <f>ROUND(0.9*F1391+0.05*G1391+0.05*H1391,8)</f>
        <v/>
      </c>
    </row>
    <row r="1392">
      <c r="A1392" s="2" t="n">
        <v>45839</v>
      </c>
      <c r="B1392" s="8" t="n">
        <v>2713.67</v>
      </c>
      <c r="C1392" s="8" t="n">
        <v>132.124</v>
      </c>
      <c r="D1392" s="8" t="n">
        <v>0.35</v>
      </c>
      <c r="E1392">
        <f>A1392-A1391</f>
        <v/>
      </c>
      <c r="F1392" s="4">
        <f>ROUND(B1392/B1391-1,8)</f>
        <v/>
      </c>
      <c r="G1392" s="4">
        <f>ROUND(C1392/C1391-1,8)</f>
        <v/>
      </c>
      <c r="H1392" s="4">
        <f>ROUND(D1392/100/(DATE(YEAR(A1392)+1,1,1)-DATE(YEAR(A1392),1,1))*E1392,8)</f>
        <v/>
      </c>
      <c r="I1392" s="4">
        <f>ROUND(I1391*(1+F1392),8)</f>
        <v/>
      </c>
      <c r="J1392" s="4">
        <f>ROUND(J1391*(1+G1392),8)</f>
        <v/>
      </c>
      <c r="K1392" s="4">
        <f>ROUND(K1391+H1392,8)</f>
        <v/>
      </c>
      <c r="L1392" s="4">
        <f>ROUND(0.9*F1392+0.05*G1392+0.05*H1392,8)</f>
        <v/>
      </c>
    </row>
    <row r="1393">
      <c r="A1393" s="2" t="n">
        <v>45840</v>
      </c>
      <c r="B1393" s="8" t="n">
        <v>2690.68</v>
      </c>
      <c r="C1393" s="8" t="n">
        <v>132.2409</v>
      </c>
      <c r="D1393" s="8" t="n">
        <v>0.35</v>
      </c>
      <c r="E1393">
        <f>A1393-A1392</f>
        <v/>
      </c>
      <c r="F1393" s="4">
        <f>ROUND(B1393/B1392-1,8)</f>
        <v/>
      </c>
      <c r="G1393" s="4">
        <f>ROUND(C1393/C1392-1,8)</f>
        <v/>
      </c>
      <c r="H1393" s="4">
        <f>ROUND(D1393/100/(DATE(YEAR(A1393)+1,1,1)-DATE(YEAR(A1393),1,1))*E1393,8)</f>
        <v/>
      </c>
      <c r="I1393" s="4">
        <f>ROUND(I1392*(1+F1393),8)</f>
        <v/>
      </c>
      <c r="J1393" s="4">
        <f>ROUND(J1392*(1+G1393),8)</f>
        <v/>
      </c>
      <c r="K1393" s="4">
        <f>ROUND(K1392+H1393,8)</f>
        <v/>
      </c>
      <c r="L1393" s="4">
        <f>ROUND(0.9*F1393+0.05*G1393+0.05*H1393,8)</f>
        <v/>
      </c>
    </row>
    <row r="1394">
      <c r="A1394" s="2" t="n">
        <v>45841</v>
      </c>
      <c r="B1394" s="8" t="n">
        <v>2709.89</v>
      </c>
      <c r="C1394" s="8" t="n">
        <v>132.2636</v>
      </c>
      <c r="D1394" s="8" t="n">
        <v>0.35</v>
      </c>
      <c r="E1394">
        <f>A1394-A1393</f>
        <v/>
      </c>
      <c r="F1394" s="4">
        <f>ROUND(B1394/B1393-1,8)</f>
        <v/>
      </c>
      <c r="G1394" s="4">
        <f>ROUND(C1394/C1393-1,8)</f>
        <v/>
      </c>
      <c r="H1394" s="4">
        <f>ROUND(D1394/100/(DATE(YEAR(A1394)+1,1,1)-DATE(YEAR(A1394),1,1))*E1394,8)</f>
        <v/>
      </c>
      <c r="I1394" s="4">
        <f>ROUND(I1393*(1+F1394),8)</f>
        <v/>
      </c>
      <c r="J1394" s="4">
        <f>ROUND(J1393*(1+G1394),8)</f>
        <v/>
      </c>
      <c r="K1394" s="4">
        <f>ROUND(K1393+H1394,8)</f>
        <v/>
      </c>
      <c r="L1394" s="4">
        <f>ROUND(0.9*F1394+0.05*G1394+0.05*H1394,8)</f>
        <v/>
      </c>
    </row>
    <row r="1395">
      <c r="A1395" s="2" t="n">
        <v>45842</v>
      </c>
      <c r="B1395" s="8" t="n">
        <v>2680.68</v>
      </c>
      <c r="C1395" s="8" t="n">
        <v>132.2929</v>
      </c>
      <c r="D1395" s="8" t="n">
        <v>0.35</v>
      </c>
      <c r="E1395">
        <f>A1395-A1394</f>
        <v/>
      </c>
      <c r="F1395" s="4">
        <f>ROUND(B1395/B1394-1,8)</f>
        <v/>
      </c>
      <c r="G1395" s="4">
        <f>ROUND(C1395/C1394-1,8)</f>
        <v/>
      </c>
      <c r="H1395" s="4">
        <f>ROUND(D1395/100/(DATE(YEAR(A1395)+1,1,1)-DATE(YEAR(A1395),1,1))*E1395,8)</f>
        <v/>
      </c>
      <c r="I1395" s="4">
        <f>ROUND(I1394*(1+F1395),8)</f>
        <v/>
      </c>
      <c r="J1395" s="4">
        <f>ROUND(J1394*(1+G1395),8)</f>
        <v/>
      </c>
      <c r="K1395" s="4">
        <f>ROUND(K1394+H1395,8)</f>
        <v/>
      </c>
      <c r="L1395" s="4">
        <f>ROUND(0.9*F1395+0.05*G1395+0.05*H1395,8)</f>
        <v/>
      </c>
    </row>
    <row r="1396">
      <c r="A1396" s="2" t="n">
        <v>45845</v>
      </c>
      <c r="B1396" s="8" t="n">
        <v>2698.69</v>
      </c>
      <c r="C1396" s="8" t="n">
        <v>132.3091</v>
      </c>
      <c r="D1396" s="8" t="n">
        <v>0.35</v>
      </c>
      <c r="E1396">
        <f>A1396-A1395</f>
        <v/>
      </c>
      <c r="F1396" s="4">
        <f>ROUND(B1396/B1395-1,8)</f>
        <v/>
      </c>
      <c r="G1396" s="4">
        <f>ROUND(C1396/C1395-1,8)</f>
        <v/>
      </c>
      <c r="H1396" s="4">
        <f>ROUND(D1396/100/(DATE(YEAR(A1396)+1,1,1)-DATE(YEAR(A1396),1,1))*E1396,8)</f>
        <v/>
      </c>
      <c r="I1396" s="4">
        <f>ROUND(I1395*(1+F1396),8)</f>
        <v/>
      </c>
      <c r="J1396" s="4">
        <f>ROUND(J1395*(1+G1396),8)</f>
        <v/>
      </c>
      <c r="K1396" s="4">
        <f>ROUND(K1395+H1396,8)</f>
        <v/>
      </c>
      <c r="L1396" s="4">
        <f>ROUND(0.9*F1396+0.05*G1396+0.05*H1396,8)</f>
        <v/>
      </c>
    </row>
    <row r="1397">
      <c r="A1397" s="2" t="n">
        <v>45846</v>
      </c>
      <c r="B1397" s="8" t="n">
        <v>2733.44</v>
      </c>
      <c r="C1397" s="8" t="n">
        <v>132.2641</v>
      </c>
      <c r="D1397" s="8" t="n">
        <v>0.35</v>
      </c>
      <c r="E1397">
        <f>A1397-A1396</f>
        <v/>
      </c>
      <c r="F1397" s="4">
        <f>ROUND(B1397/B1396-1,8)</f>
        <v/>
      </c>
      <c r="G1397" s="4">
        <f>ROUND(C1397/C1396-1,8)</f>
        <v/>
      </c>
      <c r="H1397" s="4">
        <f>ROUND(D1397/100/(DATE(YEAR(A1397)+1,1,1)-DATE(YEAR(A1397),1,1))*E1397,8)</f>
        <v/>
      </c>
      <c r="I1397" s="4">
        <f>ROUND(I1396*(1+F1397),8)</f>
        <v/>
      </c>
      <c r="J1397" s="4">
        <f>ROUND(J1396*(1+G1397),8)</f>
        <v/>
      </c>
      <c r="K1397" s="4">
        <f>ROUND(K1396+H1397,8)</f>
        <v/>
      </c>
      <c r="L1397" s="4">
        <f>ROUND(0.9*F1397+0.05*G1397+0.05*H1397,8)</f>
        <v/>
      </c>
    </row>
    <row r="1398">
      <c r="A1398" s="2" t="n">
        <v>45847</v>
      </c>
      <c r="B1398" s="8" t="n">
        <v>2731.21</v>
      </c>
      <c r="C1398" s="8" t="n">
        <v>132.2598</v>
      </c>
      <c r="D1398" s="8" t="n">
        <v>0.35</v>
      </c>
      <c r="E1398">
        <f>A1398-A1397</f>
        <v/>
      </c>
      <c r="F1398" s="4">
        <f>ROUND(B1398/B1397-1,8)</f>
        <v/>
      </c>
      <c r="G1398" s="4">
        <f>ROUND(C1398/C1397-1,8)</f>
        <v/>
      </c>
      <c r="H1398" s="4">
        <f>ROUND(D1398/100/(DATE(YEAR(A1398)+1,1,1)-DATE(YEAR(A1398),1,1))*E1398,8)</f>
        <v/>
      </c>
      <c r="I1398" s="4">
        <f>ROUND(I1397*(1+F1398),8)</f>
        <v/>
      </c>
      <c r="J1398" s="4">
        <f>ROUND(J1397*(1+G1398),8)</f>
        <v/>
      </c>
      <c r="K1398" s="4">
        <f>ROUND(K1397+H1398,8)</f>
        <v/>
      </c>
      <c r="L1398" s="4">
        <f>ROUND(0.9*F1398+0.05*G1398+0.05*H1398,8)</f>
        <v/>
      </c>
    </row>
    <row r="1399">
      <c r="A1399" s="2" t="n">
        <v>45848</v>
      </c>
      <c r="B1399" s="8" t="n">
        <v>2729.94</v>
      </c>
      <c r="C1399" s="8" t="n">
        <v>132.178</v>
      </c>
      <c r="D1399" s="8" t="n">
        <v>0.35</v>
      </c>
      <c r="E1399">
        <f>A1399-A1398</f>
        <v/>
      </c>
      <c r="F1399" s="4">
        <f>ROUND(B1399/B1398-1,8)</f>
        <v/>
      </c>
      <c r="G1399" s="4">
        <f>ROUND(C1399/C1398-1,8)</f>
        <v/>
      </c>
      <c r="H1399" s="4">
        <f>ROUND(D1399/100/(DATE(YEAR(A1399)+1,1,1)-DATE(YEAR(A1399),1,1))*E1399,8)</f>
        <v/>
      </c>
      <c r="I1399" s="4">
        <f>ROUND(I1398*(1+F1399),8)</f>
        <v/>
      </c>
      <c r="J1399" s="4">
        <f>ROUND(J1398*(1+G1399),8)</f>
        <v/>
      </c>
      <c r="K1399" s="4">
        <f>ROUND(K1398+H1399,8)</f>
        <v/>
      </c>
      <c r="L1399" s="4">
        <f>ROUND(0.9*F1399+0.05*G1399+0.05*H1399,8)</f>
        <v/>
      </c>
    </row>
    <row r="1400">
      <c r="A1400" s="2" t="n">
        <v>45849</v>
      </c>
      <c r="B1400" s="8" t="n">
        <v>2742.97</v>
      </c>
      <c r="C1400" s="8" t="n">
        <v>132.1399</v>
      </c>
      <c r="D1400" s="8" t="n">
        <v>0.35</v>
      </c>
      <c r="E1400">
        <f>A1400-A1399</f>
        <v/>
      </c>
      <c r="F1400" s="4">
        <f>ROUND(B1400/B1399-1,8)</f>
        <v/>
      </c>
      <c r="G1400" s="4">
        <f>ROUND(C1400/C1399-1,8)</f>
        <v/>
      </c>
      <c r="H1400" s="4">
        <f>ROUND(D1400/100/(DATE(YEAR(A1400)+1,1,1)-DATE(YEAR(A1400),1,1))*E1400,8)</f>
        <v/>
      </c>
      <c r="I1400" s="4">
        <f>ROUND(I1399*(1+F1400),8)</f>
        <v/>
      </c>
      <c r="J1400" s="4">
        <f>ROUND(J1399*(1+G1400),8)</f>
        <v/>
      </c>
      <c r="K1400" s="4">
        <f>ROUND(K1399+H1400,8)</f>
        <v/>
      </c>
      <c r="L1400" s="4">
        <f>ROUND(0.9*F1400+0.05*G1400+0.05*H1400,8)</f>
        <v/>
      </c>
    </row>
    <row r="1401">
      <c r="A1401" s="2" t="n">
        <v>45852</v>
      </c>
      <c r="B1401" s="8" t="n">
        <v>2760.43</v>
      </c>
      <c r="C1401" s="8" t="n">
        <v>132.0708</v>
      </c>
      <c r="D1401" s="8" t="n">
        <v>0.35</v>
      </c>
      <c r="E1401">
        <f>A1401-A1400</f>
        <v/>
      </c>
      <c r="F1401" s="4">
        <f>ROUND(B1401/B1400-1,8)</f>
        <v/>
      </c>
      <c r="G1401" s="4">
        <f>ROUND(C1401/C1400-1,8)</f>
        <v/>
      </c>
      <c r="H1401" s="4">
        <f>ROUND(D1401/100/(DATE(YEAR(A1401)+1,1,1)-DATE(YEAR(A1401),1,1))*E1401,8)</f>
        <v/>
      </c>
      <c r="I1401" s="4">
        <f>ROUND(I1400*(1+F1401),8)</f>
        <v/>
      </c>
      <c r="J1401" s="4">
        <f>ROUND(J1400*(1+G1401),8)</f>
        <v/>
      </c>
      <c r="K1401" s="4">
        <f>ROUND(K1400+H1401,8)</f>
        <v/>
      </c>
      <c r="L1401" s="4">
        <f>ROUND(0.9*F1401+0.05*G1401+0.05*H1401,8)</f>
        <v/>
      </c>
    </row>
    <row r="1402">
      <c r="A1402" s="2" t="n">
        <v>45853</v>
      </c>
      <c r="B1402" s="8" t="n">
        <v>2741.48</v>
      </c>
      <c r="C1402" s="8" t="n">
        <v>132.1737</v>
      </c>
      <c r="D1402" s="8" t="n">
        <v>0.35</v>
      </c>
      <c r="E1402">
        <f>A1402-A1401</f>
        <v/>
      </c>
      <c r="F1402" s="4">
        <f>ROUND(B1402/B1401-1,8)</f>
        <v/>
      </c>
      <c r="G1402" s="4">
        <f>ROUND(C1402/C1401-1,8)</f>
        <v/>
      </c>
      <c r="H1402" s="4">
        <f>ROUND(D1402/100/(DATE(YEAR(A1402)+1,1,1)-DATE(YEAR(A1402),1,1))*E1402,8)</f>
        <v/>
      </c>
      <c r="I1402" s="4">
        <f>ROUND(I1401*(1+F1402),8)</f>
        <v/>
      </c>
      <c r="J1402" s="4">
        <f>ROUND(J1401*(1+G1402),8)</f>
        <v/>
      </c>
      <c r="K1402" s="4">
        <f>ROUND(K1401+H1402,8)</f>
        <v/>
      </c>
      <c r="L1402" s="4">
        <f>ROUND(0.9*F1402+0.05*G1402+0.05*H1402,8)</f>
        <v/>
      </c>
    </row>
    <row r="1403">
      <c r="A1403" s="2" t="n">
        <v>45854</v>
      </c>
      <c r="B1403" s="8" t="n">
        <v>2759.06</v>
      </c>
      <c r="C1403" s="8" t="n">
        <v>132.1861</v>
      </c>
      <c r="D1403" s="8" t="n">
        <v>0.35</v>
      </c>
      <c r="E1403">
        <f>A1403-A1402</f>
        <v/>
      </c>
      <c r="F1403" s="4">
        <f>ROUND(B1403/B1402-1,8)</f>
        <v/>
      </c>
      <c r="G1403" s="4">
        <f>ROUND(C1403/C1402-1,8)</f>
        <v/>
      </c>
      <c r="H1403" s="4">
        <f>ROUND(D1403/100/(DATE(YEAR(A1403)+1,1,1)-DATE(YEAR(A1403),1,1))*E1403,8)</f>
        <v/>
      </c>
      <c r="I1403" s="4">
        <f>ROUND(I1402*(1+F1403),8)</f>
        <v/>
      </c>
      <c r="J1403" s="4">
        <f>ROUND(J1402*(1+G1403),8)</f>
        <v/>
      </c>
      <c r="K1403" s="4">
        <f>ROUND(K1402+H1403,8)</f>
        <v/>
      </c>
      <c r="L1403" s="4">
        <f>ROUND(0.9*F1403+0.05*G1403+0.05*H1403,8)</f>
        <v/>
      </c>
    </row>
    <row r="1404">
      <c r="A1404" s="2" t="n">
        <v>45855</v>
      </c>
      <c r="B1404" s="8" t="n">
        <v>2789.04</v>
      </c>
      <c r="C1404" s="8" t="n">
        <v>132.1985</v>
      </c>
      <c r="D1404" s="8" t="n">
        <v>0.35</v>
      </c>
      <c r="E1404">
        <f>A1404-A1403</f>
        <v/>
      </c>
      <c r="F1404" s="4">
        <f>ROUND(B1404/B1403-1,8)</f>
        <v/>
      </c>
      <c r="G1404" s="4">
        <f>ROUND(C1404/C1403-1,8)</f>
        <v/>
      </c>
      <c r="H1404" s="4">
        <f>ROUND(D1404/100/(DATE(YEAR(A1404)+1,1,1)-DATE(YEAR(A1404),1,1))*E1404,8)</f>
        <v/>
      </c>
      <c r="I1404" s="4">
        <f>ROUND(I1403*(1+F1404),8)</f>
        <v/>
      </c>
      <c r="J1404" s="4">
        <f>ROUND(J1403*(1+G1404),8)</f>
        <v/>
      </c>
      <c r="K1404" s="4">
        <f>ROUND(K1403+H1404,8)</f>
        <v/>
      </c>
      <c r="L1404" s="4">
        <f>ROUND(0.9*F1404+0.05*G1404+0.05*H1404,8)</f>
        <v/>
      </c>
    </row>
    <row r="1405">
      <c r="A1405" s="2" t="n">
        <v>45856</v>
      </c>
      <c r="B1405" s="8" t="n">
        <v>2790.76</v>
      </c>
      <c r="C1405" s="8" t="n">
        <v>132.1758</v>
      </c>
      <c r="D1405" s="8" t="n">
        <v>0.35</v>
      </c>
      <c r="E1405">
        <f>A1405-A1404</f>
        <v/>
      </c>
      <c r="F1405" s="4">
        <f>ROUND(B1405/B1404-1,8)</f>
        <v/>
      </c>
      <c r="G1405" s="4">
        <f>ROUND(C1405/C1404-1,8)</f>
        <v/>
      </c>
      <c r="H1405" s="4">
        <f>ROUND(D1405/100/(DATE(YEAR(A1405)+1,1,1)-DATE(YEAR(A1405),1,1))*E1405,8)</f>
        <v/>
      </c>
      <c r="I1405" s="4">
        <f>ROUND(I1404*(1+F1405),8)</f>
        <v/>
      </c>
      <c r="J1405" s="4">
        <f>ROUND(J1404*(1+G1405),8)</f>
        <v/>
      </c>
      <c r="K1405" s="4">
        <f>ROUND(K1404+H1405,8)</f>
        <v/>
      </c>
      <c r="L1405" s="4">
        <f>ROUND(0.9*F1405+0.05*G1405+0.05*H1405,8)</f>
        <v/>
      </c>
    </row>
    <row r="1406">
      <c r="A1406" s="2" t="n">
        <v>45859</v>
      </c>
      <c r="B1406" s="8" t="n">
        <v>2826.29</v>
      </c>
      <c r="C1406" s="8" t="n">
        <v>132.0624</v>
      </c>
      <c r="D1406" s="8" t="n">
        <v>0.35</v>
      </c>
      <c r="E1406">
        <f>A1406-A1405</f>
        <v/>
      </c>
      <c r="F1406" s="4">
        <f>ROUND(B1406/B1405-1,8)</f>
        <v/>
      </c>
      <c r="G1406" s="4">
        <f>ROUND(C1406/C1405-1,8)</f>
        <v/>
      </c>
      <c r="H1406" s="4">
        <f>ROUND(D1406/100/(DATE(YEAR(A1406)+1,1,1)-DATE(YEAR(A1406),1,1))*E1406,8)</f>
        <v/>
      </c>
      <c r="I1406" s="4">
        <f>ROUND(I1405*(1+F1406),8)</f>
        <v/>
      </c>
      <c r="J1406" s="4">
        <f>ROUND(J1405*(1+G1406),8)</f>
        <v/>
      </c>
      <c r="K1406" s="4">
        <f>ROUND(K1405+H1406,8)</f>
        <v/>
      </c>
      <c r="L1406" s="4">
        <f>ROUND(0.9*F1406+0.05*G1406+0.05*H1406,8)</f>
        <v/>
      </c>
    </row>
    <row r="1407">
      <c r="A1407" s="2" t="n">
        <v>45860</v>
      </c>
      <c r="B1407" s="8" t="n">
        <v>2826.49</v>
      </c>
      <c r="C1407" s="8" t="n">
        <v>131.9796</v>
      </c>
      <c r="D1407" s="8" t="n">
        <v>0.35</v>
      </c>
      <c r="E1407">
        <f>A1407-A1406</f>
        <v/>
      </c>
      <c r="F1407" s="4">
        <f>ROUND(B1407/B1406-1,8)</f>
        <v/>
      </c>
      <c r="G1407" s="4">
        <f>ROUND(C1407/C1406-1,8)</f>
        <v/>
      </c>
      <c r="H1407" s="4">
        <f>ROUND(D1407/100/(DATE(YEAR(A1407)+1,1,1)-DATE(YEAR(A1407),1,1))*E1407,8)</f>
        <v/>
      </c>
      <c r="I1407" s="4">
        <f>ROUND(I1406*(1+F1407),8)</f>
        <v/>
      </c>
      <c r="J1407" s="4">
        <f>ROUND(J1406*(1+G1407),8)</f>
        <v/>
      </c>
      <c r="K1407" s="4">
        <f>ROUND(K1406+H1407,8)</f>
        <v/>
      </c>
      <c r="L1407" s="4">
        <f>ROUND(0.9*F1407+0.05*G1407+0.05*H1407,8)</f>
        <v/>
      </c>
    </row>
    <row r="1408">
      <c r="A1408" s="2" t="n">
        <v>45861</v>
      </c>
      <c r="B1408" s="8" t="n">
        <v>2801.49</v>
      </c>
      <c r="C1408" s="8" t="n">
        <v>131.8574</v>
      </c>
      <c r="D1408" s="8" t="n">
        <v>0.35</v>
      </c>
      <c r="E1408">
        <f>A1408-A1407</f>
        <v/>
      </c>
      <c r="F1408" s="4">
        <f>ROUND(B1408/B1407-1,8)</f>
        <v/>
      </c>
      <c r="G1408" s="4">
        <f>ROUND(C1408/C1407-1,8)</f>
        <v/>
      </c>
      <c r="H1408" s="4">
        <f>ROUND(D1408/100/(DATE(YEAR(A1408)+1,1,1)-DATE(YEAR(A1408),1,1))*E1408,8)</f>
        <v/>
      </c>
      <c r="I1408" s="4">
        <f>ROUND(I1407*(1+F1408),8)</f>
        <v/>
      </c>
      <c r="J1408" s="4">
        <f>ROUND(J1407*(1+G1408),8)</f>
        <v/>
      </c>
      <c r="K1408" s="4">
        <f>ROUND(K1407+H1408,8)</f>
        <v/>
      </c>
      <c r="L1408" s="4">
        <f>ROUND(0.9*F1408+0.05*G1408+0.05*H1408,8)</f>
        <v/>
      </c>
    </row>
    <row r="1409">
      <c r="A1409" s="2" t="n">
        <v>45862</v>
      </c>
      <c r="B1409" s="8" t="n">
        <v>2832.87</v>
      </c>
      <c r="C1409" s="8" t="n">
        <v>131.6295</v>
      </c>
      <c r="D1409" s="8" t="n">
        <v>0.35</v>
      </c>
      <c r="E1409">
        <f>A1409-A1408</f>
        <v/>
      </c>
      <c r="F1409" s="4">
        <f>ROUND(B1409/B1408-1,8)</f>
        <v/>
      </c>
      <c r="G1409" s="4">
        <f>ROUND(C1409/C1408-1,8)</f>
        <v/>
      </c>
      <c r="H1409" s="4">
        <f>ROUND(D1409/100/(DATE(YEAR(A1409)+1,1,1)-DATE(YEAR(A1409),1,1))*E1409,8)</f>
        <v/>
      </c>
      <c r="I1409" s="4">
        <f>ROUND(I1408*(1+F1409),8)</f>
        <v/>
      </c>
      <c r="J1409" s="4">
        <f>ROUND(J1408*(1+G1409),8)</f>
        <v/>
      </c>
      <c r="K1409" s="4">
        <f>ROUND(K1408+H1409,8)</f>
        <v/>
      </c>
      <c r="L1409" s="4">
        <f>ROUND(0.9*F1409+0.05*G1409+0.05*H1409,8)</f>
        <v/>
      </c>
    </row>
    <row r="1410">
      <c r="A1410" s="2" t="n">
        <v>45863</v>
      </c>
      <c r="B1410" s="8" t="n">
        <v>2841.29</v>
      </c>
      <c r="C1410" s="8" t="n">
        <v>131.5933</v>
      </c>
      <c r="D1410" s="8" t="n">
        <v>0.35</v>
      </c>
      <c r="E1410">
        <f>A1410-A1409</f>
        <v/>
      </c>
      <c r="F1410" s="4">
        <f>ROUND(B1410/B1409-1,8)</f>
        <v/>
      </c>
      <c r="G1410" s="4">
        <f>ROUND(C1410/C1409-1,8)</f>
        <v/>
      </c>
      <c r="H1410" s="4">
        <f>ROUND(D1410/100/(DATE(YEAR(A1410)+1,1,1)-DATE(YEAR(A1410),1,1))*E1410,8)</f>
        <v/>
      </c>
      <c r="I1410" s="4">
        <f>ROUND(I1409*(1+F1410),8)</f>
        <v/>
      </c>
      <c r="J1410" s="4">
        <f>ROUND(J1409*(1+G1410),8)</f>
        <v/>
      </c>
      <c r="K1410" s="4">
        <f>ROUND(K1409+H1410,8)</f>
        <v/>
      </c>
      <c r="L1410" s="4">
        <f>ROUND(0.9*F1410+0.05*G1410+0.05*H1410,8)</f>
        <v/>
      </c>
    </row>
    <row r="1411">
      <c r="A1411" s="2" t="n">
        <v>45866</v>
      </c>
      <c r="B1411" s="8" t="n">
        <v>2861.51</v>
      </c>
      <c r="C1411" s="8" t="n">
        <v>131.7015</v>
      </c>
      <c r="D1411" s="8" t="n">
        <v>0.35</v>
      </c>
      <c r="E1411">
        <f>A1411-A1410</f>
        <v/>
      </c>
      <c r="F1411" s="4">
        <f>ROUND(B1411/B1410-1,8)</f>
        <v/>
      </c>
      <c r="G1411" s="4">
        <f>ROUND(C1411/C1410-1,8)</f>
        <v/>
      </c>
      <c r="H1411" s="4">
        <f>ROUND(D1411/100/(DATE(YEAR(A1411)+1,1,1)-DATE(YEAR(A1411),1,1))*E1411,8)</f>
        <v/>
      </c>
      <c r="I1411" s="4">
        <f>ROUND(I1410*(1+F1411),8)</f>
        <v/>
      </c>
      <c r="J1411" s="4">
        <f>ROUND(J1410*(1+G1411),8)</f>
        <v/>
      </c>
      <c r="K1411" s="4">
        <f>ROUND(K1410+H1411,8)</f>
        <v/>
      </c>
      <c r="L1411" s="4">
        <f>ROUND(0.9*F1411+0.05*G1411+0.05*H1411,8)</f>
        <v/>
      </c>
    </row>
    <row r="1412">
      <c r="A1412" s="2" t="n">
        <v>45867</v>
      </c>
      <c r="B1412" s="8" t="n">
        <v>2872.07</v>
      </c>
      <c r="C1412" s="8" t="n">
        <v>131.4734</v>
      </c>
      <c r="D1412" s="8" t="n">
        <v>0.35</v>
      </c>
      <c r="E1412">
        <f>A1412-A1411</f>
        <v/>
      </c>
      <c r="F1412" s="4">
        <f>ROUND(B1412/B1411-1,8)</f>
        <v/>
      </c>
      <c r="G1412" s="4">
        <f>ROUND(C1412/C1411-1,8)</f>
        <v/>
      </c>
      <c r="H1412" s="4">
        <f>ROUND(D1412/100/(DATE(YEAR(A1412)+1,1,1)-DATE(YEAR(A1412),1,1))*E1412,8)</f>
        <v/>
      </c>
      <c r="I1412" s="4">
        <f>ROUND(I1411*(1+F1412),8)</f>
        <v/>
      </c>
      <c r="J1412" s="4">
        <f>ROUND(J1411*(1+G1412),8)</f>
        <v/>
      </c>
      <c r="K1412" s="4">
        <f>ROUND(K1411+H1412,8)</f>
        <v/>
      </c>
      <c r="L1412" s="4">
        <f>ROUND(0.9*F1412+0.05*G1412+0.05*H1412,8)</f>
        <v/>
      </c>
    </row>
    <row r="1413">
      <c r="A1413" s="2" t="n">
        <v>45868</v>
      </c>
      <c r="B1413" s="8" t="n">
        <v>2846.33</v>
      </c>
      <c r="C1413" s="8" t="n">
        <v>131.5649</v>
      </c>
      <c r="D1413" s="8" t="n">
        <v>0.35</v>
      </c>
      <c r="E1413">
        <f>A1413-A1412</f>
        <v/>
      </c>
      <c r="F1413" s="4">
        <f>ROUND(B1413/B1412-1,8)</f>
        <v/>
      </c>
      <c r="G1413" s="4">
        <f>ROUND(C1413/C1412-1,8)</f>
        <v/>
      </c>
      <c r="H1413" s="4">
        <f>ROUND(D1413/100/(DATE(YEAR(A1413)+1,1,1)-DATE(YEAR(A1413),1,1))*E1413,8)</f>
        <v/>
      </c>
      <c r="I1413" s="4">
        <f>ROUND(I1412*(1+F1413),8)</f>
        <v/>
      </c>
      <c r="J1413" s="4">
        <f>ROUND(J1412*(1+G1413),8)</f>
        <v/>
      </c>
      <c r="K1413" s="4">
        <f>ROUND(K1412+H1413,8)</f>
        <v/>
      </c>
      <c r="L1413" s="4">
        <f>ROUND(0.9*F1413+0.05*G1413+0.05*H1413,8)</f>
        <v/>
      </c>
    </row>
    <row r="1414">
      <c r="A1414" s="2" t="n">
        <v>45869</v>
      </c>
      <c r="B1414" s="8" t="n">
        <v>2827.97</v>
      </c>
      <c r="C1414" s="8" t="n">
        <v>131.7278</v>
      </c>
      <c r="D1414" s="8" t="n">
        <v>0.35</v>
      </c>
      <c r="E1414">
        <f>A1414-A1413</f>
        <v/>
      </c>
      <c r="F1414" s="4">
        <f>ROUND(B1414/B1413-1,8)</f>
        <v/>
      </c>
      <c r="G1414" s="4">
        <f>ROUND(C1414/C1413-1,8)</f>
        <v/>
      </c>
      <c r="H1414" s="4">
        <f>ROUND(D1414/100/(DATE(YEAR(A1414)+1,1,1)-DATE(YEAR(A1414),1,1))*E1414,8)</f>
        <v/>
      </c>
      <c r="I1414" s="4">
        <f>ROUND(I1413*(1+F1414),8)</f>
        <v/>
      </c>
      <c r="J1414" s="4">
        <f>ROUND(J1413*(1+G1414),8)</f>
        <v/>
      </c>
      <c r="K1414" s="4">
        <f>ROUND(K1413+H1414,8)</f>
        <v/>
      </c>
      <c r="L1414" s="4">
        <f>ROUND(0.9*F1414+0.05*G1414+0.05*H1414,8)</f>
        <v/>
      </c>
    </row>
    <row r="1415">
      <c r="A1415" s="2" t="n">
        <v>45870</v>
      </c>
      <c r="B1415" s="8" t="n">
        <v>2840.94</v>
      </c>
      <c r="C1415" s="8" t="n">
        <v>131.7412</v>
      </c>
      <c r="D1415" s="8" t="n">
        <v>0.35</v>
      </c>
      <c r="E1415">
        <f>A1415-A1414</f>
        <v/>
      </c>
      <c r="F1415" s="4">
        <f>ROUND(B1415/B1414-1,8)</f>
        <v/>
      </c>
      <c r="G1415" s="4">
        <f>ROUND(C1415/C1414-1,8)</f>
        <v/>
      </c>
      <c r="H1415" s="4">
        <f>ROUND(D1415/100/(DATE(YEAR(A1415)+1,1,1)-DATE(YEAR(A1415),1,1))*E1415,8)</f>
        <v/>
      </c>
      <c r="I1415" s="4">
        <f>ROUND(I1414*(1+F1415),8)</f>
        <v/>
      </c>
      <c r="J1415" s="4">
        <f>ROUND(J1414*(1+G1415),8)</f>
        <v/>
      </c>
      <c r="K1415" s="4">
        <f>ROUND(K1414+H1415,8)</f>
        <v/>
      </c>
      <c r="L1415" s="4">
        <f>ROUND(0.9*F1415+0.05*G1415+0.05*H1415,8)</f>
        <v/>
      </c>
    </row>
    <row r="1416">
      <c r="A1416" s="2" t="n">
        <v>45873</v>
      </c>
      <c r="B1416" s="8" t="n">
        <v>2885.31</v>
      </c>
      <c r="C1416" s="8" t="n">
        <v>131.7718</v>
      </c>
      <c r="D1416" s="8" t="n">
        <v>0.35</v>
      </c>
      <c r="E1416">
        <f>A1416-A1415</f>
        <v/>
      </c>
      <c r="F1416" s="4">
        <f>ROUND(B1416/B1415-1,8)</f>
        <v/>
      </c>
      <c r="G1416" s="4">
        <f>ROUND(C1416/C1415-1,8)</f>
        <v/>
      </c>
      <c r="H1416" s="4">
        <f>ROUND(D1416/100/(DATE(YEAR(A1416)+1,1,1)-DATE(YEAR(A1416),1,1))*E1416,8)</f>
        <v/>
      </c>
      <c r="I1416" s="4">
        <f>ROUND(I1415*(1+F1416),8)</f>
        <v/>
      </c>
      <c r="J1416" s="4">
        <f>ROUND(J1415*(1+G1416),8)</f>
        <v/>
      </c>
      <c r="K1416" s="4">
        <f>ROUND(K1415+H1416,8)</f>
        <v/>
      </c>
      <c r="L1416" s="4">
        <f>ROUND(0.9*F1416+0.05*G1416+0.05*H1416,8)</f>
        <v/>
      </c>
    </row>
    <row r="1417">
      <c r="A1417" s="2" t="n">
        <v>45874</v>
      </c>
      <c r="B1417" s="8" t="n">
        <v>2911.28</v>
      </c>
      <c r="C1417" s="8" t="n">
        <v>131.7647</v>
      </c>
      <c r="D1417" s="8" t="n">
        <v>0.35</v>
      </c>
      <c r="E1417">
        <f>A1417-A1416</f>
        <v/>
      </c>
      <c r="F1417" s="4">
        <f>ROUND(B1417/B1416-1,8)</f>
        <v/>
      </c>
      <c r="G1417" s="4">
        <f>ROUND(C1417/C1416-1,8)</f>
        <v/>
      </c>
      <c r="H1417" s="4">
        <f>ROUND(D1417/100/(DATE(YEAR(A1417)+1,1,1)-DATE(YEAR(A1417),1,1))*E1417,8)</f>
        <v/>
      </c>
      <c r="I1417" s="4">
        <f>ROUND(I1416*(1+F1417),8)</f>
        <v/>
      </c>
      <c r="J1417" s="4">
        <f>ROUND(J1416*(1+G1417),8)</f>
        <v/>
      </c>
      <c r="K1417" s="4">
        <f>ROUND(K1416+H1417,8)</f>
        <v/>
      </c>
      <c r="L1417" s="4">
        <f>ROUND(0.9*F1417+0.05*G1417+0.05*H1417,8)</f>
        <v/>
      </c>
    </row>
    <row r="1418">
      <c r="A1418" s="2" t="n">
        <v>45875</v>
      </c>
      <c r="B1418" s="8" t="n">
        <v>2946.02</v>
      </c>
      <c r="C1418" s="8" t="n">
        <v>131.7842</v>
      </c>
      <c r="D1418" s="8" t="n">
        <v>0.35</v>
      </c>
      <c r="E1418">
        <f>A1418-A1417</f>
        <v/>
      </c>
      <c r="F1418" s="4">
        <f>ROUND(B1418/B1417-1,8)</f>
        <v/>
      </c>
      <c r="G1418" s="4">
        <f>ROUND(C1418/C1417-1,8)</f>
        <v/>
      </c>
      <c r="H1418" s="4">
        <f>ROUND(D1418/100/(DATE(YEAR(A1418)+1,1,1)-DATE(YEAR(A1418),1,1))*E1418,8)</f>
        <v/>
      </c>
      <c r="I1418" s="4">
        <f>ROUND(I1417*(1+F1418),8)</f>
        <v/>
      </c>
      <c r="J1418" s="4">
        <f>ROUND(J1417*(1+G1418),8)</f>
        <v/>
      </c>
      <c r="K1418" s="4">
        <f>ROUND(K1417+H1418,8)</f>
        <v/>
      </c>
      <c r="L1418" s="4">
        <f>ROUND(0.9*F1418+0.05*G1418+0.05*H1418,8)</f>
        <v/>
      </c>
    </row>
    <row r="1419">
      <c r="A1419" s="2" t="n">
        <v>45876</v>
      </c>
      <c r="B1419" s="8" t="n">
        <v>2948.13</v>
      </c>
      <c r="C1419" s="8" t="n">
        <v>131.816</v>
      </c>
      <c r="D1419" s="8" t="n">
        <v>0.35</v>
      </c>
      <c r="E1419">
        <f>A1419-A1418</f>
        <v/>
      </c>
      <c r="F1419" s="4">
        <f>ROUND(B1419/B1418-1,8)</f>
        <v/>
      </c>
      <c r="G1419" s="4">
        <f>ROUND(C1419/C1418-1,8)</f>
        <v/>
      </c>
      <c r="H1419" s="4">
        <f>ROUND(D1419/100/(DATE(YEAR(A1419)+1,1,1)-DATE(YEAR(A1419),1,1))*E1419,8)</f>
        <v/>
      </c>
      <c r="I1419" s="4">
        <f>ROUND(I1418*(1+F1419),8)</f>
        <v/>
      </c>
      <c r="J1419" s="4">
        <f>ROUND(J1418*(1+G1419),8)</f>
        <v/>
      </c>
      <c r="K1419" s="4">
        <f>ROUND(K1418+H1419,8)</f>
        <v/>
      </c>
      <c r="L1419" s="4">
        <f>ROUND(0.9*F1419+0.05*G1419+0.05*H1419,8)</f>
        <v/>
      </c>
    </row>
    <row r="1420">
      <c r="A1420" s="2" t="n">
        <v>45877</v>
      </c>
      <c r="B1420" s="8" t="n">
        <v>2941.47</v>
      </c>
      <c r="C1420" s="8" t="n">
        <v>131.8118</v>
      </c>
      <c r="D1420" s="8" t="n">
        <v>0.35</v>
      </c>
      <c r="E1420">
        <f>A1420-A1419</f>
        <v/>
      </c>
      <c r="F1420" s="4">
        <f>ROUND(B1420/B1419-1,8)</f>
        <v/>
      </c>
      <c r="G1420" s="4">
        <f>ROUND(C1420/C1419-1,8)</f>
        <v/>
      </c>
      <c r="H1420" s="4">
        <f>ROUND(D1420/100/(DATE(YEAR(A1420)+1,1,1)-DATE(YEAR(A1420),1,1))*E1420,8)</f>
        <v/>
      </c>
      <c r="I1420" s="4">
        <f>ROUND(I1419*(1+F1420),8)</f>
        <v/>
      </c>
      <c r="J1420" s="4">
        <f>ROUND(J1419*(1+G1420),8)</f>
        <v/>
      </c>
      <c r="K1420" s="4">
        <f>ROUND(K1419+H1420,8)</f>
        <v/>
      </c>
      <c r="L1420" s="4">
        <f>ROUND(0.9*F1420+0.05*G1420+0.05*H1420,8)</f>
        <v/>
      </c>
    </row>
    <row r="1421">
      <c r="A1421" s="2" t="n">
        <v>45880</v>
      </c>
      <c r="B1421" s="8" t="n">
        <v>2991.59</v>
      </c>
      <c r="C1421" s="8" t="n">
        <v>131.6485</v>
      </c>
      <c r="D1421" s="8" t="n">
        <v>0.35</v>
      </c>
      <c r="E1421">
        <f>A1421-A1420</f>
        <v/>
      </c>
      <c r="F1421" s="4">
        <f>ROUND(B1421/B1420-1,8)</f>
        <v/>
      </c>
      <c r="G1421" s="4">
        <f>ROUND(C1421/C1420-1,8)</f>
        <v/>
      </c>
      <c r="H1421" s="4">
        <f>ROUND(D1421/100/(DATE(YEAR(A1421)+1,1,1)-DATE(YEAR(A1421),1,1))*E1421,8)</f>
        <v/>
      </c>
      <c r="I1421" s="4">
        <f>ROUND(I1420*(1+F1421),8)</f>
        <v/>
      </c>
      <c r="J1421" s="4">
        <f>ROUND(J1420*(1+G1421),8)</f>
        <v/>
      </c>
      <c r="K1421" s="4">
        <f>ROUND(K1420+H1421,8)</f>
        <v/>
      </c>
      <c r="L1421" s="4">
        <f>ROUND(0.9*F1421+0.05*G1421+0.05*H1421,8)</f>
        <v/>
      </c>
    </row>
    <row r="1422">
      <c r="A1422" s="2" t="n">
        <v>45881</v>
      </c>
      <c r="B1422" s="8" t="n">
        <v>2993.32</v>
      </c>
      <c r="C1422" s="8" t="n">
        <v>131.5053</v>
      </c>
      <c r="D1422" s="8" t="n">
        <v>0.35</v>
      </c>
      <c r="E1422">
        <f>A1422-A1421</f>
        <v/>
      </c>
      <c r="F1422" s="4">
        <f>ROUND(B1422/B1421-1,8)</f>
        <v/>
      </c>
      <c r="G1422" s="4">
        <f>ROUND(C1422/C1421-1,8)</f>
        <v/>
      </c>
      <c r="H1422" s="4">
        <f>ROUND(D1422/100/(DATE(YEAR(A1422)+1,1,1)-DATE(YEAR(A1422),1,1))*E1422,8)</f>
        <v/>
      </c>
      <c r="I1422" s="4">
        <f>ROUND(I1421*(1+F1422),8)</f>
        <v/>
      </c>
      <c r="J1422" s="4">
        <f>ROUND(J1421*(1+G1422),8)</f>
        <v/>
      </c>
      <c r="K1422" s="4">
        <f>ROUND(K1421+H1422,8)</f>
        <v/>
      </c>
      <c r="L1422" s="4">
        <f>ROUND(0.9*F1422+0.05*G1422+0.05*H1422,8)</f>
        <v/>
      </c>
    </row>
    <row r="1423">
      <c r="A1423" s="2" t="n">
        <v>45882</v>
      </c>
      <c r="B1423" s="8" t="n">
        <v>3024.43</v>
      </c>
      <c r="C1423" s="8" t="n">
        <v>131.4846</v>
      </c>
      <c r="D1423" s="8" t="n">
        <v>0.35</v>
      </c>
      <c r="E1423">
        <f>A1423-A1422</f>
        <v/>
      </c>
      <c r="F1423" s="4">
        <f>ROUND(B1423/B1422-1,8)</f>
        <v/>
      </c>
      <c r="G1423" s="4">
        <f>ROUND(C1423/C1422-1,8)</f>
        <v/>
      </c>
      <c r="H1423" s="4">
        <f>ROUND(D1423/100/(DATE(YEAR(A1423)+1,1,1)-DATE(YEAR(A1423),1,1))*E1423,8)</f>
        <v/>
      </c>
      <c r="I1423" s="4">
        <f>ROUND(I1422*(1+F1423),8)</f>
        <v/>
      </c>
      <c r="J1423" s="4">
        <f>ROUND(J1422*(1+G1423),8)</f>
        <v/>
      </c>
      <c r="K1423" s="4">
        <f>ROUND(K1422+H1423,8)</f>
        <v/>
      </c>
      <c r="L1423" s="4">
        <f>ROUND(0.9*F1423+0.05*G1423+0.05*H1423,8)</f>
        <v/>
      </c>
    </row>
    <row r="1424">
      <c r="A1424" s="2" t="n">
        <v>45883</v>
      </c>
      <c r="B1424" s="8" t="n">
        <v>2967.93</v>
      </c>
      <c r="C1424" s="8" t="n">
        <v>131.4141</v>
      </c>
      <c r="D1424" s="8" t="n">
        <v>0.35</v>
      </c>
      <c r="E1424">
        <f>A1424-A1423</f>
        <v/>
      </c>
      <c r="F1424" s="4">
        <f>ROUND(B1424/B1423-1,8)</f>
        <v/>
      </c>
      <c r="G1424" s="4">
        <f>ROUND(C1424/C1423-1,8)</f>
        <v/>
      </c>
      <c r="H1424" s="4">
        <f>ROUND(D1424/100/(DATE(YEAR(A1424)+1,1,1)-DATE(YEAR(A1424),1,1))*E1424,8)</f>
        <v/>
      </c>
      <c r="I1424" s="4">
        <f>ROUND(I1423*(1+F1424),8)</f>
        <v/>
      </c>
      <c r="J1424" s="4">
        <f>ROUND(J1423*(1+G1424),8)</f>
        <v/>
      </c>
      <c r="K1424" s="4">
        <f>ROUND(K1423+H1424,8)</f>
        <v/>
      </c>
      <c r="L1424" s="4">
        <f>ROUND(0.9*F1424+0.05*G1424+0.05*H1424,8)</f>
        <v/>
      </c>
    </row>
    <row r="1425">
      <c r="A1425" s="2" t="n">
        <v>45884</v>
      </c>
      <c r="B1425" s="8" t="n">
        <v>3028.23</v>
      </c>
      <c r="C1425" s="8" t="n">
        <v>131.3102</v>
      </c>
      <c r="D1425" s="8" t="n">
        <v>0.35</v>
      </c>
      <c r="E1425">
        <f>A1425-A1424</f>
        <v/>
      </c>
      <c r="F1425" s="4">
        <f>ROUND(B1425/B1424-1,8)</f>
        <v/>
      </c>
      <c r="G1425" s="4">
        <f>ROUND(C1425/C1424-1,8)</f>
        <v/>
      </c>
      <c r="H1425" s="4">
        <f>ROUND(D1425/100/(DATE(YEAR(A1425)+1,1,1)-DATE(YEAR(A1425),1,1))*E1425,8)</f>
        <v/>
      </c>
      <c r="I1425" s="4">
        <f>ROUND(I1424*(1+F1425),8)</f>
        <v/>
      </c>
      <c r="J1425" s="4">
        <f>ROUND(J1424*(1+G1425),8)</f>
        <v/>
      </c>
      <c r="K1425" s="4">
        <f>ROUND(K1424+H1425,8)</f>
        <v/>
      </c>
      <c r="L1425" s="4">
        <f>ROUND(0.9*F1425+0.05*G1425+0.05*H1425,8)</f>
        <v/>
      </c>
    </row>
    <row r="1426">
      <c r="A1426" s="2" t="n">
        <v>45887</v>
      </c>
      <c r="B1426" s="8" t="n">
        <v>3093.11</v>
      </c>
      <c r="C1426" s="8" t="n">
        <v>130.9151</v>
      </c>
      <c r="D1426" s="8" t="n">
        <v>0.35</v>
      </c>
      <c r="E1426">
        <f>A1426-A1425</f>
        <v/>
      </c>
      <c r="F1426" s="4">
        <f>ROUND(B1426/B1425-1,8)</f>
        <v/>
      </c>
      <c r="G1426" s="4">
        <f>ROUND(C1426/C1425-1,8)</f>
        <v/>
      </c>
      <c r="H1426" s="4">
        <f>ROUND(D1426/100/(DATE(YEAR(A1426)+1,1,1)-DATE(YEAR(A1426),1,1))*E1426,8)</f>
        <v/>
      </c>
      <c r="I1426" s="4">
        <f>ROUND(I1425*(1+F1426),8)</f>
        <v/>
      </c>
      <c r="J1426" s="4">
        <f>ROUND(J1425*(1+G1426),8)</f>
        <v/>
      </c>
      <c r="K1426" s="4">
        <f>ROUND(K1425+H1426,8)</f>
        <v/>
      </c>
      <c r="L1426" s="4">
        <f>ROUND(0.9*F1426+0.05*G1426+0.05*H1426,8)</f>
        <v/>
      </c>
    </row>
    <row r="1427">
      <c r="A1427" s="2" t="n">
        <v>45888</v>
      </c>
      <c r="B1427" s="8" t="n">
        <v>3114.61</v>
      </c>
      <c r="C1427" s="8" t="n">
        <v>130.9267</v>
      </c>
      <c r="D1427" s="8" t="n">
        <v>0.35</v>
      </c>
      <c r="E1427">
        <f>A1427-A1426</f>
        <v/>
      </c>
      <c r="F1427" s="4">
        <f>ROUND(B1427/B1426-1,8)</f>
        <v/>
      </c>
      <c r="G1427" s="4">
        <f>ROUND(C1427/C1426-1,8)</f>
        <v/>
      </c>
      <c r="H1427" s="4">
        <f>ROUND(D1427/100/(DATE(YEAR(A1427)+1,1,1)-DATE(YEAR(A1427),1,1))*E1427,8)</f>
        <v/>
      </c>
      <c r="I1427" s="4">
        <f>ROUND(I1426*(1+F1427),8)</f>
        <v/>
      </c>
      <c r="J1427" s="4">
        <f>ROUND(J1426*(1+G1427),8)</f>
        <v/>
      </c>
      <c r="K1427" s="4">
        <f>ROUND(K1426+H1427,8)</f>
        <v/>
      </c>
      <c r="L1427" s="4">
        <f>ROUND(0.9*F1427+0.05*G1427+0.05*H1427,8)</f>
        <v/>
      </c>
    </row>
    <row r="1428">
      <c r="A1428" s="2" t="n">
        <v>45889</v>
      </c>
      <c r="B1428" s="8" t="n">
        <v>3127.8</v>
      </c>
      <c r="C1428" s="8" t="n">
        <v>130.8707</v>
      </c>
      <c r="D1428" s="8" t="n">
        <v>0.35</v>
      </c>
      <c r="E1428">
        <f>A1428-A1427</f>
        <v/>
      </c>
      <c r="F1428" s="4">
        <f>ROUND(B1428/B1427-1,8)</f>
        <v/>
      </c>
      <c r="G1428" s="4">
        <f>ROUND(C1428/C1427-1,8)</f>
        <v/>
      </c>
      <c r="H1428" s="4">
        <f>ROUND(D1428/100/(DATE(YEAR(A1428)+1,1,1)-DATE(YEAR(A1428),1,1))*E1428,8)</f>
        <v/>
      </c>
      <c r="I1428" s="4">
        <f>ROUND(I1427*(1+F1428),8)</f>
        <v/>
      </c>
      <c r="J1428" s="4">
        <f>ROUND(J1427*(1+G1428),8)</f>
        <v/>
      </c>
      <c r="K1428" s="4">
        <f>ROUND(K1427+H1428,8)</f>
        <v/>
      </c>
      <c r="L1428" s="4">
        <f>ROUND(0.9*F1428+0.05*G1428+0.05*H1428,8)</f>
        <v/>
      </c>
    </row>
    <row r="1429">
      <c r="A1429" s="2" t="n">
        <v>45890</v>
      </c>
      <c r="B1429" s="8" t="n">
        <v>3104.53</v>
      </c>
      <c r="C1429" s="8" t="n">
        <v>130.8793</v>
      </c>
      <c r="D1429" s="8" t="n">
        <v>0.35</v>
      </c>
      <c r="E1429">
        <f>A1429-A1428</f>
        <v/>
      </c>
      <c r="F1429" s="4">
        <f>ROUND(B1429/B1428-1,8)</f>
        <v/>
      </c>
      <c r="G1429" s="4">
        <f>ROUND(C1429/C1428-1,8)</f>
        <v/>
      </c>
      <c r="H1429" s="4">
        <f>ROUND(D1429/100/(DATE(YEAR(A1429)+1,1,1)-DATE(YEAR(A1429),1,1))*E1429,8)</f>
        <v/>
      </c>
      <c r="I1429" s="4">
        <f>ROUND(I1428*(1+F1429),8)</f>
        <v/>
      </c>
      <c r="J1429" s="4">
        <f>ROUND(J1428*(1+G1429),8)</f>
        <v/>
      </c>
      <c r="K1429" s="4">
        <f>ROUND(K1428+H1429,8)</f>
        <v/>
      </c>
      <c r="L1429" s="4">
        <f>ROUND(0.9*F1429+0.05*G1429+0.05*H1429,8)</f>
        <v/>
      </c>
    </row>
    <row r="1430">
      <c r="A1430" s="2" t="n">
        <v>45891</v>
      </c>
      <c r="B1430" s="8" t="n">
        <v>3126.03</v>
      </c>
      <c r="C1430" s="8" t="n">
        <v>130.8512</v>
      </c>
      <c r="D1430" s="8" t="n">
        <v>0.35</v>
      </c>
      <c r="E1430">
        <f>A1430-A1429</f>
        <v/>
      </c>
      <c r="F1430" s="4">
        <f>ROUND(B1430/B1429-1,8)</f>
        <v/>
      </c>
      <c r="G1430" s="4">
        <f>ROUND(C1430/C1429-1,8)</f>
        <v/>
      </c>
      <c r="H1430" s="4">
        <f>ROUND(D1430/100/(DATE(YEAR(A1430)+1,1,1)-DATE(YEAR(A1430),1,1))*E1430,8)</f>
        <v/>
      </c>
      <c r="I1430" s="4">
        <f>ROUND(I1429*(1+F1430),8)</f>
        <v/>
      </c>
      <c r="J1430" s="4">
        <f>ROUND(J1429*(1+G1430),8)</f>
        <v/>
      </c>
      <c r="K1430" s="4">
        <f>ROUND(K1429+H1430,8)</f>
        <v/>
      </c>
      <c r="L1430" s="4">
        <f>ROUND(0.9*F1430+0.05*G1430+0.05*H1430,8)</f>
        <v/>
      </c>
    </row>
    <row r="1431">
      <c r="A1431" s="2" t="n">
        <v>45894</v>
      </c>
      <c r="B1431" s="8" t="n">
        <v>3162.62</v>
      </c>
      <c r="C1431" s="8" t="n">
        <v>130.8983</v>
      </c>
      <c r="D1431" s="8" t="n">
        <v>0.35</v>
      </c>
      <c r="E1431">
        <f>A1431-A1430</f>
        <v/>
      </c>
      <c r="F1431" s="4">
        <f>ROUND(B1431/B1430-1,8)</f>
        <v/>
      </c>
      <c r="G1431" s="4">
        <f>ROUND(C1431/C1430-1,8)</f>
        <v/>
      </c>
      <c r="H1431" s="4">
        <f>ROUND(D1431/100/(DATE(YEAR(A1431)+1,1,1)-DATE(YEAR(A1431),1,1))*E1431,8)</f>
        <v/>
      </c>
      <c r="I1431" s="4">
        <f>ROUND(I1430*(1+F1431),8)</f>
        <v/>
      </c>
      <c r="J1431" s="4">
        <f>ROUND(J1430*(1+G1431),8)</f>
        <v/>
      </c>
      <c r="K1431" s="4">
        <f>ROUND(K1430+H1431,8)</f>
        <v/>
      </c>
      <c r="L1431" s="4">
        <f>ROUND(0.9*F1431+0.05*G1431+0.05*H1431,8)</f>
        <v/>
      </c>
    </row>
    <row r="1432">
      <c r="A1432" s="2" t="n">
        <v>45895</v>
      </c>
      <c r="B1432" s="8" t="n">
        <v>3163.15</v>
      </c>
      <c r="C1432" s="8" t="n">
        <v>130.9731</v>
      </c>
      <c r="D1432" s="8" t="n">
        <v>0.35</v>
      </c>
      <c r="E1432">
        <f>A1432-A1431</f>
        <v/>
      </c>
      <c r="F1432" s="4">
        <f>ROUND(B1432/B1431-1,8)</f>
        <v/>
      </c>
      <c r="G1432" s="4">
        <f>ROUND(C1432/C1431-1,8)</f>
        <v/>
      </c>
      <c r="H1432" s="4">
        <f>ROUND(D1432/100/(DATE(YEAR(A1432)+1,1,1)-DATE(YEAR(A1432),1,1))*E1432,8)</f>
        <v/>
      </c>
      <c r="I1432" s="4">
        <f>ROUND(I1431*(1+F1432),8)</f>
        <v/>
      </c>
      <c r="J1432" s="4">
        <f>ROUND(J1431*(1+G1432),8)</f>
        <v/>
      </c>
      <c r="K1432" s="4">
        <f>ROUND(K1431+H1432,8)</f>
        <v/>
      </c>
      <c r="L1432" s="4">
        <f>ROUND(0.9*F1432+0.05*G1432+0.05*H1432,8)</f>
        <v/>
      </c>
    </row>
    <row r="1433">
      <c r="A1433" s="2" t="n">
        <v>45896</v>
      </c>
      <c r="B1433" s="8" t="n">
        <v>3089.85</v>
      </c>
      <c r="C1433" s="8" t="n">
        <v>130.9952</v>
      </c>
      <c r="D1433" s="8" t="n">
        <v>0.35</v>
      </c>
      <c r="E1433">
        <f>A1433-A1432</f>
        <v/>
      </c>
      <c r="F1433" s="4">
        <f>ROUND(B1433/B1432-1,8)</f>
        <v/>
      </c>
      <c r="G1433" s="4">
        <f>ROUND(C1433/C1432-1,8)</f>
        <v/>
      </c>
      <c r="H1433" s="4">
        <f>ROUND(D1433/100/(DATE(YEAR(A1433)+1,1,1)-DATE(YEAR(A1433),1,1))*E1433,8)</f>
        <v/>
      </c>
      <c r="I1433" s="4">
        <f>ROUND(I1432*(1+F1433),8)</f>
        <v/>
      </c>
      <c r="J1433" s="4">
        <f>ROUND(J1432*(1+G1433),8)</f>
        <v/>
      </c>
      <c r="K1433" s="4">
        <f>ROUND(K1432+H1433,8)</f>
        <v/>
      </c>
      <c r="L1433" s="4">
        <f>ROUND(0.9*F1433+0.05*G1433+0.05*H1433,8)</f>
        <v/>
      </c>
    </row>
    <row r="1434">
      <c r="A1434" s="2" t="n">
        <v>45897</v>
      </c>
      <c r="B1434" s="8" t="n">
        <v>3112.28</v>
      </c>
      <c r="C1434" s="8" t="n">
        <v>130.8667</v>
      </c>
      <c r="D1434" s="8" t="n">
        <v>0.35</v>
      </c>
      <c r="E1434">
        <f>A1434-A1433</f>
        <v/>
      </c>
      <c r="F1434" s="4">
        <f>ROUND(B1434/B1433-1,8)</f>
        <v/>
      </c>
      <c r="G1434" s="4">
        <f>ROUND(C1434/C1433-1,8)</f>
        <v/>
      </c>
      <c r="H1434" s="4">
        <f>ROUND(D1434/100/(DATE(YEAR(A1434)+1,1,1)-DATE(YEAR(A1434),1,1))*E1434,8)</f>
        <v/>
      </c>
      <c r="I1434" s="4">
        <f>ROUND(I1433*(1+F1434),8)</f>
        <v/>
      </c>
      <c r="J1434" s="4">
        <f>ROUND(J1433*(1+G1434),8)</f>
        <v/>
      </c>
      <c r="K1434" s="4">
        <f>ROUND(K1433+H1434,8)</f>
        <v/>
      </c>
      <c r="L1434" s="4">
        <f>ROUND(0.9*F1434+0.05*G1434+0.05*H1434,8)</f>
        <v/>
      </c>
    </row>
    <row r="1435">
      <c r="A1435" s="2" t="n">
        <v>45898</v>
      </c>
      <c r="B1435" s="8" t="n">
        <v>3101.54</v>
      </c>
      <c r="C1435" s="8" t="n">
        <v>130.8821</v>
      </c>
      <c r="D1435" s="8" t="n">
        <v>0.35</v>
      </c>
      <c r="E1435">
        <f>A1435-A1434</f>
        <v/>
      </c>
      <c r="F1435" s="4">
        <f>ROUND(B1435/B1434-1,8)</f>
        <v/>
      </c>
      <c r="G1435" s="4">
        <f>ROUND(C1435/C1434-1,8)</f>
        <v/>
      </c>
      <c r="H1435" s="4">
        <f>ROUND(D1435/100/(DATE(YEAR(A1435)+1,1,1)-DATE(YEAR(A1435),1,1))*E1435,8)</f>
        <v/>
      </c>
      <c r="I1435" s="4">
        <f>ROUND(I1434*(1+F1435),8)</f>
        <v/>
      </c>
      <c r="J1435" s="4">
        <f>ROUND(J1434*(1+G1435),8)</f>
        <v/>
      </c>
      <c r="K1435" s="4">
        <f>ROUND(K1434+H1435,8)</f>
        <v/>
      </c>
      <c r="L1435" s="4">
        <f>ROUND(0.9*F1435+0.05*G1435+0.05*H1435,8)</f>
        <v/>
      </c>
    </row>
    <row r="1436">
      <c r="A1436" s="2" t="n">
        <v>45901</v>
      </c>
      <c r="B1436" s="8" t="n">
        <v>3134.73</v>
      </c>
      <c r="C1436" s="8" t="n">
        <v>130.9141</v>
      </c>
      <c r="D1436" s="8" t="n">
        <v>0.35</v>
      </c>
      <c r="E1436">
        <f>A1436-A1435</f>
        <v/>
      </c>
      <c r="F1436" s="4">
        <f>ROUND(B1436/B1435-1,8)</f>
        <v/>
      </c>
      <c r="G1436" s="4">
        <f>ROUND(C1436/C1435-1,8)</f>
        <v/>
      </c>
      <c r="H1436" s="4">
        <f>ROUND(D1436/100/(DATE(YEAR(A1436)+1,1,1)-DATE(YEAR(A1436),1,1))*E1436,8)</f>
        <v/>
      </c>
      <c r="I1436" s="4">
        <f>ROUND(I1435*(1+F1436),8)</f>
        <v/>
      </c>
      <c r="J1436" s="4">
        <f>ROUND(J1435*(1+G1436),8)</f>
        <v/>
      </c>
      <c r="K1436" s="4">
        <f>ROUND(K1435+H1436,8)</f>
        <v/>
      </c>
      <c r="L1436" s="4">
        <f>ROUND(0.9*F1436+0.05*G1436+0.05*H1436,8)</f>
        <v/>
      </c>
    </row>
    <row r="1437">
      <c r="A1437" s="2" t="n">
        <v>45902</v>
      </c>
      <c r="B1437" s="8" t="n">
        <v>3072.4</v>
      </c>
      <c r="C1437" s="8" t="n">
        <v>130.9461</v>
      </c>
      <c r="D1437" s="8" t="n">
        <v>0.35</v>
      </c>
      <c r="E1437">
        <f>A1437-A1436</f>
        <v/>
      </c>
      <c r="F1437" s="4">
        <f>ROUND(B1437/B1436-1,8)</f>
        <v/>
      </c>
      <c r="G1437" s="4">
        <f>ROUND(C1437/C1436-1,8)</f>
        <v/>
      </c>
      <c r="H1437" s="4">
        <f>ROUND(D1437/100/(DATE(YEAR(A1437)+1,1,1)-DATE(YEAR(A1437),1,1))*E1437,8)</f>
        <v/>
      </c>
      <c r="I1437" s="4">
        <f>ROUND(I1436*(1+F1437),8)</f>
        <v/>
      </c>
      <c r="J1437" s="4">
        <f>ROUND(J1436*(1+G1437),8)</f>
        <v/>
      </c>
      <c r="K1437" s="4">
        <f>ROUND(K1436+H1437,8)</f>
        <v/>
      </c>
      <c r="L1437" s="4">
        <f>ROUND(0.9*F1437+0.05*G1437+0.05*H1437,8)</f>
        <v/>
      </c>
    </row>
    <row r="1438">
      <c r="A1438" s="2" t="n">
        <v>45903</v>
      </c>
      <c r="B1438" s="8" t="n">
        <v>3010.11</v>
      </c>
      <c r="C1438" s="8" t="n">
        <v>131.0513</v>
      </c>
      <c r="D1438" s="8" t="n">
        <v>0.35</v>
      </c>
      <c r="E1438">
        <f>A1438-A1437</f>
        <v/>
      </c>
      <c r="F1438" s="4">
        <f>ROUND(B1438/B1437-1,8)</f>
        <v/>
      </c>
      <c r="G1438" s="4">
        <f>ROUND(C1438/C1437-1,8)</f>
        <v/>
      </c>
      <c r="H1438" s="4">
        <f>ROUND(D1438/100/(DATE(YEAR(A1438)+1,1,1)-DATE(YEAR(A1438),1,1))*E1438,8)</f>
        <v/>
      </c>
      <c r="I1438" s="4">
        <f>ROUND(I1437*(1+F1438),8)</f>
        <v/>
      </c>
      <c r="J1438" s="4">
        <f>ROUND(J1437*(1+G1438),8)</f>
        <v/>
      </c>
      <c r="K1438" s="4">
        <f>ROUND(K1437+H1438,8)</f>
        <v/>
      </c>
      <c r="L1438" s="4">
        <f>ROUND(0.9*F1438+0.05*G1438+0.05*H1438,8)</f>
        <v/>
      </c>
    </row>
    <row r="1439">
      <c r="A1439" s="2" t="n">
        <v>45904</v>
      </c>
      <c r="B1439" s="8" t="n">
        <v>2966.6</v>
      </c>
      <c r="C1439" s="8" t="n">
        <v>131.0995</v>
      </c>
      <c r="D1439" s="8" t="n">
        <v>0.35</v>
      </c>
      <c r="E1439">
        <f>A1439-A1438</f>
        <v/>
      </c>
      <c r="F1439" s="4">
        <f>ROUND(B1439/B1438-1,8)</f>
        <v/>
      </c>
      <c r="G1439" s="4">
        <f>ROUND(C1439/C1438-1,8)</f>
        <v/>
      </c>
      <c r="H1439" s="4">
        <f>ROUND(D1439/100/(DATE(YEAR(A1439)+1,1,1)-DATE(YEAR(A1439),1,1))*E1439,8)</f>
        <v/>
      </c>
      <c r="I1439" s="4">
        <f>ROUND(I1438*(1+F1439),8)</f>
        <v/>
      </c>
      <c r="J1439" s="4">
        <f>ROUND(J1438*(1+G1439),8)</f>
        <v/>
      </c>
      <c r="K1439" s="4">
        <f>ROUND(K1438+H1439,8)</f>
        <v/>
      </c>
      <c r="L1439" s="4">
        <f>ROUND(0.9*F1439+0.05*G1439+0.05*H1439,8)</f>
        <v/>
      </c>
    </row>
    <row r="1440">
      <c r="A1440" s="2" t="n">
        <v>45905</v>
      </c>
      <c r="B1440" s="8" t="n">
        <v>3048.08</v>
      </c>
      <c r="C1440" s="8" t="n">
        <v>130.9636</v>
      </c>
      <c r="D1440" s="8" t="n">
        <v>0.35</v>
      </c>
      <c r="E1440">
        <f>A1440-A1439</f>
        <v/>
      </c>
      <c r="F1440" s="4">
        <f>ROUND(B1440/B1439-1,8)</f>
        <v/>
      </c>
      <c r="G1440" s="4">
        <f>ROUND(C1440/C1439-1,8)</f>
        <v/>
      </c>
      <c r="H1440" s="4">
        <f>ROUND(D1440/100/(DATE(YEAR(A1440)+1,1,1)-DATE(YEAR(A1440),1,1))*E1440,8)</f>
        <v/>
      </c>
      <c r="I1440" s="4">
        <f>ROUND(I1439*(1+F1440),8)</f>
        <v/>
      </c>
      <c r="J1440" s="4">
        <f>ROUND(J1439*(1+G1440),8)</f>
        <v/>
      </c>
      <c r="K1440" s="4">
        <f>ROUND(K1439+H1440,8)</f>
        <v/>
      </c>
      <c r="L1440" s="4">
        <f>ROUND(0.9*F1440+0.05*G1440+0.05*H1440,8)</f>
        <v/>
      </c>
    </row>
    <row r="1441">
      <c r="A1441" s="2" t="n">
        <v>45908</v>
      </c>
      <c r="B1441" s="8" t="n">
        <v>3085.21</v>
      </c>
      <c r="C1441" s="8" t="n">
        <v>130.815</v>
      </c>
      <c r="D1441" s="8" t="n">
        <v>0.35</v>
      </c>
      <c r="E1441">
        <f>A1441-A1440</f>
        <v/>
      </c>
      <c r="F1441" s="4">
        <f>ROUND(B1441/B1440-1,8)</f>
        <v/>
      </c>
      <c r="G1441" s="4">
        <f>ROUND(C1441/C1440-1,8)</f>
        <v/>
      </c>
      <c r="H1441" s="4">
        <f>ROUND(D1441/100/(DATE(YEAR(A1441)+1,1,1)-DATE(YEAR(A1441),1,1))*E1441,8)</f>
        <v/>
      </c>
      <c r="I1441" s="4">
        <f>ROUND(I1440*(1+F1441),8)</f>
        <v/>
      </c>
      <c r="J1441" s="4">
        <f>ROUND(J1440*(1+G1441),8)</f>
        <v/>
      </c>
      <c r="K1441" s="4">
        <f>ROUND(K1440+H1441,8)</f>
        <v/>
      </c>
      <c r="L1441" s="4">
        <f>ROUND(0.9*F1441+0.05*G1441+0.05*H1441,8)</f>
        <v/>
      </c>
    </row>
    <row r="1442">
      <c r="A1442" s="2" t="n">
        <v>45909</v>
      </c>
      <c r="B1442" s="8" t="n">
        <v>3045.36</v>
      </c>
      <c r="C1442" s="8" t="n">
        <v>130.7104</v>
      </c>
      <c r="D1442" s="8" t="n">
        <v>0.35</v>
      </c>
      <c r="E1442">
        <f>A1442-A1441</f>
        <v/>
      </c>
      <c r="F1442" s="4">
        <f>ROUND(B1442/B1441-1,8)</f>
        <v/>
      </c>
      <c r="G1442" s="4">
        <f>ROUND(C1442/C1441-1,8)</f>
        <v/>
      </c>
      <c r="H1442" s="4">
        <f>ROUND(D1442/100/(DATE(YEAR(A1442)+1,1,1)-DATE(YEAR(A1442),1,1))*E1442,8)</f>
        <v/>
      </c>
      <c r="I1442" s="4">
        <f>ROUND(I1441*(1+F1442),8)</f>
        <v/>
      </c>
      <c r="J1442" s="4">
        <f>ROUND(J1441*(1+G1442),8)</f>
        <v/>
      </c>
      <c r="K1442" s="4">
        <f>ROUND(K1441+H1442,8)</f>
        <v/>
      </c>
      <c r="L1442" s="4">
        <f>ROUND(0.9*F1442+0.05*G1442+0.05*H1442,8)</f>
        <v/>
      </c>
    </row>
    <row r="1443">
      <c r="A1443" s="2" t="n">
        <v>45910</v>
      </c>
      <c r="B1443" s="8" t="n">
        <v>3055.11</v>
      </c>
      <c r="C1443" s="8" t="n">
        <v>130.5134</v>
      </c>
      <c r="D1443" s="8" t="n">
        <v>0.35</v>
      </c>
      <c r="E1443">
        <f>A1443-A1442</f>
        <v/>
      </c>
      <c r="F1443" s="4">
        <f>ROUND(B1443/B1442-1,8)</f>
        <v/>
      </c>
      <c r="G1443" s="4">
        <f>ROUND(C1443/C1442-1,8)</f>
        <v/>
      </c>
      <c r="H1443" s="4">
        <f>ROUND(D1443/100/(DATE(YEAR(A1443)+1,1,1)-DATE(YEAR(A1443),1,1))*E1443,8)</f>
        <v/>
      </c>
      <c r="I1443" s="4">
        <f>ROUND(I1442*(1+F1443),8)</f>
        <v/>
      </c>
      <c r="J1443" s="4">
        <f>ROUND(J1442*(1+G1443),8)</f>
        <v/>
      </c>
      <c r="K1443" s="4">
        <f>ROUND(K1442+H1443,8)</f>
        <v/>
      </c>
      <c r="L1443" s="4">
        <f>ROUND(0.9*F1443+0.05*G1443+0.05*H1443,8)</f>
        <v/>
      </c>
    </row>
    <row r="1444">
      <c r="A1444" s="2" t="n">
        <v>45911</v>
      </c>
      <c r="B1444" s="8" t="n">
        <v>3113.65</v>
      </c>
      <c r="C1444" s="8" t="n">
        <v>130.4768</v>
      </c>
      <c r="D1444" s="8" t="n">
        <v>0.35</v>
      </c>
      <c r="E1444">
        <f>A1444-A1443</f>
        <v/>
      </c>
      <c r="F1444" s="4">
        <f>ROUND(B1444/B1443-1,8)</f>
        <v/>
      </c>
      <c r="G1444" s="4">
        <f>ROUND(C1444/C1443-1,8)</f>
        <v/>
      </c>
      <c r="H1444" s="4">
        <f>ROUND(D1444/100/(DATE(YEAR(A1444)+1,1,1)-DATE(YEAR(A1444),1,1))*E1444,8)</f>
        <v/>
      </c>
      <c r="I1444" s="4">
        <f>ROUND(I1443*(1+F1444),8)</f>
        <v/>
      </c>
      <c r="J1444" s="4">
        <f>ROUND(J1443*(1+G1444),8)</f>
        <v/>
      </c>
      <c r="K1444" s="4">
        <f>ROUND(K1443+H1444,8)</f>
        <v/>
      </c>
      <c r="L1444" s="4">
        <f>ROUND(0.9*F1444+0.05*G1444+0.05*H1444,8)</f>
        <v/>
      </c>
    </row>
    <row r="1445">
      <c r="A1445" s="2" t="n">
        <v>45912</v>
      </c>
      <c r="B1445" s="8" t="n">
        <v>3113.93</v>
      </c>
      <c r="C1445" s="8" t="n">
        <v>130.5212</v>
      </c>
      <c r="D1445" s="8" t="n">
        <v>0.35</v>
      </c>
      <c r="E1445">
        <f>A1445-A1444</f>
        <v/>
      </c>
      <c r="F1445" s="4">
        <f>ROUND(B1445/B1444-1,8)</f>
        <v/>
      </c>
      <c r="G1445" s="4">
        <f>ROUND(C1445/C1444-1,8)</f>
        <v/>
      </c>
      <c r="H1445" s="4">
        <f>ROUND(D1445/100/(DATE(YEAR(A1445)+1,1,1)-DATE(YEAR(A1445),1,1))*E1445,8)</f>
        <v/>
      </c>
      <c r="I1445" s="4">
        <f>ROUND(I1444*(1+F1445),8)</f>
        <v/>
      </c>
      <c r="J1445" s="4">
        <f>ROUND(J1444*(1+G1445),8)</f>
        <v/>
      </c>
      <c r="K1445" s="4">
        <f>ROUND(K1444+H1445,8)</f>
        <v/>
      </c>
      <c r="L1445" s="4">
        <f>ROUND(0.9*F1445+0.05*G1445+0.05*H1445,8)</f>
        <v/>
      </c>
    </row>
    <row r="1446">
      <c r="A1446" s="2" t="n">
        <v>45915</v>
      </c>
      <c r="B1446" s="8" t="n">
        <v>3110.6</v>
      </c>
      <c r="C1446" s="8" t="n">
        <v>130.5213</v>
      </c>
      <c r="D1446" s="8" t="n">
        <v>0.35</v>
      </c>
      <c r="E1446">
        <f>A1446-A1445</f>
        <v/>
      </c>
      <c r="F1446" s="4">
        <f>ROUND(B1446/B1445-1,8)</f>
        <v/>
      </c>
      <c r="G1446" s="4">
        <f>ROUND(C1446/C1445-1,8)</f>
        <v/>
      </c>
      <c r="H1446" s="4">
        <f>ROUND(D1446/100/(DATE(YEAR(A1446)+1,1,1)-DATE(YEAR(A1446),1,1))*E1446,8)</f>
        <v/>
      </c>
      <c r="I1446" s="4">
        <f>ROUND(I1445*(1+F1446),8)</f>
        <v/>
      </c>
      <c r="J1446" s="4">
        <f>ROUND(J1445*(1+G1446),8)</f>
        <v/>
      </c>
      <c r="K1446" s="4">
        <f>ROUND(K1445+H1446,8)</f>
        <v/>
      </c>
      <c r="L1446" s="4">
        <f>ROUND(0.9*F1446+0.05*G1446+0.05*H1446,8)</f>
        <v/>
      </c>
    </row>
    <row r="1447">
      <c r="A1447" s="2" t="n">
        <v>45916</v>
      </c>
      <c r="B1447" s="8" t="n">
        <v>3160.78</v>
      </c>
      <c r="C1447" s="8" t="n">
        <v>130.545</v>
      </c>
      <c r="D1447" s="8" t="n">
        <v>0.35</v>
      </c>
      <c r="E1447">
        <f>A1447-A1446</f>
        <v/>
      </c>
      <c r="F1447" s="4">
        <f>ROUND(B1447/B1446-1,8)</f>
        <v/>
      </c>
      <c r="G1447" s="4">
        <f>ROUND(C1447/C1446-1,8)</f>
        <v/>
      </c>
      <c r="H1447" s="4">
        <f>ROUND(D1447/100/(DATE(YEAR(A1447)+1,1,1)-DATE(YEAR(A1447),1,1))*E1447,8)</f>
        <v/>
      </c>
      <c r="I1447" s="4">
        <f>ROUND(I1446*(1+F1447),8)</f>
        <v/>
      </c>
      <c r="J1447" s="4">
        <f>ROUND(J1446*(1+G1447),8)</f>
        <v/>
      </c>
      <c r="K1447" s="4">
        <f>ROUND(K1446+H1447,8)</f>
        <v/>
      </c>
      <c r="L1447" s="4">
        <f>ROUND(0.9*F1447+0.05*G1447+0.05*H1447,8)</f>
        <v/>
      </c>
    </row>
    <row r="1448">
      <c r="A1448" s="2" t="n">
        <v>45917</v>
      </c>
      <c r="B1448" s="8" t="n">
        <v>3174.17</v>
      </c>
      <c r="C1448" s="8" t="n">
        <v>130.6247</v>
      </c>
      <c r="D1448" s="8" t="n">
        <v>0.35</v>
      </c>
      <c r="E1448">
        <f>A1448-A1447</f>
        <v/>
      </c>
      <c r="F1448" s="4">
        <f>ROUND(B1448/B1447-1,8)</f>
        <v/>
      </c>
      <c r="G1448" s="4">
        <f>ROUND(C1448/C1447-1,8)</f>
        <v/>
      </c>
      <c r="H1448" s="4">
        <f>ROUND(D1448/100/(DATE(YEAR(A1448)+1,1,1)-DATE(YEAR(A1448),1,1))*E1448,8)</f>
        <v/>
      </c>
      <c r="I1448" s="4">
        <f>ROUND(I1447*(1+F1448),8)</f>
        <v/>
      </c>
      <c r="J1448" s="4">
        <f>ROUND(J1447*(1+G1448),8)</f>
        <v/>
      </c>
      <c r="K1448" s="4">
        <f>ROUND(K1447+H1448,8)</f>
        <v/>
      </c>
      <c r="L1448" s="4">
        <f>ROUND(0.9*F1448+0.05*G1448+0.05*H1448,8)</f>
        <v/>
      </c>
    </row>
    <row r="1449">
      <c r="A1449" s="2" t="n">
        <v>45918</v>
      </c>
      <c r="B1449" s="8" t="n">
        <v>3139.76</v>
      </c>
      <c r="C1449" s="8" t="n">
        <v>130.5756</v>
      </c>
      <c r="D1449" s="8" t="n">
        <v>0.35</v>
      </c>
      <c r="E1449">
        <f>A1449-A1448</f>
        <v/>
      </c>
      <c r="F1449" s="4">
        <f>ROUND(B1449/B1448-1,8)</f>
        <v/>
      </c>
      <c r="G1449" s="4">
        <f>ROUND(C1449/C1448-1,8)</f>
        <v/>
      </c>
      <c r="H1449" s="4">
        <f>ROUND(D1449/100/(DATE(YEAR(A1449)+1,1,1)-DATE(YEAR(A1449),1,1))*E1449,8)</f>
        <v/>
      </c>
      <c r="I1449" s="4">
        <f>ROUND(I1448*(1+F1449),8)</f>
        <v/>
      </c>
      <c r="J1449" s="4">
        <f>ROUND(J1448*(1+G1449),8)</f>
        <v/>
      </c>
      <c r="K1449" s="4">
        <f>ROUND(K1448+H1449,8)</f>
        <v/>
      </c>
      <c r="L1449" s="4">
        <f>ROUND(0.9*F1449+0.05*G1449+0.05*H1449,8)</f>
        <v/>
      </c>
    </row>
    <row r="1450">
      <c r="A1450" s="2" t="n">
        <v>45919</v>
      </c>
      <c r="B1450" s="8" t="n">
        <v>3113.4</v>
      </c>
      <c r="C1450" s="8" t="n">
        <v>130.4546</v>
      </c>
      <c r="D1450" s="8" t="n">
        <v>0.35</v>
      </c>
      <c r="E1450">
        <f>A1450-A1449</f>
        <v/>
      </c>
      <c r="F1450" s="4">
        <f>ROUND(B1450/B1449-1,8)</f>
        <v/>
      </c>
      <c r="G1450" s="4">
        <f>ROUND(C1450/C1449-1,8)</f>
        <v/>
      </c>
      <c r="H1450" s="4">
        <f>ROUND(D1450/100/(DATE(YEAR(A1450)+1,1,1)-DATE(YEAR(A1450),1,1))*E1450,8)</f>
        <v/>
      </c>
      <c r="I1450" s="4">
        <f>ROUND(I1449*(1+F1450),8)</f>
        <v/>
      </c>
      <c r="J1450" s="4">
        <f>ROUND(J1449*(1+G1450),8)</f>
        <v/>
      </c>
      <c r="K1450" s="4">
        <f>ROUND(K1449+H1450,8)</f>
        <v/>
      </c>
      <c r="L1450" s="4">
        <f>ROUND(0.9*F1450+0.05*G1450+0.05*H1450,8)</f>
        <v/>
      </c>
    </row>
    <row r="1451">
      <c r="A1451" s="2" t="n">
        <v>45922</v>
      </c>
      <c r="B1451" s="8" t="n">
        <v>3126.73</v>
      </c>
      <c r="C1451" s="8" t="n">
        <v>130.4549</v>
      </c>
      <c r="D1451" s="8" t="n">
        <v>0.35</v>
      </c>
      <c r="E1451">
        <f>A1451-A1450</f>
        <v/>
      </c>
      <c r="F1451" s="4">
        <f>ROUND(B1451/B1450-1,8)</f>
        <v/>
      </c>
      <c r="G1451" s="4">
        <f>ROUND(C1451/C1450-1,8)</f>
        <v/>
      </c>
      <c r="H1451" s="4">
        <f>ROUND(D1451/100/(DATE(YEAR(A1451)+1,1,1)-DATE(YEAR(A1451),1,1))*E1451,8)</f>
        <v/>
      </c>
      <c r="I1451" s="4">
        <f>ROUND(I1450*(1+F1451),8)</f>
        <v/>
      </c>
      <c r="J1451" s="4">
        <f>ROUND(J1450*(1+G1451),8)</f>
        <v/>
      </c>
      <c r="K1451" s="4">
        <f>ROUND(K1450+H1451,8)</f>
        <v/>
      </c>
      <c r="L1451" s="4">
        <f>ROUND(0.9*F1451+0.05*G1451+0.05*H1451,8)</f>
        <v/>
      </c>
    </row>
    <row r="1452">
      <c r="A1452" s="2" t="n">
        <v>45923</v>
      </c>
      <c r="B1452" s="8" t="n">
        <v>3082.09</v>
      </c>
      <c r="C1452" s="8" t="n">
        <v>130.3309</v>
      </c>
      <c r="D1452" s="8" t="n">
        <v>0.35</v>
      </c>
      <c r="E1452">
        <f>A1452-A1451</f>
        <v/>
      </c>
      <c r="F1452" s="4">
        <f>ROUND(B1452/B1451-1,8)</f>
        <v/>
      </c>
      <c r="G1452" s="4">
        <f>ROUND(C1452/C1451-1,8)</f>
        <v/>
      </c>
      <c r="H1452" s="4">
        <f>ROUND(D1452/100/(DATE(YEAR(A1452)+1,1,1)-DATE(YEAR(A1452),1,1))*E1452,8)</f>
        <v/>
      </c>
      <c r="I1452" s="4">
        <f>ROUND(I1451*(1+F1452),8)</f>
        <v/>
      </c>
      <c r="J1452" s="4">
        <f>ROUND(J1451*(1+G1452),8)</f>
        <v/>
      </c>
      <c r="K1452" s="4">
        <f>ROUND(K1451+H1452,8)</f>
        <v/>
      </c>
      <c r="L1452" s="4">
        <f>ROUND(0.9*F1452+0.05*G1452+0.05*H1452,8)</f>
        <v/>
      </c>
    </row>
    <row r="1453">
      <c r="A1453" s="2" t="n">
        <v>45924</v>
      </c>
      <c r="B1453" s="8" t="n">
        <v>3124.88</v>
      </c>
      <c r="C1453" s="8" t="n">
        <v>130.1466</v>
      </c>
      <c r="D1453" s="8" t="n">
        <v>0.35</v>
      </c>
      <c r="E1453">
        <f>A1453-A1452</f>
        <v/>
      </c>
      <c r="F1453" s="4">
        <f>ROUND(B1453/B1452-1,8)</f>
        <v/>
      </c>
      <c r="G1453" s="4">
        <f>ROUND(C1453/C1452-1,8)</f>
        <v/>
      </c>
      <c r="H1453" s="4">
        <f>ROUND(D1453/100/(DATE(YEAR(A1453)+1,1,1)-DATE(YEAR(A1453),1,1))*E1453,8)</f>
        <v/>
      </c>
      <c r="I1453" s="4">
        <f>ROUND(I1452*(1+F1453),8)</f>
        <v/>
      </c>
      <c r="J1453" s="4">
        <f>ROUND(J1452*(1+G1453),8)</f>
        <v/>
      </c>
      <c r="K1453" s="4">
        <f>ROUND(K1452+H1453,8)</f>
        <v/>
      </c>
      <c r="L1453" s="4">
        <f>ROUND(0.9*F1453+0.05*G1453+0.05*H1453,8)</f>
        <v/>
      </c>
    </row>
    <row r="1454">
      <c r="A1454" s="2" t="n">
        <v>45925</v>
      </c>
      <c r="B1454" s="8" t="n">
        <v>3105.76</v>
      </c>
      <c r="C1454" s="8" t="n">
        <v>130.058</v>
      </c>
      <c r="D1454" s="8" t="n">
        <v>0.35</v>
      </c>
      <c r="E1454">
        <f>A1454-A1453</f>
        <v/>
      </c>
      <c r="F1454" s="4">
        <f>ROUND(B1454/B1453-1,8)</f>
        <v/>
      </c>
      <c r="G1454" s="4">
        <f>ROUND(C1454/C1453-1,8)</f>
        <v/>
      </c>
      <c r="H1454" s="4">
        <f>ROUND(D1454/100/(DATE(YEAR(A1454)+1,1,1)-DATE(YEAR(A1454),1,1))*E1454,8)</f>
        <v/>
      </c>
      <c r="I1454" s="4">
        <f>ROUND(I1453*(1+F1454),8)</f>
        <v/>
      </c>
      <c r="J1454" s="4">
        <f>ROUND(J1453*(1+G1454),8)</f>
        <v/>
      </c>
      <c r="K1454" s="4">
        <f>ROUND(K1453+H1454,8)</f>
        <v/>
      </c>
      <c r="L1454" s="4">
        <f>ROUND(0.9*F1454+0.05*G1454+0.05*H1454,8)</f>
        <v/>
      </c>
    </row>
    <row r="1455">
      <c r="A1455" s="2" t="n">
        <v>45926</v>
      </c>
      <c r="B1455" s="8" t="n">
        <v>3057.7</v>
      </c>
      <c r="C1455" s="8" t="n">
        <v>130.0656</v>
      </c>
      <c r="D1455" s="8" t="n">
        <v>0.35</v>
      </c>
      <c r="E1455">
        <f>A1455-A1454</f>
        <v/>
      </c>
      <c r="F1455" s="4">
        <f>ROUND(B1455/B1454-1,8)</f>
        <v/>
      </c>
      <c r="G1455" s="4">
        <f>ROUND(C1455/C1454-1,8)</f>
        <v/>
      </c>
      <c r="H1455" s="4">
        <f>ROUND(D1455/100/(DATE(YEAR(A1455)+1,1,1)-DATE(YEAR(A1455),1,1))*E1455,8)</f>
        <v/>
      </c>
      <c r="I1455" s="4">
        <f>ROUND(I1454*(1+F1455),8)</f>
        <v/>
      </c>
      <c r="J1455" s="4">
        <f>ROUND(J1454*(1+G1455),8)</f>
        <v/>
      </c>
      <c r="K1455" s="4">
        <f>ROUND(K1454+H1455,8)</f>
        <v/>
      </c>
      <c r="L1455" s="4">
        <f>ROUND(0.9*F1455+0.05*G1455+0.05*H1455,8)</f>
        <v/>
      </c>
    </row>
    <row r="1456">
      <c r="A1456" s="2" t="n">
        <v>45929</v>
      </c>
      <c r="B1456" s="8" t="n">
        <v>3083.34</v>
      </c>
      <c r="C1456" s="8" t="n">
        <v>130.0267</v>
      </c>
      <c r="D1456" s="8" t="n">
        <v>0.35</v>
      </c>
      <c r="E1456">
        <f>A1456-A1455</f>
        <v/>
      </c>
      <c r="F1456" s="4">
        <f>ROUND(B1456/B1455-1,8)</f>
        <v/>
      </c>
      <c r="G1456" s="4">
        <f>ROUND(C1456/C1455-1,8)</f>
        <v/>
      </c>
      <c r="H1456" s="4">
        <f>ROUND(D1456/100/(DATE(YEAR(A1456)+1,1,1)-DATE(YEAR(A1456),1,1))*E1456,8)</f>
        <v/>
      </c>
      <c r="I1456" s="4">
        <f>ROUND(I1455*(1+F1456),8)</f>
        <v/>
      </c>
      <c r="J1456" s="4">
        <f>ROUND(J1455*(1+G1456),8)</f>
        <v/>
      </c>
      <c r="K1456" s="4">
        <f>ROUND(K1455+H1456,8)</f>
        <v/>
      </c>
      <c r="L1456" s="4">
        <f>ROUND(0.9*F1456+0.05*G1456+0.05*H1456,8)</f>
        <v/>
      </c>
    </row>
    <row r="1457">
      <c r="A1457" s="2" t="n">
        <v>45930</v>
      </c>
      <c r="B1457" s="8" t="n">
        <v>3093.31</v>
      </c>
      <c r="C1457" s="8" t="n">
        <v>130.0904</v>
      </c>
      <c r="D1457" s="8" t="n">
        <v>0.35</v>
      </c>
      <c r="E1457">
        <f>A1457-A1456</f>
        <v/>
      </c>
      <c r="F1457" s="4">
        <f>ROUND(B1457/B1456-1,8)</f>
        <v/>
      </c>
      <c r="G1457" s="4">
        <f>ROUND(C1457/C1456-1,8)</f>
        <v/>
      </c>
      <c r="H1457" s="4">
        <f>ROUND(D1457/100/(DATE(YEAR(A1457)+1,1,1)-DATE(YEAR(A1457),1,1))*E1457,8)</f>
        <v/>
      </c>
      <c r="I1457" s="4">
        <f>ROUND(I1456*(1+F1457),8)</f>
        <v/>
      </c>
      <c r="J1457" s="4">
        <f>ROUND(J1456*(1+G1457),8)</f>
        <v/>
      </c>
      <c r="K1457" s="4">
        <f>ROUND(K1456+H1457,8)</f>
        <v/>
      </c>
      <c r="L1457" s="4">
        <f>ROUND(0.9*F1457+0.05*G1457+0.05*H1457,8)</f>
        <v/>
      </c>
    </row>
    <row r="1458">
      <c r="A1458" s="2" t="n">
        <v>45939</v>
      </c>
      <c r="B1458" s="8" t="n">
        <v>3113.01</v>
      </c>
      <c r="C1458" s="8" t="n">
        <v>130.2151</v>
      </c>
      <c r="D1458" s="8" t="n">
        <v>0.35</v>
      </c>
      <c r="E1458">
        <f>A1458-A1457</f>
        <v/>
      </c>
      <c r="F1458" s="4">
        <f>ROUND(B1458/B1457-1,8)</f>
        <v/>
      </c>
      <c r="G1458" s="4">
        <f>ROUND(C1458/C1457-1,8)</f>
        <v/>
      </c>
      <c r="H1458" s="4">
        <f>ROUND(D1458/100/(DATE(YEAR(A1458)+1,1,1)-DATE(YEAR(A1458),1,1))*E1458,8)</f>
        <v/>
      </c>
      <c r="I1458" s="4">
        <f>ROUND(I1457*(1+F1458),8)</f>
        <v/>
      </c>
      <c r="J1458" s="4">
        <f>ROUND(J1457*(1+G1458),8)</f>
        <v/>
      </c>
      <c r="K1458" s="4">
        <f>ROUND(K1457+H1458,8)</f>
        <v/>
      </c>
      <c r="L1458" s="4">
        <f>ROUND(0.9*F1458+0.05*G1458+0.05*H1458,8)</f>
        <v/>
      </c>
    </row>
    <row r="1459">
      <c r="A1459" s="2" t="n">
        <v>45940</v>
      </c>
      <c r="B1459" s="8" t="n">
        <v>3091.48</v>
      </c>
      <c r="C1459" s="8" t="n">
        <v>130.1927</v>
      </c>
      <c r="D1459" s="8" t="n">
        <v>0.35</v>
      </c>
      <c r="E1459">
        <f>A1459-A1458</f>
        <v/>
      </c>
      <c r="F1459" s="4">
        <f>ROUND(B1459/B1458-1,8)</f>
        <v/>
      </c>
      <c r="G1459" s="4">
        <f>ROUND(C1459/C1458-1,8)</f>
        <v/>
      </c>
      <c r="H1459" s="4">
        <f>ROUND(D1459/100/(DATE(YEAR(A1459)+1,1,1)-DATE(YEAR(A1459),1,1))*E1459,8)</f>
        <v/>
      </c>
      <c r="I1459" s="4">
        <f>ROUND(I1458*(1+F1459),8)</f>
        <v/>
      </c>
      <c r="J1459" s="4">
        <f>ROUND(J1458*(1+G1459),8)</f>
        <v/>
      </c>
      <c r="K1459" s="4">
        <f>ROUND(K1458+H1459,8)</f>
        <v/>
      </c>
      <c r="L1459" s="4">
        <f>ROUND(0.9*F1459+0.05*G1459+0.05*H1459,8)</f>
        <v/>
      </c>
    </row>
    <row r="1460">
      <c r="A1460" s="2" t="n">
        <v>45943</v>
      </c>
      <c r="B1460" s="8" t="n">
        <v>3085.54</v>
      </c>
      <c r="C1460" s="8" t="n">
        <v>130.3098</v>
      </c>
      <c r="D1460" s="8" t="n">
        <v>0.35</v>
      </c>
      <c r="E1460">
        <f>A1460-A1459</f>
        <v/>
      </c>
      <c r="F1460" s="4">
        <f>ROUND(B1460/B1459-1,8)</f>
        <v/>
      </c>
      <c r="G1460" s="4">
        <f>ROUND(C1460/C1459-1,8)</f>
        <v/>
      </c>
      <c r="H1460" s="4">
        <f>ROUND(D1460/100/(DATE(YEAR(A1460)+1,1,1)-DATE(YEAR(A1460),1,1))*E1460,8)</f>
        <v/>
      </c>
      <c r="I1460" s="4">
        <f>ROUND(I1459*(1+F1460),8)</f>
        <v/>
      </c>
      <c r="J1460" s="4">
        <f>ROUND(J1459*(1+G1460),8)</f>
        <v/>
      </c>
      <c r="K1460" s="4">
        <f>ROUND(K1459+H1460,8)</f>
        <v/>
      </c>
      <c r="L1460" s="4">
        <f>ROUND(0.9*F1460+0.05*G1460+0.05*H1460,8)</f>
        <v/>
      </c>
    </row>
    <row r="1461">
      <c r="A1461" s="2" t="n">
        <v>45944</v>
      </c>
      <c r="B1461" s="8" t="n">
        <v>3036.93</v>
      </c>
      <c r="C1461" s="8" t="n">
        <v>130.2809</v>
      </c>
      <c r="D1461" s="8" t="n">
        <v>0.35</v>
      </c>
      <c r="E1461">
        <f>A1461-A1460</f>
        <v/>
      </c>
      <c r="F1461" s="4">
        <f>ROUND(B1461/B1460-1,8)</f>
        <v/>
      </c>
      <c r="G1461" s="4">
        <f>ROUND(C1461/C1460-1,8)</f>
        <v/>
      </c>
      <c r="H1461" s="4">
        <f>ROUND(D1461/100/(DATE(YEAR(A1461)+1,1,1)-DATE(YEAR(A1461),1,1))*E1461,8)</f>
        <v/>
      </c>
      <c r="I1461" s="4">
        <f>ROUND(I1460*(1+F1461),8)</f>
        <v/>
      </c>
      <c r="J1461" s="4">
        <f>ROUND(J1460*(1+G1461),8)</f>
        <v/>
      </c>
      <c r="K1461" s="4">
        <f>ROUND(K1460+H1461,8)</f>
        <v/>
      </c>
      <c r="L1461" s="4">
        <f>ROUND(0.9*F1461+0.05*G1461+0.05*H1461,8)</f>
        <v/>
      </c>
    </row>
    <row r="1462">
      <c r="A1462" s="2" t="n">
        <v>45945</v>
      </c>
      <c r="B1462" s="8" t="n">
        <v>3088.46</v>
      </c>
      <c r="C1462" s="8" t="n">
        <v>130.2455</v>
      </c>
      <c r="D1462" s="8" t="n">
        <v>0.35</v>
      </c>
      <c r="E1462">
        <f>A1462-A1461</f>
        <v/>
      </c>
      <c r="F1462" s="4">
        <f>ROUND(B1462/B1461-1,8)</f>
        <v/>
      </c>
      <c r="G1462" s="4">
        <f>ROUND(C1462/C1461-1,8)</f>
        <v/>
      </c>
      <c r="H1462" s="4">
        <f>ROUND(D1462/100/(DATE(YEAR(A1462)+1,1,1)-DATE(YEAR(A1462),1,1))*E1462,8)</f>
        <v/>
      </c>
      <c r="I1462" s="4">
        <f>ROUND(I1461*(1+F1462),8)</f>
        <v/>
      </c>
      <c r="J1462" s="4">
        <f>ROUND(J1461*(1+G1462),8)</f>
        <v/>
      </c>
      <c r="K1462" s="4">
        <f>ROUND(K1461+H1462,8)</f>
        <v/>
      </c>
      <c r="L1462" s="4">
        <f>ROUND(0.9*F1462+0.05*G1462+0.05*H1462,8)</f>
        <v/>
      </c>
    </row>
    <row r="1463">
      <c r="A1463" s="2" t="n">
        <v>45946</v>
      </c>
      <c r="B1463" s="8" t="n">
        <v>3050.42</v>
      </c>
      <c r="C1463" s="8" t="n">
        <v>130.3032</v>
      </c>
      <c r="D1463" s="8" t="n">
        <v>0.35</v>
      </c>
      <c r="E1463">
        <f>A1463-A1462</f>
        <v/>
      </c>
      <c r="F1463" s="4">
        <f>ROUND(B1463/B1462-1,8)</f>
        <v/>
      </c>
      <c r="G1463" s="4">
        <f>ROUND(C1463/C1462-1,8)</f>
        <v/>
      </c>
      <c r="H1463" s="4">
        <f>ROUND(D1463/100/(DATE(YEAR(A1463)+1,1,1)-DATE(YEAR(A1463),1,1))*E1463,8)</f>
        <v/>
      </c>
      <c r="I1463" s="4">
        <f>ROUND(I1462*(1+F1463),8)</f>
        <v/>
      </c>
      <c r="J1463" s="4">
        <f>ROUND(J1462*(1+G1463),8)</f>
        <v/>
      </c>
      <c r="K1463" s="4">
        <f>ROUND(K1462+H1463,8)</f>
        <v/>
      </c>
      <c r="L1463" s="4">
        <f>ROUND(0.9*F1463+0.05*G1463+0.05*H1463,8)</f>
        <v/>
      </c>
    </row>
    <row r="1464">
      <c r="A1464" s="2" t="n">
        <v>45947</v>
      </c>
      <c r="B1464" s="8" t="n">
        <v>2963.33</v>
      </c>
      <c r="C1464" s="8" t="n">
        <v>130.4403</v>
      </c>
      <c r="D1464" s="8" t="n">
        <v>0.35</v>
      </c>
      <c r="E1464">
        <f>A1464-A1463</f>
        <v/>
      </c>
      <c r="F1464" s="4">
        <f>ROUND(B1464/B1463-1,8)</f>
        <v/>
      </c>
      <c r="G1464" s="4">
        <f>ROUND(C1464/C1463-1,8)</f>
        <v/>
      </c>
      <c r="H1464" s="4">
        <f>ROUND(D1464/100/(DATE(YEAR(A1464)+1,1,1)-DATE(YEAR(A1464),1,1))*E1464,8)</f>
        <v/>
      </c>
      <c r="I1464" s="4">
        <f>ROUND(I1463*(1+F1464),8)</f>
        <v/>
      </c>
      <c r="J1464" s="4">
        <f>ROUND(J1463*(1+G1464),8)</f>
        <v/>
      </c>
      <c r="K1464" s="4">
        <f>ROUND(K1463+H1464,8)</f>
        <v/>
      </c>
      <c r="L1464" s="4">
        <f>ROUND(0.9*F1464+0.05*G1464+0.05*H1464,8)</f>
        <v/>
      </c>
    </row>
    <row r="1465">
      <c r="A1465" s="2" t="n">
        <v>45950</v>
      </c>
      <c r="B1465" s="8" t="n">
        <v>3005.75</v>
      </c>
      <c r="C1465" s="8" t="n">
        <v>130.3582</v>
      </c>
      <c r="D1465" s="8" t="n">
        <v>0.35</v>
      </c>
      <c r="E1465">
        <f>A1465-A1464</f>
        <v/>
      </c>
      <c r="F1465" s="4">
        <f>ROUND(B1465/B1464-1,8)</f>
        <v/>
      </c>
      <c r="G1465" s="4">
        <f>ROUND(C1465/C1464-1,8)</f>
        <v/>
      </c>
      <c r="H1465" s="4">
        <f>ROUND(D1465/100/(DATE(YEAR(A1465)+1,1,1)-DATE(YEAR(A1465),1,1))*E1465,8)</f>
        <v/>
      </c>
      <c r="I1465" s="4">
        <f>ROUND(I1464*(1+F1465),8)</f>
        <v/>
      </c>
      <c r="J1465" s="4">
        <f>ROUND(J1464*(1+G1465),8)</f>
        <v/>
      </c>
      <c r="K1465" s="4">
        <f>ROUND(K1464+H1465,8)</f>
        <v/>
      </c>
      <c r="L1465" s="4">
        <f>ROUND(0.9*F1465+0.05*G1465+0.05*H1465,8)</f>
        <v/>
      </c>
    </row>
    <row r="1466">
      <c r="A1466" s="2" t="n">
        <v>45951</v>
      </c>
      <c r="B1466" s="8" t="n">
        <v>3063.85</v>
      </c>
      <c r="C1466" s="8" t="n">
        <v>130.3868</v>
      </c>
      <c r="D1466" s="8" t="n">
        <v>0.35</v>
      </c>
      <c r="E1466">
        <f>A1466-A1465</f>
        <v/>
      </c>
      <c r="F1466" s="4">
        <f>ROUND(B1466/B1465-1,8)</f>
        <v/>
      </c>
      <c r="G1466" s="4">
        <f>ROUND(C1466/C1465-1,8)</f>
        <v/>
      </c>
      <c r="H1466" s="4">
        <f>ROUND(D1466/100/(DATE(YEAR(A1466)+1,1,1)-DATE(YEAR(A1466),1,1))*E1466,8)</f>
        <v/>
      </c>
      <c r="I1466" s="4">
        <f>ROUND(I1465*(1+F1466),8)</f>
        <v/>
      </c>
      <c r="J1466" s="4">
        <f>ROUND(J1465*(1+G1466),8)</f>
        <v/>
      </c>
      <c r="K1466" s="4">
        <f>ROUND(K1465+H1466,8)</f>
        <v/>
      </c>
      <c r="L1466" s="4">
        <f>ROUND(0.9*F1466+0.05*G1466+0.05*H1466,8)</f>
        <v/>
      </c>
    </row>
    <row r="1467">
      <c r="A1467" s="2" t="n">
        <v>45952</v>
      </c>
      <c r="B1467" s="8" t="n">
        <v>3052.45</v>
      </c>
      <c r="C1467" s="8" t="n">
        <v>130.4058</v>
      </c>
      <c r="D1467" s="8" t="n">
        <v>0.35</v>
      </c>
      <c r="E1467">
        <f>A1467-A1466</f>
        <v/>
      </c>
      <c r="F1467" s="4">
        <f>ROUND(B1467/B1466-1,8)</f>
        <v/>
      </c>
      <c r="G1467" s="4">
        <f>ROUND(C1467/C1466-1,8)</f>
        <v/>
      </c>
      <c r="H1467" s="4">
        <f>ROUND(D1467/100/(DATE(YEAR(A1467)+1,1,1)-DATE(YEAR(A1467),1,1))*E1467,8)</f>
        <v/>
      </c>
      <c r="I1467" s="4">
        <f>ROUND(I1466*(1+F1467),8)</f>
        <v/>
      </c>
      <c r="J1467" s="4">
        <f>ROUND(J1466*(1+G1467),8)</f>
        <v/>
      </c>
      <c r="K1467" s="4">
        <f>ROUND(K1466+H1467,8)</f>
        <v/>
      </c>
      <c r="L1467" s="4">
        <f>ROUND(0.9*F1467+0.05*G1467+0.05*H1467,8)</f>
        <v/>
      </c>
    </row>
    <row r="1468">
      <c r="A1468" s="2" t="n">
        <v>45953</v>
      </c>
      <c r="B1468" s="8" t="n">
        <v>3045.84</v>
      </c>
      <c r="C1468" s="8" t="n">
        <v>130.3869</v>
      </c>
      <c r="D1468" s="8" t="n">
        <v>0.35</v>
      </c>
      <c r="E1468">
        <f>A1468-A1467</f>
        <v/>
      </c>
      <c r="F1468" s="4">
        <f>ROUND(B1468/B1467-1,8)</f>
        <v/>
      </c>
      <c r="G1468" s="4">
        <f>ROUND(C1468/C1467-1,8)</f>
        <v/>
      </c>
      <c r="H1468" s="4">
        <f>ROUND(D1468/100/(DATE(YEAR(A1468)+1,1,1)-DATE(YEAR(A1468),1,1))*E1468,8)</f>
        <v/>
      </c>
      <c r="I1468" s="4">
        <f>ROUND(I1467*(1+F1468),8)</f>
        <v/>
      </c>
      <c r="J1468" s="4">
        <f>ROUND(J1467*(1+G1468),8)</f>
        <v/>
      </c>
      <c r="K1468" s="4">
        <f>ROUND(K1467+H1468,8)</f>
        <v/>
      </c>
      <c r="L1468" s="4">
        <f>ROUND(0.9*F1468+0.05*G1468+0.05*H1468,8)</f>
        <v/>
      </c>
    </row>
    <row r="1469">
      <c r="A1469" s="2" t="n">
        <v>45954</v>
      </c>
      <c r="B1469" s="8" t="n">
        <v>3074.49</v>
      </c>
      <c r="C1469" s="8" t="n">
        <v>130.334</v>
      </c>
      <c r="D1469" s="8" t="n">
        <v>0.35</v>
      </c>
      <c r="E1469">
        <f>A1469-A1468</f>
        <v/>
      </c>
      <c r="F1469" s="4">
        <f>ROUND(B1469/B1468-1,8)</f>
        <v/>
      </c>
      <c r="G1469" s="4">
        <f>ROUND(C1469/C1468-1,8)</f>
        <v/>
      </c>
      <c r="H1469" s="4">
        <f>ROUND(D1469/100/(DATE(YEAR(A1469)+1,1,1)-DATE(YEAR(A1469),1,1))*E1469,8)</f>
        <v/>
      </c>
      <c r="I1469" s="4">
        <f>ROUND(I1468*(1+F1469),8)</f>
        <v/>
      </c>
      <c r="J1469" s="4">
        <f>ROUND(J1468*(1+G1469),8)</f>
        <v/>
      </c>
      <c r="K1469" s="4">
        <f>ROUND(K1468+H1469,8)</f>
        <v/>
      </c>
      <c r="L1469" s="4">
        <f>ROUND(0.9*F1469+0.05*G1469+0.05*H1469,8)</f>
        <v/>
      </c>
    </row>
    <row r="1470">
      <c r="A1470" s="2" t="n">
        <v>45957</v>
      </c>
      <c r="B1470" s="8" t="n">
        <v>3103.52</v>
      </c>
      <c r="C1470" s="8" t="n">
        <v>130.3283</v>
      </c>
      <c r="D1470" s="8" t="n">
        <v>0.35</v>
      </c>
      <c r="E1470">
        <f>A1470-A1469</f>
        <v/>
      </c>
      <c r="F1470" s="4">
        <f>ROUND(B1470/B1469-1,8)</f>
        <v/>
      </c>
      <c r="G1470" s="4">
        <f>ROUND(C1470/C1469-1,8)</f>
        <v/>
      </c>
      <c r="H1470" s="4">
        <f>ROUND(D1470/100/(DATE(YEAR(A1470)+1,1,1)-DATE(YEAR(A1470),1,1))*E1470,8)</f>
        <v/>
      </c>
      <c r="I1470" s="4">
        <f>ROUND(I1469*(1+F1470),8)</f>
        <v/>
      </c>
      <c r="J1470" s="4">
        <f>ROUND(J1469*(1+G1470),8)</f>
        <v/>
      </c>
      <c r="K1470" s="4">
        <f>ROUND(K1469+H1470,8)</f>
        <v/>
      </c>
      <c r="L1470" s="4">
        <f>ROUND(0.9*F1470+0.05*G1470+0.05*H1470,8)</f>
        <v/>
      </c>
    </row>
    <row r="1471">
      <c r="A1471" s="2" t="n">
        <v>45958</v>
      </c>
      <c r="B1471" s="8" t="n">
        <v>3108.87</v>
      </c>
      <c r="C1471" s="8" t="n">
        <v>130.5109</v>
      </c>
      <c r="D1471" s="8" t="n">
        <v>0.35</v>
      </c>
      <c r="E1471">
        <f>A1471-A1470</f>
        <v/>
      </c>
      <c r="F1471" s="4">
        <f>ROUND(B1471/B1470-1,8)</f>
        <v/>
      </c>
      <c r="G1471" s="4">
        <f>ROUND(C1471/C1470-1,8)</f>
        <v/>
      </c>
      <c r="H1471" s="4">
        <f>ROUND(D1471/100/(DATE(YEAR(A1471)+1,1,1)-DATE(YEAR(A1471),1,1))*E1471,8)</f>
        <v/>
      </c>
      <c r="I1471" s="4">
        <f>ROUND(I1470*(1+F1471),8)</f>
        <v/>
      </c>
      <c r="J1471" s="4">
        <f>ROUND(J1470*(1+G1471),8)</f>
        <v/>
      </c>
      <c r="K1471" s="4">
        <f>ROUND(K1470+H1471,8)</f>
        <v/>
      </c>
      <c r="L1471" s="4">
        <f>ROUND(0.9*F1471+0.05*G1471+0.05*H1471,8)</f>
        <v/>
      </c>
    </row>
    <row r="1472">
      <c r="A1472" s="2" t="n">
        <v>45959</v>
      </c>
      <c r="B1472" s="8" t="n">
        <v>3118.33</v>
      </c>
      <c r="C1472" s="8" t="n">
        <v>130.5337</v>
      </c>
      <c r="D1472" s="8" t="n">
        <v>0.35</v>
      </c>
      <c r="E1472">
        <f>A1472-A1471</f>
        <v/>
      </c>
      <c r="F1472" s="4">
        <f>ROUND(B1472/B1471-1,8)</f>
        <v/>
      </c>
      <c r="G1472" s="4">
        <f>ROUND(C1472/C1471-1,8)</f>
        <v/>
      </c>
      <c r="H1472" s="4">
        <f>ROUND(D1472/100/(DATE(YEAR(A1472)+1,1,1)-DATE(YEAR(A1472),1,1))*E1472,8)</f>
        <v/>
      </c>
      <c r="I1472" s="4">
        <f>ROUND(I1471*(1+F1472),8)</f>
        <v/>
      </c>
      <c r="J1472" s="4">
        <f>ROUND(J1471*(1+G1472),8)</f>
        <v/>
      </c>
      <c r="K1472" s="4">
        <f>ROUND(K1471+H1472,8)</f>
        <v/>
      </c>
      <c r="L1472" s="4">
        <f>ROUND(0.9*F1472+0.05*G1472+0.05*H1472,8)</f>
        <v/>
      </c>
    </row>
    <row r="1473">
      <c r="A1473" s="2" t="n">
        <v>45960</v>
      </c>
      <c r="B1473" s="8" t="n">
        <v>3071.38</v>
      </c>
      <c r="C1473" s="8" t="n">
        <v>130.5841</v>
      </c>
      <c r="D1473" s="8" t="n">
        <v>0.35</v>
      </c>
      <c r="E1473">
        <f>A1473-A1472</f>
        <v/>
      </c>
      <c r="F1473" s="4">
        <f>ROUND(B1473/B1472-1,8)</f>
        <v/>
      </c>
      <c r="G1473" s="4">
        <f>ROUND(C1473/C1472-1,8)</f>
        <v/>
      </c>
      <c r="H1473" s="4">
        <f>ROUND(D1473/100/(DATE(YEAR(A1473)+1,1,1)-DATE(YEAR(A1473),1,1))*E1473,8)</f>
        <v/>
      </c>
      <c r="I1473" s="4">
        <f>ROUND(I1472*(1+F1473),8)</f>
        <v/>
      </c>
      <c r="J1473" s="4">
        <f>ROUND(J1472*(1+G1473),8)</f>
        <v/>
      </c>
      <c r="K1473" s="4">
        <f>ROUND(K1472+H1473,8)</f>
        <v/>
      </c>
      <c r="L1473" s="4">
        <f>ROUND(0.9*F1473+0.05*G1473+0.05*H1473,8)</f>
        <v/>
      </c>
    </row>
    <row r="1474">
      <c r="A1474" s="2" t="n">
        <v>45961</v>
      </c>
      <c r="B1474" s="8" t="n">
        <v>3103.74</v>
      </c>
      <c r="C1474" s="8" t="n">
        <v>130.7027</v>
      </c>
      <c r="D1474" s="8" t="n">
        <v>0.35</v>
      </c>
      <c r="E1474">
        <f>A1474-A1473</f>
        <v/>
      </c>
      <c r="F1474" s="4">
        <f>ROUND(B1474/B1473-1,8)</f>
        <v/>
      </c>
      <c r="G1474" s="4">
        <f>ROUND(C1474/C1473-1,8)</f>
        <v/>
      </c>
      <c r="H1474" s="4">
        <f>ROUND(D1474/100/(DATE(YEAR(A1474)+1,1,1)-DATE(YEAR(A1474),1,1))*E1474,8)</f>
        <v/>
      </c>
      <c r="I1474" s="4">
        <f>ROUND(I1473*(1+F1474),8)</f>
        <v/>
      </c>
      <c r="J1474" s="4">
        <f>ROUND(J1473*(1+G1474),8)</f>
        <v/>
      </c>
      <c r="K1474" s="4">
        <f>ROUND(K1473+H1474,8)</f>
        <v/>
      </c>
      <c r="L1474" s="4">
        <f>ROUND(0.9*F1474+0.05*G1474+0.05*H1474,8)</f>
        <v/>
      </c>
    </row>
    <row r="1475">
      <c r="A1475" s="2" t="n">
        <v>45964</v>
      </c>
      <c r="B1475" s="8" t="n">
        <v>3127.76</v>
      </c>
      <c r="C1475" s="8" t="n">
        <v>130.7284</v>
      </c>
      <c r="D1475" s="8" t="n">
        <v>0.35</v>
      </c>
      <c r="E1475">
        <f>A1475-A1474</f>
        <v/>
      </c>
      <c r="F1475" s="4">
        <f>ROUND(B1475/B1474-1,8)</f>
        <v/>
      </c>
      <c r="G1475" s="4">
        <f>ROUND(C1475/C1474-1,8)</f>
        <v/>
      </c>
      <c r="H1475" s="4">
        <f>ROUND(D1475/100/(DATE(YEAR(A1475)+1,1,1)-DATE(YEAR(A1475),1,1))*E1475,8)</f>
        <v/>
      </c>
      <c r="I1475" s="4">
        <f>ROUND(I1474*(1+F1475),8)</f>
        <v/>
      </c>
      <c r="J1475" s="4">
        <f>ROUND(J1474*(1+G1475),8)</f>
        <v/>
      </c>
      <c r="K1475" s="4">
        <f>ROUND(K1474+H1475,8)</f>
        <v/>
      </c>
      <c r="L1475" s="4">
        <f>ROUND(0.9*F1475+0.05*G1475+0.05*H1475,8)</f>
        <v/>
      </c>
    </row>
    <row r="1476">
      <c r="A1476" s="2" t="n">
        <v>45965</v>
      </c>
      <c r="B1476" s="8" t="n">
        <v>3100.95</v>
      </c>
      <c r="C1476" s="8" t="n">
        <v>130.726</v>
      </c>
      <c r="D1476" s="8" t="n">
        <v>0.35</v>
      </c>
      <c r="E1476">
        <f>A1476-A1475</f>
        <v/>
      </c>
      <c r="F1476" s="4">
        <f>ROUND(B1476/B1475-1,8)</f>
        <v/>
      </c>
      <c r="G1476" s="4">
        <f>ROUND(C1476/C1475-1,8)</f>
        <v/>
      </c>
      <c r="H1476" s="4">
        <f>ROUND(D1476/100/(DATE(YEAR(A1476)+1,1,1)-DATE(YEAR(A1476),1,1))*E1476,8)</f>
        <v/>
      </c>
      <c r="I1476" s="4">
        <f>ROUND(I1475*(1+F1476),8)</f>
        <v/>
      </c>
      <c r="J1476" s="4">
        <f>ROUND(J1475*(1+G1476),8)</f>
        <v/>
      </c>
      <c r="K1476" s="4">
        <f>ROUND(K1475+H1476,8)</f>
        <v/>
      </c>
      <c r="L1476" s="4">
        <f>ROUND(0.9*F1476+0.05*G1476+0.05*H1476,8)</f>
        <v/>
      </c>
    </row>
    <row r="1477">
      <c r="A1477" s="2" t="n">
        <v>45966</v>
      </c>
      <c r="B1477" s="8" t="n">
        <v>3124.93</v>
      </c>
      <c r="C1477" s="8" t="n">
        <v>130.7656</v>
      </c>
      <c r="D1477" s="8" t="n">
        <v>0.35</v>
      </c>
      <c r="E1477">
        <f>A1477-A1476</f>
        <v/>
      </c>
      <c r="F1477" s="4">
        <f>ROUND(B1477/B1476-1,8)</f>
        <v/>
      </c>
      <c r="G1477" s="4">
        <f>ROUND(C1477/C1476-1,8)</f>
        <v/>
      </c>
      <c r="H1477" s="4">
        <f>ROUND(D1477/100/(DATE(YEAR(A1477)+1,1,1)-DATE(YEAR(A1477),1,1))*E1477,8)</f>
        <v/>
      </c>
      <c r="I1477" s="4">
        <f>ROUND(I1476*(1+F1477),8)</f>
        <v/>
      </c>
      <c r="J1477" s="4">
        <f>ROUND(J1476*(1+G1477),8)</f>
        <v/>
      </c>
      <c r="K1477" s="4">
        <f>ROUND(K1476+H1477,8)</f>
        <v/>
      </c>
      <c r="L1477" s="4">
        <f>ROUND(0.9*F1477+0.05*G1477+0.05*H1477,8)</f>
        <v/>
      </c>
    </row>
    <row r="1478">
      <c r="A1478" s="2" t="n">
        <v>45967</v>
      </c>
      <c r="B1478" s="8" t="n">
        <v>3143.72</v>
      </c>
      <c r="C1478" s="8" t="n">
        <v>130.699</v>
      </c>
      <c r="D1478" s="8" t="n">
        <v>0.35</v>
      </c>
      <c r="E1478">
        <f>A1478-A1477</f>
        <v/>
      </c>
      <c r="F1478" s="4">
        <f>ROUND(B1478/B1477-1,8)</f>
        <v/>
      </c>
      <c r="G1478" s="4">
        <f>ROUND(C1478/C1477-1,8)</f>
        <v/>
      </c>
      <c r="H1478" s="4">
        <f>ROUND(D1478/100/(DATE(YEAR(A1478)+1,1,1)-DATE(YEAR(A1478),1,1))*E1478,8)</f>
        <v/>
      </c>
      <c r="I1478" s="4">
        <f>ROUND(I1477*(1+F1478),8)</f>
        <v/>
      </c>
      <c r="J1478" s="4">
        <f>ROUND(J1477*(1+G1478),8)</f>
        <v/>
      </c>
      <c r="K1478" s="4">
        <f>ROUND(K1477+H1478,8)</f>
        <v/>
      </c>
      <c r="L1478" s="4">
        <f>ROUND(0.9*F1478+0.05*G1478+0.05*H1478,8)</f>
        <v/>
      </c>
    </row>
    <row r="1479">
      <c r="A1479" s="2" t="n">
        <v>45968</v>
      </c>
      <c r="B1479" s="8" t="n">
        <v>3131.13</v>
      </c>
      <c r="C1479" s="8" t="n">
        <v>130.6684</v>
      </c>
      <c r="D1479" s="8" t="n">
        <v>0.35</v>
      </c>
      <c r="E1479">
        <f>A1479-A1478</f>
        <v/>
      </c>
      <c r="F1479" s="4">
        <f>ROUND(B1479/B1478-1,8)</f>
        <v/>
      </c>
      <c r="G1479" s="4">
        <f>ROUND(C1479/C1478-1,8)</f>
        <v/>
      </c>
      <c r="H1479" s="4">
        <f>ROUND(D1479/100/(DATE(YEAR(A1479)+1,1,1)-DATE(YEAR(A1479),1,1))*E1479,8)</f>
        <v/>
      </c>
      <c r="I1479" s="4">
        <f>ROUND(I1478*(1+F1479),8)</f>
        <v/>
      </c>
      <c r="J1479" s="4">
        <f>ROUND(J1478*(1+G1479),8)</f>
        <v/>
      </c>
      <c r="K1479" s="4">
        <f>ROUND(K1478+H1479,8)</f>
        <v/>
      </c>
      <c r="L1479" s="4">
        <f>ROUND(0.9*F1479+0.05*G1479+0.05*H1479,8)</f>
        <v/>
      </c>
    </row>
    <row r="1480">
      <c r="A1480" s="2" t="n">
        <v>45971</v>
      </c>
      <c r="B1480" s="8" t="n">
        <v>3150.35</v>
      </c>
      <c r="C1480" s="8" t="n">
        <v>130.6789</v>
      </c>
      <c r="D1480" s="8" t="n">
        <v>0.35</v>
      </c>
      <c r="E1480">
        <f>A1480-A1479</f>
        <v/>
      </c>
      <c r="F1480" s="4">
        <f>ROUND(B1480/B1479-1,8)</f>
        <v/>
      </c>
      <c r="G1480" s="4">
        <f>ROUND(C1480/C1479-1,8)</f>
        <v/>
      </c>
      <c r="H1480" s="4">
        <f>ROUND(D1480/100/(DATE(YEAR(A1480)+1,1,1)-DATE(YEAR(A1480),1,1))*E1480,8)</f>
        <v/>
      </c>
      <c r="I1480" s="4">
        <f>ROUND(I1479*(1+F1480),8)</f>
        <v/>
      </c>
      <c r="J1480" s="4">
        <f>ROUND(J1479*(1+G1480),8)</f>
        <v/>
      </c>
      <c r="K1480" s="4">
        <f>ROUND(K1479+H1480,8)</f>
        <v/>
      </c>
      <c r="L1480" s="4">
        <f>ROUND(0.9*F1480+0.05*G1480+0.05*H1480,8)</f>
        <v/>
      </c>
    </row>
    <row r="1481">
      <c r="A1481" s="2" t="n">
        <v>45972</v>
      </c>
      <c r="B1481" s="8" t="n">
        <v>3162.96</v>
      </c>
      <c r="C1481" s="8" t="n">
        <v>130.6976</v>
      </c>
      <c r="D1481" s="8" t="n">
        <v>0.35</v>
      </c>
      <c r="E1481">
        <f>A1481-A1480</f>
        <v/>
      </c>
      <c r="F1481" s="4">
        <f>ROUND(B1481/B1480-1,8)</f>
        <v/>
      </c>
      <c r="G1481" s="4">
        <f>ROUND(C1481/C1480-1,8)</f>
        <v/>
      </c>
      <c r="H1481" s="4">
        <f>ROUND(D1481/100/(DATE(YEAR(A1481)+1,1,1)-DATE(YEAR(A1481),1,1))*E1481,8)</f>
        <v/>
      </c>
      <c r="I1481" s="4">
        <f>ROUND(I1480*(1+F1481),8)</f>
        <v/>
      </c>
      <c r="J1481" s="4">
        <f>ROUND(J1480*(1+G1481),8)</f>
        <v/>
      </c>
      <c r="K1481" s="4">
        <f>ROUND(K1480+H1481,8)</f>
        <v/>
      </c>
      <c r="L1481" s="4">
        <f>ROUND(0.9*F1481+0.05*G1481+0.05*H1481,8)</f>
        <v/>
      </c>
    </row>
    <row r="1482">
      <c r="A1482" s="2" t="n">
        <v>45973</v>
      </c>
      <c r="B1482" s="8" t="n">
        <v>3141.32</v>
      </c>
      <c r="C1482" s="8" t="n">
        <v>130.7415</v>
      </c>
      <c r="D1482" s="8" t="n">
        <v>0.35</v>
      </c>
      <c r="E1482">
        <f>A1482-A1481</f>
        <v/>
      </c>
      <c r="F1482" s="4">
        <f>ROUND(B1482/B1481-1,8)</f>
        <v/>
      </c>
      <c r="G1482" s="4">
        <f>ROUND(C1482/C1481-1,8)</f>
        <v/>
      </c>
      <c r="H1482" s="4">
        <f>ROUND(D1482/100/(DATE(YEAR(A1482)+1,1,1)-DATE(YEAR(A1482),1,1))*E1482,8)</f>
        <v/>
      </c>
      <c r="I1482" s="4">
        <f>ROUND(I1481*(1+F1482),8)</f>
        <v/>
      </c>
      <c r="J1482" s="4">
        <f>ROUND(J1481*(1+G1482),8)</f>
        <v/>
      </c>
      <c r="K1482" s="4">
        <f>ROUND(K1481+H1482,8)</f>
        <v/>
      </c>
      <c r="L1482" s="4">
        <f>ROUND(0.9*F1482+0.05*G1482+0.05*H1482,8)</f>
        <v/>
      </c>
    </row>
    <row r="1483">
      <c r="A1483" s="2" t="n">
        <v>45974</v>
      </c>
      <c r="B1483" s="8" t="n">
        <v>3179.87</v>
      </c>
      <c r="C1483" s="8" t="n">
        <v>130.7198</v>
      </c>
      <c r="D1483" s="8" t="n">
        <v>0.35</v>
      </c>
      <c r="E1483">
        <f>A1483-A1482</f>
        <v/>
      </c>
      <c r="F1483" s="4">
        <f>ROUND(B1483/B1482-1,8)</f>
        <v/>
      </c>
      <c r="G1483" s="4">
        <f>ROUND(C1483/C1482-1,8)</f>
        <v/>
      </c>
      <c r="H1483" s="4">
        <f>ROUND(D1483/100/(DATE(YEAR(A1483)+1,1,1)-DATE(YEAR(A1483),1,1))*E1483,8)</f>
        <v/>
      </c>
      <c r="I1483" s="4">
        <f>ROUND(I1482*(1+F1483),8)</f>
        <v/>
      </c>
      <c r="J1483" s="4">
        <f>ROUND(J1482*(1+G1483),8)</f>
        <v/>
      </c>
      <c r="K1483" s="4">
        <f>ROUND(K1482+H1483,8)</f>
        <v/>
      </c>
      <c r="L1483" s="4">
        <f>ROUND(0.9*F1483+0.05*G1483+0.05*H1483,8)</f>
        <v/>
      </c>
    </row>
    <row r="1484">
      <c r="A1484" s="2" t="n">
        <v>45975</v>
      </c>
      <c r="B1484" s="8" t="n">
        <v>3158.89</v>
      </c>
      <c r="C1484" s="8" t="n">
        <v>130.7191</v>
      </c>
      <c r="D1484" s="8" t="n">
        <v>0.35</v>
      </c>
      <c r="E1484">
        <f>A1484-A1483</f>
        <v/>
      </c>
      <c r="F1484" s="4">
        <f>ROUND(B1484/B1483-1,8)</f>
        <v/>
      </c>
      <c r="G1484" s="4">
        <f>ROUND(C1484/C1483-1,8)</f>
        <v/>
      </c>
      <c r="H1484" s="4">
        <f>ROUND(D1484/100/(DATE(YEAR(A1484)+1,1,1)-DATE(YEAR(A1484),1,1))*E1484,8)</f>
        <v/>
      </c>
      <c r="I1484" s="4">
        <f>ROUND(I1483*(1+F1484),8)</f>
        <v/>
      </c>
      <c r="J1484" s="4">
        <f>ROUND(J1483*(1+G1484),8)</f>
        <v/>
      </c>
      <c r="K1484" s="4">
        <f>ROUND(K1483+H1484,8)</f>
        <v/>
      </c>
      <c r="L1484" s="4">
        <f>ROUND(0.9*F1484+0.05*G1484+0.05*H1484,8)</f>
        <v/>
      </c>
    </row>
    <row r="1485">
      <c r="A1485" s="2" t="n">
        <v>45978</v>
      </c>
      <c r="B1485" s="8" t="n">
        <v>3178.75</v>
      </c>
      <c r="C1485" s="8" t="n">
        <v>130.7311</v>
      </c>
      <c r="D1485" s="8" t="n">
        <v>0.35</v>
      </c>
      <c r="E1485">
        <f>A1485-A1484</f>
        <v/>
      </c>
      <c r="F1485" s="4">
        <f>ROUND(B1485/B1484-1,8)</f>
        <v/>
      </c>
      <c r="G1485" s="4">
        <f>ROUND(C1485/C1484-1,8)</f>
        <v/>
      </c>
      <c r="H1485" s="4">
        <f>ROUND(D1485/100/(DATE(YEAR(A1485)+1,1,1)-DATE(YEAR(A1485),1,1))*E1485,8)</f>
        <v/>
      </c>
      <c r="I1485" s="4">
        <f>ROUND(I1484*(1+F1485),8)</f>
        <v/>
      </c>
      <c r="J1485" s="4">
        <f>ROUND(J1484*(1+G1485),8)</f>
        <v/>
      </c>
      <c r="K1485" s="4">
        <f>ROUND(K1484+H1485,8)</f>
        <v/>
      </c>
      <c r="L1485" s="4">
        <f>ROUND(0.9*F1485+0.05*G1485+0.05*H1485,8)</f>
        <v/>
      </c>
    </row>
    <row r="1486">
      <c r="A1486" s="2" t="n">
        <v>45979</v>
      </c>
      <c r="B1486" s="8" t="n">
        <v>3136.83</v>
      </c>
      <c r="C1486" s="8" t="n">
        <v>130.7473</v>
      </c>
      <c r="D1486" s="8" t="n">
        <v>0.35</v>
      </c>
      <c r="E1486">
        <f>A1486-A1485</f>
        <v/>
      </c>
      <c r="F1486" s="4">
        <f>ROUND(B1486/B1485-1,8)</f>
        <v/>
      </c>
      <c r="G1486" s="4">
        <f>ROUND(C1486/C1485-1,8)</f>
        <v/>
      </c>
      <c r="H1486" s="4">
        <f>ROUND(D1486/100/(DATE(YEAR(A1486)+1,1,1)-DATE(YEAR(A1486),1,1))*E1486,8)</f>
        <v/>
      </c>
      <c r="I1486" s="4">
        <f>ROUND(I1485*(1+F1486),8)</f>
        <v/>
      </c>
      <c r="J1486" s="4">
        <f>ROUND(J1485*(1+G1486),8)</f>
        <v/>
      </c>
      <c r="K1486" s="4">
        <f>ROUND(K1485+H1486,8)</f>
        <v/>
      </c>
      <c r="L1486" s="4">
        <f>ROUND(0.9*F1486+0.05*G1486+0.05*H1486,8)</f>
        <v/>
      </c>
    </row>
    <row r="1487">
      <c r="A1487" s="2" t="n">
        <v>45980</v>
      </c>
      <c r="B1487" s="8" t="n">
        <v>3092.47</v>
      </c>
      <c r="C1487" s="8" t="n">
        <v>130.717</v>
      </c>
      <c r="D1487" s="8" t="n">
        <v>0.35</v>
      </c>
      <c r="E1487">
        <f>A1487-A1486</f>
        <v/>
      </c>
      <c r="F1487" s="4">
        <f>ROUND(B1487/B1486-1,8)</f>
        <v/>
      </c>
      <c r="G1487" s="4">
        <f>ROUND(C1487/C1486-1,8)</f>
        <v/>
      </c>
      <c r="H1487" s="4">
        <f>ROUND(D1487/100/(DATE(YEAR(A1487)+1,1,1)-DATE(YEAR(A1487),1,1))*E1487,8)</f>
        <v/>
      </c>
      <c r="I1487" s="4">
        <f>ROUND(I1486*(1+F1487),8)</f>
        <v/>
      </c>
      <c r="J1487" s="4">
        <f>ROUND(J1486*(1+G1487),8)</f>
        <v/>
      </c>
      <c r="K1487" s="4">
        <f>ROUND(K1486+H1487,8)</f>
        <v/>
      </c>
      <c r="L1487" s="4">
        <f>ROUND(0.9*F1487+0.05*G1487+0.05*H1487,8)</f>
        <v/>
      </c>
    </row>
    <row r="1488">
      <c r="A1488" s="2" t="n">
        <v>45981</v>
      </c>
      <c r="B1488" s="8" t="n">
        <v>3066.78</v>
      </c>
      <c r="C1488" s="8" t="n">
        <v>130.7176</v>
      </c>
      <c r="D1488" s="8" t="n">
        <v>0.35</v>
      </c>
      <c r="E1488">
        <f>A1488-A1487</f>
        <v/>
      </c>
      <c r="F1488" s="4">
        <f>ROUND(B1488/B1487-1,8)</f>
        <v/>
      </c>
      <c r="G1488" s="4">
        <f>ROUND(C1488/C1487-1,8)</f>
        <v/>
      </c>
      <c r="H1488" s="4">
        <f>ROUND(D1488/100/(DATE(YEAR(A1488)+1,1,1)-DATE(YEAR(A1488),1,1))*E1488,8)</f>
        <v/>
      </c>
      <c r="I1488" s="4">
        <f>ROUND(I1487*(1+F1488),8)</f>
        <v/>
      </c>
      <c r="J1488" s="4">
        <f>ROUND(J1487*(1+G1488),8)</f>
        <v/>
      </c>
      <c r="K1488" s="4">
        <f>ROUND(K1487+H1488,8)</f>
        <v/>
      </c>
      <c r="L1488" s="4">
        <f>ROUND(0.9*F1488+0.05*G1488+0.05*H1488,8)</f>
        <v/>
      </c>
    </row>
    <row r="1489">
      <c r="A1489" s="2" t="n">
        <v>45982</v>
      </c>
      <c r="B1489" s="8" t="n">
        <v>2944.56</v>
      </c>
      <c r="C1489" s="8" t="n">
        <v>130.6858</v>
      </c>
      <c r="D1489" s="8" t="n">
        <v>0.35</v>
      </c>
      <c r="E1489">
        <f>A1489-A1488</f>
        <v/>
      </c>
      <c r="F1489" s="4">
        <f>ROUND(B1489/B1488-1,8)</f>
        <v/>
      </c>
      <c r="G1489" s="4">
        <f>ROUND(C1489/C1488-1,8)</f>
        <v/>
      </c>
      <c r="H1489" s="4">
        <f>ROUND(D1489/100/(DATE(YEAR(A1489)+1,1,1)-DATE(YEAR(A1489),1,1))*E1489,8)</f>
        <v/>
      </c>
      <c r="I1489" s="4">
        <f>ROUND(I1488*(1+F1489),8)</f>
        <v/>
      </c>
      <c r="J1489" s="4">
        <f>ROUND(J1488*(1+G1489),8)</f>
        <v/>
      </c>
      <c r="K1489" s="4">
        <f>ROUND(K1488+H1489,8)</f>
        <v/>
      </c>
      <c r="L1489" s="4">
        <f>ROUND(0.9*F1489+0.05*G1489+0.05*H1489,8)</f>
        <v/>
      </c>
    </row>
    <row r="1490">
      <c r="A1490" s="2" t="n">
        <v>45985</v>
      </c>
      <c r="B1490" s="8" t="n">
        <v>2999.26</v>
      </c>
      <c r="C1490" s="8" t="n">
        <v>130.6751</v>
      </c>
      <c r="D1490" s="8" t="n">
        <v>0.35</v>
      </c>
      <c r="E1490">
        <f>A1490-A1489</f>
        <v/>
      </c>
      <c r="F1490" s="4">
        <f>ROUND(B1490/B1489-1,8)</f>
        <v/>
      </c>
      <c r="G1490" s="4">
        <f>ROUND(C1490/C1489-1,8)</f>
        <v/>
      </c>
      <c r="H1490" s="4">
        <f>ROUND(D1490/100/(DATE(YEAR(A1490)+1,1,1)-DATE(YEAR(A1490),1,1))*E1490,8)</f>
        <v/>
      </c>
      <c r="I1490" s="4">
        <f>ROUND(I1489*(1+F1490),8)</f>
        <v/>
      </c>
      <c r="J1490" s="4">
        <f>ROUND(J1489*(1+G1490),8)</f>
        <v/>
      </c>
      <c r="K1490" s="4">
        <f>ROUND(K1489+H1490,8)</f>
        <v/>
      </c>
      <c r="L1490" s="4">
        <f>ROUND(0.9*F1490+0.05*G1490+0.05*H1490,8)</f>
        <v/>
      </c>
    </row>
    <row r="1491">
      <c r="A1491" s="2" t="n">
        <v>45986</v>
      </c>
      <c r="B1491" s="8" t="n">
        <v>3051.71</v>
      </c>
      <c r="C1491" s="8" t="n">
        <v>130.5907</v>
      </c>
      <c r="D1491" s="8" t="n">
        <v>0.35</v>
      </c>
      <c r="E1491">
        <f>A1491-A1490</f>
        <v/>
      </c>
      <c r="F1491" s="4">
        <f>ROUND(B1491/B1490-1,8)</f>
        <v/>
      </c>
      <c r="G1491" s="4">
        <f>ROUND(C1491/C1490-1,8)</f>
        <v/>
      </c>
      <c r="H1491" s="4">
        <f>ROUND(D1491/100/(DATE(YEAR(A1491)+1,1,1)-DATE(YEAR(A1491),1,1))*E1491,8)</f>
        <v/>
      </c>
      <c r="I1491" s="4">
        <f>ROUND(I1490*(1+F1491),8)</f>
        <v/>
      </c>
      <c r="J1491" s="4">
        <f>ROUND(J1490*(1+G1491),8)</f>
        <v/>
      </c>
      <c r="K1491" s="4">
        <f>ROUND(K1490+H1491,8)</f>
        <v/>
      </c>
      <c r="L1491" s="4">
        <f>ROUND(0.9*F1491+0.05*G1491+0.05*H1491,8)</f>
        <v/>
      </c>
    </row>
    <row r="1492">
      <c r="A1492" s="2" t="n">
        <v>45987</v>
      </c>
      <c r="B1492" s="8" t="n">
        <v>3041.42</v>
      </c>
      <c r="C1492" s="8" t="n">
        <v>130.4423</v>
      </c>
      <c r="D1492" s="8" t="n">
        <v>0.35</v>
      </c>
      <c r="E1492">
        <f>A1492-A1491</f>
        <v/>
      </c>
      <c r="F1492" s="4">
        <f>ROUND(B1492/B1491-1,8)</f>
        <v/>
      </c>
      <c r="G1492" s="4">
        <f>ROUND(C1492/C1491-1,8)</f>
        <v/>
      </c>
      <c r="H1492" s="4">
        <f>ROUND(D1492/100/(DATE(YEAR(A1492)+1,1,1)-DATE(YEAR(A1492),1,1))*E1492,8)</f>
        <v/>
      </c>
      <c r="I1492" s="4">
        <f>ROUND(I1491*(1+F1492),8)</f>
        <v/>
      </c>
      <c r="J1492" s="4">
        <f>ROUND(J1491*(1+G1492),8)</f>
        <v/>
      </c>
      <c r="K1492" s="4">
        <f>ROUND(K1491+H1492,8)</f>
        <v/>
      </c>
      <c r="L1492" s="4">
        <f>ROUND(0.9*F1492+0.05*G1492+0.05*H1492,8)</f>
        <v/>
      </c>
    </row>
    <row r="1493">
      <c r="A1493" s="2" t="n">
        <v>45988</v>
      </c>
      <c r="B1493" s="8" t="n">
        <v>3050.92</v>
      </c>
      <c r="C1493" s="8" t="n">
        <v>130.3549</v>
      </c>
      <c r="D1493" s="8" t="n">
        <v>0.35</v>
      </c>
      <c r="E1493">
        <f>A1493-A1492</f>
        <v/>
      </c>
      <c r="F1493" s="4">
        <f>ROUND(B1493/B1492-1,8)</f>
        <v/>
      </c>
      <c r="G1493" s="4">
        <f>ROUND(C1493/C1492-1,8)</f>
        <v/>
      </c>
      <c r="H1493" s="4">
        <f>ROUND(D1493/100/(DATE(YEAR(A1493)+1,1,1)-DATE(YEAR(A1493),1,1))*E1493,8)</f>
        <v/>
      </c>
      <c r="I1493" s="4">
        <f>ROUND(I1492*(1+F1493),8)</f>
        <v/>
      </c>
      <c r="J1493" s="4">
        <f>ROUND(J1492*(1+G1493),8)</f>
        <v/>
      </c>
      <c r="K1493" s="4">
        <f>ROUND(K1492+H1493,8)</f>
        <v/>
      </c>
      <c r="L1493" s="4">
        <f>ROUND(0.9*F1493+0.05*G1493+0.05*H1493,8)</f>
        <v/>
      </c>
    </row>
    <row r="1494">
      <c r="A1494" s="2" t="n">
        <v>45989</v>
      </c>
      <c r="B1494" s="8" t="n">
        <v>3091.38</v>
      </c>
      <c r="C1494" s="8" t="n">
        <v>130.3626</v>
      </c>
      <c r="D1494" s="8" t="n">
        <v>0.35</v>
      </c>
      <c r="E1494">
        <f>A1494-A1493</f>
        <v/>
      </c>
      <c r="F1494" s="4">
        <f>ROUND(B1494/B1493-1,8)</f>
        <v/>
      </c>
      <c r="G1494" s="4">
        <f>ROUND(C1494/C1493-1,8)</f>
        <v/>
      </c>
      <c r="H1494" s="4">
        <f>ROUND(D1494/100/(DATE(YEAR(A1494)+1,1,1)-DATE(YEAR(A1494),1,1))*E1494,8)</f>
        <v/>
      </c>
      <c r="I1494" s="4">
        <f>ROUND(I1493*(1+F1494),8)</f>
        <v/>
      </c>
      <c r="J1494" s="4">
        <f>ROUND(J1493*(1+G1494),8)</f>
        <v/>
      </c>
      <c r="K1494" s="4">
        <f>ROUND(K1493+H1494,8)</f>
        <v/>
      </c>
      <c r="L1494" s="4">
        <f>ROUND(0.9*F1494+0.05*G1494+0.05*H1494,8)</f>
        <v/>
      </c>
    </row>
    <row r="1495">
      <c r="A1495" s="2" t="n">
        <v>45992</v>
      </c>
      <c r="B1495" s="8" t="n">
        <v>3112.96</v>
      </c>
      <c r="C1495" s="8" t="n">
        <v>130.3589</v>
      </c>
      <c r="D1495" s="8" t="n">
        <v>0.35</v>
      </c>
      <c r="E1495">
        <f>A1495-A1494</f>
        <v/>
      </c>
      <c r="F1495" s="4">
        <f>ROUND(B1495/B1494-1,8)</f>
        <v/>
      </c>
      <c r="G1495" s="4">
        <f>ROUND(C1495/C1494-1,8)</f>
        <v/>
      </c>
      <c r="H1495" s="4">
        <f>ROUND(D1495/100/(DATE(YEAR(A1495)+1,1,1)-DATE(YEAR(A1495),1,1))*E1495,8)</f>
        <v/>
      </c>
      <c r="I1495" s="4">
        <f>ROUND(I1494*(1+F1495),8)</f>
        <v/>
      </c>
      <c r="J1495" s="4">
        <f>ROUND(J1494*(1+G1495),8)</f>
        <v/>
      </c>
      <c r="K1495" s="4">
        <f>ROUND(K1494+H1495,8)</f>
        <v/>
      </c>
      <c r="L1495" s="4">
        <f>ROUND(0.9*F1495+0.05*G1495+0.05*H1495,8)</f>
        <v/>
      </c>
    </row>
    <row r="1496">
      <c r="A1496" s="2" t="n">
        <v>45993</v>
      </c>
      <c r="B1496" s="8" t="n">
        <v>3098.24</v>
      </c>
      <c r="C1496" s="8" t="n">
        <v>130.2888</v>
      </c>
      <c r="D1496" s="8" t="n">
        <v>0.35</v>
      </c>
      <c r="E1496">
        <f>A1496-A1495</f>
        <v/>
      </c>
      <c r="F1496" s="4">
        <f>ROUND(B1496/B1495-1,8)</f>
        <v/>
      </c>
      <c r="G1496" s="4">
        <f>ROUND(C1496/C1495-1,8)</f>
        <v/>
      </c>
      <c r="H1496" s="4">
        <f>ROUND(D1496/100/(DATE(YEAR(A1496)+1,1,1)-DATE(YEAR(A1496),1,1))*E1496,8)</f>
        <v/>
      </c>
      <c r="I1496" s="4">
        <f>ROUND(I1495*(1+F1496),8)</f>
        <v/>
      </c>
      <c r="J1496" s="4">
        <f>ROUND(J1495*(1+G1496),8)</f>
        <v/>
      </c>
      <c r="K1496" s="4">
        <f>ROUND(K1495+H1496,8)</f>
        <v/>
      </c>
      <c r="L1496" s="4">
        <f>ROUND(0.9*F1496+0.05*G1496+0.05*H1496,8)</f>
        <v/>
      </c>
    </row>
    <row r="1497">
      <c r="A1497" s="2" t="n">
        <v>45994</v>
      </c>
      <c r="B1497" s="8" t="n">
        <v>3066.42</v>
      </c>
      <c r="C1497" s="8" t="n">
        <v>130.1998</v>
      </c>
      <c r="D1497" s="8" t="n">
        <v>0.35</v>
      </c>
      <c r="E1497">
        <f>A1497-A1496</f>
        <v/>
      </c>
      <c r="F1497" s="4">
        <f>ROUND(B1497/B1496-1,8)</f>
        <v/>
      </c>
      <c r="G1497" s="4">
        <f>ROUND(C1497/C1496-1,8)</f>
        <v/>
      </c>
      <c r="H1497" s="4">
        <f>ROUND(D1497/100/(DATE(YEAR(A1497)+1,1,1)-DATE(YEAR(A1497),1,1))*E1497,8)</f>
        <v/>
      </c>
      <c r="I1497" s="4">
        <f>ROUND(I1496*(1+F1497),8)</f>
        <v/>
      </c>
      <c r="J1497" s="4">
        <f>ROUND(J1496*(1+G1497),8)</f>
        <v/>
      </c>
      <c r="K1497" s="4">
        <f>ROUND(K1496+H1497,8)</f>
        <v/>
      </c>
      <c r="L1497" s="4">
        <f>ROUND(0.9*F1497+0.05*G1497+0.05*H1497,8)</f>
        <v/>
      </c>
    </row>
    <row r="1498">
      <c r="A1498" s="2" t="n">
        <v>45995</v>
      </c>
      <c r="B1498" s="8" t="n">
        <v>3043.53</v>
      </c>
      <c r="C1498" s="8" t="n">
        <v>130.0069</v>
      </c>
      <c r="D1498" s="8" t="n">
        <v>0.35</v>
      </c>
      <c r="E1498">
        <f>A1498-A1497</f>
        <v/>
      </c>
      <c r="F1498" s="4">
        <f>ROUND(B1498/B1497-1,8)</f>
        <v/>
      </c>
      <c r="G1498" s="4">
        <f>ROUND(C1498/C1497-1,8)</f>
        <v/>
      </c>
      <c r="H1498" s="4">
        <f>ROUND(D1498/100/(DATE(YEAR(A1498)+1,1,1)-DATE(YEAR(A1498),1,1))*E1498,8)</f>
        <v/>
      </c>
      <c r="I1498" s="4">
        <f>ROUND(I1497*(1+F1498),8)</f>
        <v/>
      </c>
      <c r="J1498" s="4">
        <f>ROUND(J1497*(1+G1498),8)</f>
        <v/>
      </c>
      <c r="K1498" s="4">
        <f>ROUND(K1497+H1498,8)</f>
        <v/>
      </c>
      <c r="L1498" s="4">
        <f>ROUND(0.9*F1498+0.05*G1498+0.05*H1498,8)</f>
        <v/>
      </c>
    </row>
    <row r="1499">
      <c r="A1499" s="2" t="n">
        <v>45996</v>
      </c>
      <c r="B1499" s="8" t="n">
        <v>3100.31</v>
      </c>
      <c r="C1499" s="8" t="n">
        <v>130.0288</v>
      </c>
      <c r="D1499" s="8" t="n">
        <v>0.35</v>
      </c>
      <c r="E1499">
        <f>A1499-A1498</f>
        <v/>
      </c>
      <c r="F1499" s="4">
        <f>ROUND(B1499/B1498-1,8)</f>
        <v/>
      </c>
      <c r="G1499" s="4">
        <f>ROUND(C1499/C1498-1,8)</f>
        <v/>
      </c>
      <c r="H1499" s="4">
        <f>ROUND(D1499/100/(DATE(YEAR(A1499)+1,1,1)-DATE(YEAR(A1499),1,1))*E1499,8)</f>
        <v/>
      </c>
      <c r="I1499" s="4">
        <f>ROUND(I1498*(1+F1499),8)</f>
        <v/>
      </c>
      <c r="J1499" s="4">
        <f>ROUND(J1498*(1+G1499),8)</f>
        <v/>
      </c>
      <c r="K1499" s="4">
        <f>ROUND(K1498+H1499,8)</f>
        <v/>
      </c>
      <c r="L1499" s="4">
        <f>ROUND(0.9*F1499+0.05*G1499+0.05*H1499,8)</f>
        <v/>
      </c>
    </row>
    <row r="1500">
      <c r="A1500" s="2" t="n">
        <v>45999</v>
      </c>
      <c r="B1500" s="8" t="n">
        <v>3145.73</v>
      </c>
      <c r="C1500" s="8" t="n">
        <v>130.0065</v>
      </c>
      <c r="D1500" s="8" t="n">
        <v>0.35</v>
      </c>
      <c r="E1500">
        <f>A1500-A1499</f>
        <v/>
      </c>
      <c r="F1500" s="4">
        <f>ROUND(B1500/B1499-1,8)</f>
        <v/>
      </c>
      <c r="G1500" s="4">
        <f>ROUND(C1500/C1499-1,8)</f>
        <v/>
      </c>
      <c r="H1500" s="4">
        <f>ROUND(D1500/100/(DATE(YEAR(A1500)+1,1,1)-DATE(YEAR(A1500),1,1))*E1500,8)</f>
        <v/>
      </c>
      <c r="I1500" s="4">
        <f>ROUND(I1499*(1+F1500),8)</f>
        <v/>
      </c>
      <c r="J1500" s="4">
        <f>ROUND(J1499*(1+G1500),8)</f>
        <v/>
      </c>
      <c r="K1500" s="4">
        <f>ROUND(K1499+H1500,8)</f>
        <v/>
      </c>
      <c r="L1500" s="4">
        <f>ROUND(0.9*F1500+0.05*G1500+0.05*H1500,8)</f>
        <v/>
      </c>
    </row>
    <row r="1501">
      <c r="A1501" s="2" t="n">
        <v>46000</v>
      </c>
      <c r="B1501" s="8" t="n">
        <v>3128.97</v>
      </c>
      <c r="C1501" s="8" t="n">
        <v>130.0728</v>
      </c>
      <c r="D1501" s="8" t="n">
        <v>0.35</v>
      </c>
      <c r="E1501">
        <f>A1501-A1500</f>
        <v/>
      </c>
      <c r="F1501" s="4">
        <f>ROUND(B1501/B1500-1,8)</f>
        <v/>
      </c>
      <c r="G1501" s="4">
        <f>ROUND(C1501/C1500-1,8)</f>
        <v/>
      </c>
      <c r="H1501" s="4">
        <f>ROUND(D1501/100/(DATE(YEAR(A1501)+1,1,1)-DATE(YEAR(A1501),1,1))*E1501,8)</f>
        <v/>
      </c>
      <c r="I1501" s="4">
        <f>ROUND(I1500*(1+F1501),8)</f>
        <v/>
      </c>
      <c r="J1501" s="4">
        <f>ROUND(J1500*(1+G1501),8)</f>
        <v/>
      </c>
      <c r="K1501" s="4">
        <f>ROUND(K1500+H1501,8)</f>
        <v/>
      </c>
      <c r="L1501" s="4">
        <f>ROUND(0.9*F1501+0.05*G1501+0.05*H1501,8)</f>
        <v/>
      </c>
    </row>
    <row r="1502">
      <c r="A1502" s="2" t="n">
        <v>46001</v>
      </c>
      <c r="B1502" s="8" t="n">
        <v>3134.49</v>
      </c>
      <c r="C1502" s="8" t="n">
        <v>130.112</v>
      </c>
      <c r="D1502" s="8" t="n">
        <v>0.35</v>
      </c>
      <c r="E1502">
        <f>A1502-A1501</f>
        <v/>
      </c>
      <c r="F1502" s="4">
        <f>ROUND(B1502/B1501-1,8)</f>
        <v/>
      </c>
      <c r="G1502" s="4">
        <f>ROUND(C1502/C1501-1,8)</f>
        <v/>
      </c>
      <c r="H1502" s="4">
        <f>ROUND(D1502/100/(DATE(YEAR(A1502)+1,1,1)-DATE(YEAR(A1502),1,1))*E1502,8)</f>
        <v/>
      </c>
      <c r="I1502" s="4">
        <f>ROUND(I1501*(1+F1502),8)</f>
        <v/>
      </c>
      <c r="J1502" s="4">
        <f>ROUND(J1501*(1+G1502),8)</f>
        <v/>
      </c>
      <c r="K1502" s="4">
        <f>ROUND(K1501+H1502,8)</f>
        <v/>
      </c>
      <c r="L1502" s="4">
        <f>ROUND(0.9*F1502+0.05*G1502+0.05*H1502,8)</f>
        <v/>
      </c>
    </row>
    <row r="1503">
      <c r="A1503" s="2" t="n">
        <v>46002</v>
      </c>
      <c r="B1503" s="8" t="n">
        <v>3081.33</v>
      </c>
      <c r="C1503" s="8" t="n">
        <v>130.2051</v>
      </c>
      <c r="D1503" s="8" t="n">
        <v>0.35</v>
      </c>
      <c r="E1503">
        <f>A1503-A1502</f>
        <v/>
      </c>
      <c r="F1503" s="4">
        <f>ROUND(B1503/B1502-1,8)</f>
        <v/>
      </c>
      <c r="G1503" s="4">
        <f>ROUND(C1503/C1502-1,8)</f>
        <v/>
      </c>
      <c r="H1503" s="4">
        <f>ROUND(D1503/100/(DATE(YEAR(A1503)+1,1,1)-DATE(YEAR(A1503),1,1))*E1503,8)</f>
        <v/>
      </c>
      <c r="I1503" s="4">
        <f>ROUND(I1502*(1+F1503),8)</f>
        <v/>
      </c>
      <c r="J1503" s="4">
        <f>ROUND(J1502*(1+G1503),8)</f>
        <v/>
      </c>
      <c r="K1503" s="4">
        <f>ROUND(K1502+H1503,8)</f>
        <v/>
      </c>
      <c r="L1503" s="4">
        <f>ROUND(0.9*F1503+0.05*G1503+0.05*H1503,8)</f>
        <v/>
      </c>
    </row>
    <row r="1504">
      <c r="A1504" s="2" t="n">
        <v>46003</v>
      </c>
      <c r="B1504" s="8" t="n">
        <v>3101.77</v>
      </c>
      <c r="C1504" s="8" t="n">
        <v>130.1627</v>
      </c>
      <c r="D1504" s="8" t="n">
        <v>0.35</v>
      </c>
      <c r="E1504">
        <f>A1504-A1503</f>
        <v/>
      </c>
      <c r="F1504" s="4">
        <f>ROUND(B1504/B1503-1,8)</f>
        <v/>
      </c>
      <c r="G1504" s="4">
        <f>ROUND(C1504/C1503-1,8)</f>
        <v/>
      </c>
      <c r="H1504" s="4">
        <f>ROUND(D1504/100/(DATE(YEAR(A1504)+1,1,1)-DATE(YEAR(A1504),1,1))*E1504,8)</f>
        <v/>
      </c>
      <c r="I1504" s="4">
        <f>ROUND(I1503*(1+F1504),8)</f>
        <v/>
      </c>
      <c r="J1504" s="4">
        <f>ROUND(J1503*(1+G1504),8)</f>
        <v/>
      </c>
      <c r="K1504" s="4">
        <f>ROUND(K1503+H1504,8)</f>
        <v/>
      </c>
      <c r="L1504" s="4">
        <f>ROUND(0.9*F1504+0.05*G1504+0.05*H1504,8)</f>
        <v/>
      </c>
    </row>
    <row r="1505">
      <c r="A1505" s="2" t="n">
        <v>46006</v>
      </c>
      <c r="B1505" s="8" t="n">
        <v>3094.43</v>
      </c>
      <c r="C1505" s="8" t="n">
        <v>130.0386</v>
      </c>
      <c r="D1505" s="8" t="n">
        <v>0.35</v>
      </c>
      <c r="E1505">
        <f>A1505-A1504</f>
        <v/>
      </c>
      <c r="F1505" s="4">
        <f>ROUND(B1505/B1504-1,8)</f>
        <v/>
      </c>
      <c r="G1505" s="4">
        <f>ROUND(C1505/C1504-1,8)</f>
        <v/>
      </c>
      <c r="H1505" s="4">
        <f>ROUND(D1505/100/(DATE(YEAR(A1505)+1,1,1)-DATE(YEAR(A1505),1,1))*E1505,8)</f>
        <v/>
      </c>
      <c r="I1505" s="4">
        <f>ROUND(I1504*(1+F1505),8)</f>
        <v/>
      </c>
      <c r="J1505" s="4">
        <f>ROUND(J1504*(1+G1505),8)</f>
        <v/>
      </c>
      <c r="K1505" s="4">
        <f>ROUND(K1504+H1505,8)</f>
        <v/>
      </c>
      <c r="L1505" s="4">
        <f>ROUND(0.9*F1505+0.05*G1505+0.05*H1505,8)</f>
        <v/>
      </c>
    </row>
    <row r="1506">
      <c r="A1506" s="2" t="n">
        <v>46007</v>
      </c>
      <c r="B1506" s="8" t="n">
        <v>3041</v>
      </c>
      <c r="C1506" s="8" t="n">
        <v>130.0241</v>
      </c>
      <c r="D1506" s="8" t="n">
        <v>0.35</v>
      </c>
      <c r="E1506">
        <f>A1506-A1505</f>
        <v/>
      </c>
      <c r="F1506" s="4">
        <f>ROUND(B1506/B1505-1,8)</f>
        <v/>
      </c>
      <c r="G1506" s="4">
        <f>ROUND(C1506/C1505-1,8)</f>
        <v/>
      </c>
      <c r="H1506" s="4">
        <f>ROUND(D1506/100/(DATE(YEAR(A1506)+1,1,1)-DATE(YEAR(A1506),1,1))*E1506,8)</f>
        <v/>
      </c>
      <c r="I1506" s="4">
        <f>ROUND(I1505*(1+F1506),8)</f>
        <v/>
      </c>
      <c r="J1506" s="4">
        <f>ROUND(J1505*(1+G1506),8)</f>
        <v/>
      </c>
      <c r="K1506" s="4">
        <f>ROUND(K1505+H1506,8)</f>
        <v/>
      </c>
      <c r="L1506" s="4">
        <f>ROUND(0.9*F1506+0.05*G1506+0.05*H1506,8)</f>
        <v/>
      </c>
    </row>
    <row r="1507">
      <c r="A1507" s="2" t="n">
        <v>46008</v>
      </c>
      <c r="B1507" s="8" t="n">
        <v>3063.86</v>
      </c>
      <c r="C1507" s="8" t="n">
        <v>130.1188</v>
      </c>
      <c r="D1507" s="8" t="n">
        <v>0.35</v>
      </c>
      <c r="E1507">
        <f>A1507-A1506</f>
        <v/>
      </c>
      <c r="F1507" s="4">
        <f>ROUND(B1507/B1506-1,8)</f>
        <v/>
      </c>
      <c r="G1507" s="4">
        <f>ROUND(C1507/C1506-1,8)</f>
        <v/>
      </c>
      <c r="H1507" s="4">
        <f>ROUND(D1507/100/(DATE(YEAR(A1507)+1,1,1)-DATE(YEAR(A1507),1,1))*E1507,8)</f>
        <v/>
      </c>
      <c r="I1507" s="4">
        <f>ROUND(I1506*(1+F1507),8)</f>
        <v/>
      </c>
      <c r="J1507" s="4">
        <f>ROUND(J1506*(1+G1507),8)</f>
        <v/>
      </c>
      <c r="K1507" s="4">
        <f>ROUND(K1506+H1507,8)</f>
        <v/>
      </c>
      <c r="L1507" s="4">
        <f>ROUND(0.9*F1507+0.05*G1507+0.05*H1507,8)</f>
        <v/>
      </c>
    </row>
    <row r="1508">
      <c r="A1508" s="2" t="n">
        <v>46009</v>
      </c>
      <c r="B1508" s="8" t="n">
        <v>3066.09</v>
      </c>
      <c r="C1508" s="8" t="n">
        <v>130.1437</v>
      </c>
      <c r="D1508" s="8" t="n">
        <v>0.35</v>
      </c>
      <c r="E1508">
        <f>A1508-A1507</f>
        <v/>
      </c>
      <c r="F1508" s="4">
        <f>ROUND(B1508/B1507-1,8)</f>
        <v/>
      </c>
      <c r="G1508" s="4">
        <f>ROUND(C1508/C1507-1,8)</f>
        <v/>
      </c>
      <c r="H1508" s="4">
        <f>ROUND(D1508/100/(DATE(YEAR(A1508)+1,1,1)-DATE(YEAR(A1508),1,1))*E1508,8)</f>
        <v/>
      </c>
      <c r="I1508" s="4">
        <f>ROUND(I1507*(1+F1508),8)</f>
        <v/>
      </c>
      <c r="J1508" s="4">
        <f>ROUND(J1507*(1+G1508),8)</f>
        <v/>
      </c>
      <c r="K1508" s="4">
        <f>ROUND(K1507+H1508,8)</f>
        <v/>
      </c>
      <c r="L1508" s="4">
        <f>ROUND(0.9*F1508+0.05*G1508+0.05*H1508,8)</f>
        <v/>
      </c>
    </row>
    <row r="1509">
      <c r="A1509" s="2" t="n">
        <v>46010</v>
      </c>
      <c r="B1509" s="8" t="n">
        <v>3111.16</v>
      </c>
      <c r="C1509" s="8" t="n">
        <v>130.1965</v>
      </c>
      <c r="D1509" s="8" t="n">
        <v>0.35</v>
      </c>
      <c r="E1509">
        <f>A1509-A1508</f>
        <v/>
      </c>
      <c r="F1509" s="4">
        <f>ROUND(B1509/B1508-1,8)</f>
        <v/>
      </c>
      <c r="G1509" s="4">
        <f>ROUND(C1509/C1508-1,8)</f>
        <v/>
      </c>
      <c r="H1509" s="4">
        <f>ROUND(D1509/100/(DATE(YEAR(A1509)+1,1,1)-DATE(YEAR(A1509),1,1))*E1509,8)</f>
        <v/>
      </c>
      <c r="I1509" s="4">
        <f>ROUND(I1508*(1+F1509),8)</f>
        <v/>
      </c>
      <c r="J1509" s="4">
        <f>ROUND(J1508*(1+G1509),8)</f>
        <v/>
      </c>
      <c r="K1509" s="4">
        <f>ROUND(K1508+H1509,8)</f>
        <v/>
      </c>
      <c r="L1509" s="4">
        <f>ROUND(0.9*F1509+0.05*G1509+0.05*H1509,8)</f>
        <v/>
      </c>
    </row>
    <row r="1510">
      <c r="A1510" s="2" t="n">
        <v>46013</v>
      </c>
      <c r="B1510" s="8" t="n">
        <v>3137.92</v>
      </c>
      <c r="C1510" s="8" t="n">
        <v>130.1707</v>
      </c>
      <c r="D1510" s="8" t="n">
        <v>0.35</v>
      </c>
      <c r="E1510">
        <f>A1510-A1509</f>
        <v/>
      </c>
      <c r="F1510" s="4">
        <f>ROUND(B1510/B1509-1,8)</f>
        <v/>
      </c>
      <c r="G1510" s="4">
        <f>ROUND(C1510/C1509-1,8)</f>
        <v/>
      </c>
      <c r="H1510" s="4">
        <f>ROUND(D1510/100/(DATE(YEAR(A1510)+1,1,1)-DATE(YEAR(A1510),1,1))*E1510,8)</f>
        <v/>
      </c>
      <c r="I1510" s="4">
        <f>ROUND(I1509*(1+F1510),8)</f>
        <v/>
      </c>
      <c r="J1510" s="4">
        <f>ROUND(J1509*(1+G1510),8)</f>
        <v/>
      </c>
      <c r="K1510" s="4">
        <f>ROUND(K1509+H1510,8)</f>
        <v/>
      </c>
      <c r="L1510" s="4">
        <f>ROUND(0.9*F1510+0.05*G1510+0.05*H1510,8)</f>
        <v/>
      </c>
    </row>
    <row r="1511">
      <c r="A1511" s="2" t="n">
        <v>46014</v>
      </c>
      <c r="B1511" s="8" t="n">
        <v>3118.3</v>
      </c>
      <c r="C1511" s="8" t="n">
        <v>130.2445</v>
      </c>
      <c r="D1511" s="8" t="n">
        <v>0.35</v>
      </c>
      <c r="E1511">
        <f>A1511-A1510</f>
        <v/>
      </c>
      <c r="F1511" s="4">
        <f>ROUND(B1511/B1510-1,8)</f>
        <v/>
      </c>
      <c r="G1511" s="4">
        <f>ROUND(C1511/C1510-1,8)</f>
        <v/>
      </c>
      <c r="H1511" s="4">
        <f>ROUND(D1511/100/(DATE(YEAR(A1511)+1,1,1)-DATE(YEAR(A1511),1,1))*E1511,8)</f>
        <v/>
      </c>
      <c r="I1511" s="4">
        <f>ROUND(I1510*(1+F1511),8)</f>
        <v/>
      </c>
      <c r="J1511" s="4">
        <f>ROUND(J1510*(1+G1511),8)</f>
        <v/>
      </c>
      <c r="K1511" s="4">
        <f>ROUND(K1510+H1511,8)</f>
        <v/>
      </c>
      <c r="L1511" s="4">
        <f>ROUND(0.9*F1511+0.05*G1511+0.05*H1511,8)</f>
        <v/>
      </c>
    </row>
    <row r="1512">
      <c r="A1512" s="2" t="n">
        <v>46015</v>
      </c>
      <c r="B1512" s="8" t="n">
        <v>3166.74</v>
      </c>
      <c r="C1512" s="8" t="n">
        <v>130.2806</v>
      </c>
      <c r="D1512" s="8" t="n">
        <v>0.35</v>
      </c>
      <c r="E1512">
        <f>A1512-A1511</f>
        <v/>
      </c>
      <c r="F1512" s="4">
        <f>ROUND(B1512/B1511-1,8)</f>
        <v/>
      </c>
      <c r="G1512" s="4">
        <f>ROUND(C1512/C1511-1,8)</f>
        <v/>
      </c>
      <c r="H1512" s="4">
        <f>ROUND(D1512/100/(DATE(YEAR(A1512)+1,1,1)-DATE(YEAR(A1512),1,1))*E1512,8)</f>
        <v/>
      </c>
      <c r="I1512" s="4">
        <f>ROUND(I1511*(1+F1512),8)</f>
        <v/>
      </c>
      <c r="J1512" s="4">
        <f>ROUND(J1511*(1+G1512),8)</f>
        <v/>
      </c>
      <c r="K1512" s="4">
        <f>ROUND(K1511+H1512,8)</f>
        <v/>
      </c>
      <c r="L1512" s="4">
        <f>ROUND(0.9*F1512+0.05*G1512+0.05*H1512,8)</f>
        <v/>
      </c>
    </row>
    <row r="1513">
      <c r="A1513" s="2" t="n">
        <v>46016</v>
      </c>
      <c r="B1513" s="8" t="n">
        <v>3208.14</v>
      </c>
      <c r="C1513" s="8" t="n">
        <v>130.2883</v>
      </c>
      <c r="D1513" s="8" t="n">
        <v>0.35</v>
      </c>
      <c r="E1513">
        <f>A1513-A1512</f>
        <v/>
      </c>
      <c r="F1513" s="4">
        <f>ROUND(B1513/B1512-1,8)</f>
        <v/>
      </c>
      <c r="G1513" s="4">
        <f>ROUND(C1513/C1512-1,8)</f>
        <v/>
      </c>
      <c r="H1513" s="4">
        <f>ROUND(D1513/100/(DATE(YEAR(A1513)+1,1,1)-DATE(YEAR(A1513),1,1))*E1513,8)</f>
        <v/>
      </c>
      <c r="I1513" s="4">
        <f>ROUND(I1512*(1+F1513),8)</f>
        <v/>
      </c>
      <c r="J1513" s="4">
        <f>ROUND(J1512*(1+G1513),8)</f>
        <v/>
      </c>
      <c r="K1513" s="4">
        <f>ROUND(K1512+H1513,8)</f>
        <v/>
      </c>
      <c r="L1513" s="4">
        <f>ROUND(0.9*F1513+0.05*G1513+0.05*H1513,8)</f>
        <v/>
      </c>
    </row>
    <row r="1514">
      <c r="A1514" s="2" t="n">
        <v>46017</v>
      </c>
      <c r="B1514" s="8" t="n">
        <v>3206.51</v>
      </c>
      <c r="C1514" s="8" t="n">
        <v>130.3313</v>
      </c>
      <c r="D1514" s="8" t="n">
        <v>0.35</v>
      </c>
      <c r="E1514">
        <f>A1514-A1513</f>
        <v/>
      </c>
      <c r="F1514" s="4">
        <f>ROUND(B1514/B1513-1,8)</f>
        <v/>
      </c>
      <c r="G1514" s="4">
        <f>ROUND(C1514/C1513-1,8)</f>
        <v/>
      </c>
      <c r="H1514" s="4">
        <f>ROUND(D1514/100/(DATE(YEAR(A1514)+1,1,1)-DATE(YEAR(A1514),1,1))*E1514,8)</f>
        <v/>
      </c>
      <c r="I1514" s="4">
        <f>ROUND(I1513*(1+F1514),8)</f>
        <v/>
      </c>
      <c r="J1514" s="4">
        <f>ROUND(J1513*(1+G1514),8)</f>
        <v/>
      </c>
      <c r="K1514" s="4">
        <f>ROUND(K1513+H1514,8)</f>
        <v/>
      </c>
      <c r="L1514" s="4">
        <f>ROUND(0.9*F1514+0.05*G1514+0.05*H1514,8)</f>
        <v/>
      </c>
    </row>
    <row r="1515">
      <c r="A1515" s="2" t="n">
        <v>46020</v>
      </c>
      <c r="B1515" s="8" t="n">
        <v>3205.93</v>
      </c>
      <c r="C1515" s="8" t="n">
        <v>130.1707</v>
      </c>
      <c r="D1515" s="8" t="n">
        <v>0.35</v>
      </c>
      <c r="E1515">
        <f>A1515-A1514</f>
        <v/>
      </c>
      <c r="F1515" s="4">
        <f>ROUND(B1515/B1514-1,8)</f>
        <v/>
      </c>
      <c r="G1515" s="4">
        <f>ROUND(C1515/C1514-1,8)</f>
        <v/>
      </c>
      <c r="H1515" s="4">
        <f>ROUND(D1515/100/(DATE(YEAR(A1515)+1,1,1)-DATE(YEAR(A1515),1,1))*E1515,8)</f>
        <v/>
      </c>
      <c r="I1515" s="4">
        <f>ROUND(I1514*(1+F1515),8)</f>
        <v/>
      </c>
      <c r="J1515" s="4">
        <f>ROUND(J1514*(1+G1515),8)</f>
        <v/>
      </c>
      <c r="K1515" s="4">
        <f>ROUND(K1514+H1515,8)</f>
        <v/>
      </c>
      <c r="L1515" s="4">
        <f>ROUND(0.9*F1515+0.05*G1515+0.05*H1515,8)</f>
        <v/>
      </c>
    </row>
    <row r="1516">
      <c r="A1516" s="2" t="n">
        <v>46021</v>
      </c>
      <c r="B1516" s="8" t="n">
        <v>3200.18</v>
      </c>
      <c r="C1516" s="8" t="n">
        <v>130.1537</v>
      </c>
      <c r="D1516" s="8" t="n">
        <v>0.35</v>
      </c>
      <c r="E1516">
        <f>A1516-A1515</f>
        <v/>
      </c>
      <c r="F1516" s="4">
        <f>ROUND(B1516/B1515-1,8)</f>
        <v/>
      </c>
      <c r="G1516" s="4">
        <f>ROUND(C1516/C1515-1,8)</f>
        <v/>
      </c>
      <c r="H1516" s="4">
        <f>ROUND(D1516/100/(DATE(YEAR(A1516)+1,1,1)-DATE(YEAR(A1516),1,1))*E1516,8)</f>
        <v/>
      </c>
      <c r="I1516" s="4">
        <f>ROUND(I1515*(1+F1516),8)</f>
        <v/>
      </c>
      <c r="J1516" s="4">
        <f>ROUND(J1515*(1+G1516),8)</f>
        <v/>
      </c>
      <c r="K1516" s="4">
        <f>ROUND(K1515+H1516,8)</f>
        <v/>
      </c>
      <c r="L1516" s="4">
        <f>ROUND(0.9*F1516+0.05*G1516+0.05*H1516,8)</f>
        <v/>
      </c>
    </row>
    <row r="1517">
      <c r="A1517" s="2" t="n">
        <v>46022</v>
      </c>
      <c r="B1517" s="8" t="n">
        <v>3203.23</v>
      </c>
      <c r="C1517" s="8" t="n">
        <v>130.1457</v>
      </c>
      <c r="D1517" s="8" t="n">
        <v>0.35</v>
      </c>
      <c r="E1517">
        <f>A1517-A1516</f>
        <v/>
      </c>
      <c r="F1517" s="4">
        <f>ROUND(B1517/B1516-1,8)</f>
        <v/>
      </c>
      <c r="G1517" s="4">
        <f>ROUND(C1517/C1516-1,8)</f>
        <v/>
      </c>
      <c r="H1517" s="4">
        <f>ROUND(D1517/100/(DATE(YEAR(A1517)+1,1,1)-DATE(YEAR(A1517),1,1))*E1517,8)</f>
        <v/>
      </c>
      <c r="I1517" s="4">
        <f>ROUND(I1516*(1+F1517),8)</f>
        <v/>
      </c>
      <c r="J1517" s="4">
        <f>ROUND(J1516*(1+G1517),8)</f>
        <v/>
      </c>
      <c r="K1517" s="4">
        <f>ROUND(K1516+H1517,8)</f>
        <v/>
      </c>
      <c r="L1517" s="4">
        <f>ROUND(0.9*F1517+0.05*G1517+0.05*H1517,8)</f>
        <v/>
      </c>
    </row>
    <row r="1518">
      <c r="A1518" s="2" t="n">
        <v>46027</v>
      </c>
      <c r="B1518" s="8" t="n">
        <v>3257.09</v>
      </c>
      <c r="C1518" s="8" t="n">
        <v>130.0914</v>
      </c>
      <c r="D1518" s="8" t="n">
        <v>0.35</v>
      </c>
      <c r="E1518">
        <f>A1518-A1517</f>
        <v/>
      </c>
      <c r="F1518" s="4">
        <f>ROUND(B1518/B1517-1,8)</f>
        <v/>
      </c>
      <c r="G1518" s="4">
        <f>ROUND(C1518/C1517-1,8)</f>
        <v/>
      </c>
      <c r="H1518" s="4">
        <f>ROUND(D1518/100/(DATE(YEAR(A1518)+1,1,1)-DATE(YEAR(A1518),1,1))*E1518,8)</f>
        <v/>
      </c>
      <c r="I1518" s="4">
        <f>ROUND(I1517*(1+F1518),8)</f>
        <v/>
      </c>
      <c r="J1518" s="4">
        <f>ROUND(J1517*(1+G1518),8)</f>
        <v/>
      </c>
      <c r="K1518" s="4">
        <f>ROUND(K1517+H1518,8)</f>
        <v/>
      </c>
      <c r="L1518" s="4">
        <f>ROUND(0.9*F1518+0.05*G1518+0.05*H1518,8)</f>
        <v/>
      </c>
    </row>
    <row r="1519">
      <c r="A1519" s="2" t="n">
        <v>46028</v>
      </c>
      <c r="B1519" s="8" t="n">
        <v>3296.8</v>
      </c>
      <c r="C1519" s="8" t="n">
        <v>129.9796</v>
      </c>
      <c r="D1519" s="8" t="n">
        <v>0.35</v>
      </c>
      <c r="E1519">
        <f>A1519-A1518</f>
        <v/>
      </c>
      <c r="F1519" s="4">
        <f>ROUND(B1519/B1518-1,8)</f>
        <v/>
      </c>
      <c r="G1519" s="4">
        <f>ROUND(C1519/C1518-1,8)</f>
        <v/>
      </c>
      <c r="H1519" s="4">
        <f>ROUND(D1519/100/(DATE(YEAR(A1519)+1,1,1)-DATE(YEAR(A1519),1,1))*E1519,8)</f>
        <v/>
      </c>
      <c r="I1519" s="4">
        <f>ROUND(I1518*(1+F1519),8)</f>
        <v/>
      </c>
      <c r="J1519" s="4">
        <f>ROUND(J1518*(1+G1519),8)</f>
        <v/>
      </c>
      <c r="K1519" s="4">
        <f>ROUND(K1518+H1519,8)</f>
        <v/>
      </c>
      <c r="L1519" s="4">
        <f>ROUND(0.9*F1519+0.05*G1519+0.05*H1519,8)</f>
        <v/>
      </c>
    </row>
    <row r="1520">
      <c r="A1520" s="2" t="n">
        <v>46029</v>
      </c>
      <c r="B1520" s="8" t="n">
        <v>3313.92</v>
      </c>
      <c r="C1520" s="8" t="n">
        <v>129.8973</v>
      </c>
      <c r="D1520" s="8" t="n">
        <v>0.35</v>
      </c>
      <c r="E1520">
        <f>A1520-A1519</f>
        <v/>
      </c>
      <c r="F1520" s="4">
        <f>ROUND(B1520/B1519-1,8)</f>
        <v/>
      </c>
      <c r="G1520" s="4">
        <f>ROUND(C1520/C1519-1,8)</f>
        <v/>
      </c>
      <c r="H1520" s="4">
        <f>ROUND(D1520/100/(DATE(YEAR(A1520)+1,1,1)-DATE(YEAR(A1520),1,1))*E1520,8)</f>
        <v/>
      </c>
      <c r="I1520" s="4">
        <f>ROUND(I1519*(1+F1520),8)</f>
        <v/>
      </c>
      <c r="J1520" s="4">
        <f>ROUND(J1519*(1+G1520),8)</f>
        <v/>
      </c>
      <c r="K1520" s="4">
        <f>ROUND(K1519+H1520,8)</f>
        <v/>
      </c>
      <c r="L1520" s="4">
        <f>ROUND(0.9*F1520+0.05*G1520+0.05*H1520,8)</f>
        <v/>
      </c>
    </row>
    <row r="1521">
      <c r="A1521" s="2" t="n">
        <v>46030</v>
      </c>
      <c r="B1521" s="8" t="n">
        <v>3356.89</v>
      </c>
      <c r="C1521" s="8" t="n">
        <v>129.9356</v>
      </c>
      <c r="D1521" s="8" t="n">
        <v>0.35</v>
      </c>
      <c r="E1521">
        <f>A1521-A1520</f>
        <v/>
      </c>
      <c r="F1521" s="4">
        <f>ROUND(B1521/B1520-1,8)</f>
        <v/>
      </c>
      <c r="G1521" s="4">
        <f>ROUND(C1521/C1520-1,8)</f>
        <v/>
      </c>
      <c r="H1521" s="4">
        <f>ROUND(D1521/100/(DATE(YEAR(A1521)+1,1,1)-DATE(YEAR(A1521),1,1))*E1521,8)</f>
        <v/>
      </c>
      <c r="I1521" s="4">
        <f>ROUND(I1520*(1+F1521),8)</f>
        <v/>
      </c>
      <c r="J1521" s="4">
        <f>ROUND(J1520*(1+G1521),8)</f>
        <v/>
      </c>
      <c r="K1521" s="4">
        <f>ROUND(K1520+H1521,8)</f>
        <v/>
      </c>
      <c r="L1521" s="4">
        <f>ROUND(0.9*F1521+0.05*G1521+0.05*H1521,8)</f>
        <v/>
      </c>
    </row>
    <row r="1522">
      <c r="A1522" s="2" t="n">
        <v>46031</v>
      </c>
      <c r="B1522" s="8" t="n">
        <v>3412.84</v>
      </c>
      <c r="C1522" s="8" t="n">
        <v>129.9751</v>
      </c>
      <c r="D1522" s="8" t="n">
        <v>0.35</v>
      </c>
      <c r="E1522">
        <f>A1522-A1521</f>
        <v/>
      </c>
      <c r="F1522" s="4">
        <f>ROUND(B1522/B1521-1,8)</f>
        <v/>
      </c>
      <c r="G1522" s="4">
        <f>ROUND(C1522/C1521-1,8)</f>
        <v/>
      </c>
      <c r="H1522" s="4">
        <f>ROUND(D1522/100/(DATE(YEAR(A1522)+1,1,1)-DATE(YEAR(A1522),1,1))*E1522,8)</f>
        <v/>
      </c>
      <c r="I1522" s="4">
        <f>ROUND(I1521*(1+F1522),8)</f>
        <v/>
      </c>
      <c r="J1522" s="4">
        <f>ROUND(J1521*(1+G1522),8)</f>
        <v/>
      </c>
      <c r="K1522" s="4">
        <f>ROUND(K1521+H1522,8)</f>
        <v/>
      </c>
      <c r="L1522" s="4">
        <f>ROUND(0.9*F1522+0.05*G1522+0.05*H1522,8)</f>
        <v/>
      </c>
    </row>
    <row r="1523">
      <c r="A1523" s="2" t="n">
        <v>46034</v>
      </c>
      <c r="B1523" s="8" t="n">
        <v>3507.11</v>
      </c>
      <c r="C1523" s="8" t="n">
        <v>130.0335</v>
      </c>
      <c r="D1523" s="8" t="n">
        <v>0.35</v>
      </c>
      <c r="E1523">
        <f>A1523-A1522</f>
        <v/>
      </c>
      <c r="F1523" s="4">
        <f>ROUND(B1523/B1522-1,8)</f>
        <v/>
      </c>
      <c r="G1523" s="4">
        <f>ROUND(C1523/C1522-1,8)</f>
        <v/>
      </c>
      <c r="H1523" s="4">
        <f>ROUND(D1523/100/(DATE(YEAR(A1523)+1,1,1)-DATE(YEAR(A1523),1,1))*E1523,8)</f>
        <v/>
      </c>
      <c r="I1523" s="4">
        <f>ROUND(I1522*(1+F1523),8)</f>
        <v/>
      </c>
      <c r="J1523" s="4">
        <f>ROUND(J1522*(1+G1523),8)</f>
        <v/>
      </c>
      <c r="K1523" s="4">
        <f>ROUND(K1522+H1523,8)</f>
        <v/>
      </c>
      <c r="L1523" s="4">
        <f>ROUND(0.9*F1523+0.05*G1523+0.05*H1523,8)</f>
        <v/>
      </c>
    </row>
    <row r="1524">
      <c r="A1524" s="2" t="n">
        <v>46035</v>
      </c>
      <c r="B1524" s="8" t="n">
        <v>3444.31</v>
      </c>
      <c r="C1524" s="8" t="n">
        <v>130.0776</v>
      </c>
      <c r="D1524" s="8" t="n">
        <v>0.35</v>
      </c>
      <c r="E1524">
        <f>A1524-A1523</f>
        <v/>
      </c>
      <c r="F1524" s="4">
        <f>ROUND(B1524/B1523-1,8)</f>
        <v/>
      </c>
      <c r="G1524" s="4">
        <f>ROUND(C1524/C1523-1,8)</f>
        <v/>
      </c>
      <c r="H1524" s="4">
        <f>ROUND(D1524/100/(DATE(YEAR(A1524)+1,1,1)-DATE(YEAR(A1524),1,1))*E1524,8)</f>
        <v/>
      </c>
      <c r="I1524" s="4">
        <f>ROUND(I1523*(1+F1524),8)</f>
        <v/>
      </c>
      <c r="J1524" s="4">
        <f>ROUND(J1523*(1+G1524),8)</f>
        <v/>
      </c>
      <c r="K1524" s="4">
        <f>ROUND(K1523+H1524,8)</f>
        <v/>
      </c>
      <c r="L1524" s="4">
        <f>ROUND(0.9*F1524+0.05*G1524+0.05*H1524,8)</f>
        <v/>
      </c>
    </row>
    <row r="1525">
      <c r="A1525" s="2" t="n">
        <v>46036</v>
      </c>
      <c r="B1525" s="8" t="n">
        <v>3477.36</v>
      </c>
      <c r="C1525" s="8" t="n">
        <v>130.0902</v>
      </c>
      <c r="D1525" s="8" t="n">
        <v>0.35</v>
      </c>
      <c r="E1525">
        <f>A1525-A1524</f>
        <v/>
      </c>
      <c r="F1525" s="4">
        <f>ROUND(B1525/B1524-1,8)</f>
        <v/>
      </c>
      <c r="G1525" s="4">
        <f>ROUND(C1525/C1524-1,8)</f>
        <v/>
      </c>
      <c r="H1525" s="4">
        <f>ROUND(D1525/100/(DATE(YEAR(A1525)+1,1,1)-DATE(YEAR(A1525),1,1))*E1525,8)</f>
        <v/>
      </c>
      <c r="I1525" s="4">
        <f>ROUND(I1524*(1+F1525),8)</f>
        <v/>
      </c>
      <c r="J1525" s="4">
        <f>ROUND(J1524*(1+G1525),8)</f>
        <v/>
      </c>
      <c r="K1525" s="4">
        <f>ROUND(K1524+H1525,8)</f>
        <v/>
      </c>
      <c r="L1525" s="4">
        <f>ROUND(0.9*F1525+0.05*G1525+0.05*H1525,8)</f>
        <v/>
      </c>
    </row>
    <row r="1526">
      <c r="A1526" s="2" t="n">
        <v>46037</v>
      </c>
      <c r="B1526" s="8" t="n">
        <v>3443.47</v>
      </c>
      <c r="C1526" s="8" t="n">
        <v>130.1225</v>
      </c>
      <c r="D1526" s="8" t="n">
        <v>0.35</v>
      </c>
      <c r="E1526">
        <f>A1526-A1525</f>
        <v/>
      </c>
      <c r="F1526" s="4">
        <f>ROUND(B1526/B1525-1,8)</f>
        <v/>
      </c>
      <c r="G1526" s="4">
        <f>ROUND(C1526/C1525-1,8)</f>
        <v/>
      </c>
      <c r="H1526" s="4">
        <f>ROUND(D1526/100/(DATE(YEAR(A1526)+1,1,1)-DATE(YEAR(A1526),1,1))*E1526,8)</f>
        <v/>
      </c>
      <c r="I1526" s="4">
        <f>ROUND(I1525*(1+F1526),8)</f>
        <v/>
      </c>
      <c r="J1526" s="4">
        <f>ROUND(J1525*(1+G1526),8)</f>
        <v/>
      </c>
      <c r="K1526" s="4">
        <f>ROUND(K1525+H1526,8)</f>
        <v/>
      </c>
      <c r="L1526" s="4">
        <f>ROUND(0.9*F1526+0.05*G1526+0.05*H1526,8)</f>
        <v/>
      </c>
    </row>
    <row r="1527">
      <c r="A1527" s="2" t="n">
        <v>46038</v>
      </c>
      <c r="B1527" s="8" t="n">
        <v>3445.07</v>
      </c>
      <c r="C1527" s="8" t="n">
        <v>130.1553</v>
      </c>
      <c r="D1527" s="8" t="n">
        <v>0.35</v>
      </c>
      <c r="E1527">
        <f>A1527-A1526</f>
        <v/>
      </c>
      <c r="F1527" s="4">
        <f>ROUND(B1527/B1526-1,8)</f>
        <v/>
      </c>
      <c r="G1527" s="4">
        <f>ROUND(C1527/C1526-1,8)</f>
        <v/>
      </c>
      <c r="H1527" s="4">
        <f>ROUND(D1527/100/(DATE(YEAR(A1527)+1,1,1)-DATE(YEAR(A1527),1,1))*E1527,8)</f>
        <v/>
      </c>
      <c r="I1527" s="4">
        <f>ROUND(I1526*(1+F1527),8)</f>
        <v/>
      </c>
      <c r="J1527" s="4">
        <f>ROUND(J1526*(1+G1527),8)</f>
        <v/>
      </c>
      <c r="K1527" s="4">
        <f>ROUND(K1526+H1527,8)</f>
        <v/>
      </c>
      <c r="L1527" s="4">
        <f>ROUND(0.9*F1527+0.05*G1527+0.05*H1527,8)</f>
        <v/>
      </c>
    </row>
    <row r="1528">
      <c r="A1528" s="2" t="n">
        <v>46041</v>
      </c>
      <c r="B1528" s="8" t="n">
        <v>3484.43</v>
      </c>
      <c r="C1528" s="8" t="n">
        <v>130.1716</v>
      </c>
      <c r="D1528" s="8" t="n">
        <v>0.35</v>
      </c>
      <c r="E1528">
        <f>A1528-A1527</f>
        <v/>
      </c>
      <c r="F1528" s="4">
        <f>ROUND(B1528/B1527-1,8)</f>
        <v/>
      </c>
      <c r="G1528" s="4">
        <f>ROUND(C1528/C1527-1,8)</f>
        <v/>
      </c>
      <c r="H1528" s="4">
        <f>ROUND(D1528/100/(DATE(YEAR(A1528)+1,1,1)-DATE(YEAR(A1528),1,1))*E1528,8)</f>
        <v/>
      </c>
      <c r="I1528" s="4">
        <f>ROUND(I1527*(1+F1528),8)</f>
        <v/>
      </c>
      <c r="J1528" s="4">
        <f>ROUND(J1527*(1+G1528),8)</f>
        <v/>
      </c>
      <c r="K1528" s="4">
        <f>ROUND(K1527+H1528,8)</f>
        <v/>
      </c>
      <c r="L1528" s="4">
        <f>ROUND(0.9*F1528+0.05*G1528+0.05*H1528,8)</f>
        <v/>
      </c>
    </row>
    <row r="1529">
      <c r="A1529" s="2" t="n">
        <v>46042</v>
      </c>
      <c r="B1529" s="8" t="n">
        <v>3449.82</v>
      </c>
      <c r="C1529" s="8" t="n">
        <v>130.2482</v>
      </c>
      <c r="D1529" s="8" t="n">
        <v>0.35</v>
      </c>
      <c r="E1529">
        <f>A1529-A1528</f>
        <v/>
      </c>
      <c r="F1529" s="4">
        <f>ROUND(B1529/B1528-1,8)</f>
        <v/>
      </c>
      <c r="G1529" s="4">
        <f>ROUND(C1529/C1528-1,8)</f>
        <v/>
      </c>
      <c r="H1529" s="4">
        <f>ROUND(D1529/100/(DATE(YEAR(A1529)+1,1,1)-DATE(YEAR(A1529),1,1))*E1529,8)</f>
        <v/>
      </c>
      <c r="I1529" s="4">
        <f>ROUND(I1528*(1+F1529),8)</f>
        <v/>
      </c>
      <c r="J1529" s="4">
        <f>ROUND(J1528*(1+G1529),8)</f>
        <v/>
      </c>
      <c r="K1529" s="4">
        <f>ROUND(K1528+H1529,8)</f>
        <v/>
      </c>
      <c r="L1529" s="4">
        <f>ROUND(0.9*F1529+0.05*G1529+0.05*H1529,8)</f>
        <v/>
      </c>
    </row>
    <row r="1530">
      <c r="A1530" s="2" t="n">
        <v>46043</v>
      </c>
      <c r="B1530" s="8" t="n">
        <v>3484.18</v>
      </c>
      <c r="C1530" s="8" t="n">
        <v>130.3519</v>
      </c>
      <c r="D1530" s="8" t="n">
        <v>0.35</v>
      </c>
      <c r="E1530">
        <f>A1530-A1529</f>
        <v/>
      </c>
      <c r="F1530" s="4">
        <f>ROUND(B1530/B1529-1,8)</f>
        <v/>
      </c>
      <c r="G1530" s="4">
        <f>ROUND(C1530/C1529-1,8)</f>
        <v/>
      </c>
      <c r="H1530" s="4">
        <f>ROUND(D1530/100/(DATE(YEAR(A1530)+1,1,1)-DATE(YEAR(A1530),1,1))*E1530,8)</f>
        <v/>
      </c>
      <c r="I1530" s="4">
        <f>ROUND(I1529*(1+F1530),8)</f>
        <v/>
      </c>
      <c r="J1530" s="4">
        <f>ROUND(J1529*(1+G1530),8)</f>
        <v/>
      </c>
      <c r="K1530" s="4">
        <f>ROUND(K1529+H1530,8)</f>
        <v/>
      </c>
      <c r="L1530" s="4">
        <f>ROUND(0.9*F1530+0.05*G1530+0.05*H1530,8)</f>
        <v/>
      </c>
    </row>
    <row r="1531">
      <c r="A1531" s="2" t="n">
        <v>46044</v>
      </c>
      <c r="B1531" s="8" t="n">
        <v>3519.06</v>
      </c>
      <c r="C1531" s="8" t="n">
        <v>130.3745</v>
      </c>
      <c r="D1531" s="8" t="n">
        <v>0.35</v>
      </c>
      <c r="E1531">
        <f>A1531-A1530</f>
        <v/>
      </c>
      <c r="F1531" s="4">
        <f>ROUND(B1531/B1530-1,8)</f>
        <v/>
      </c>
      <c r="G1531" s="4">
        <f>ROUND(C1531/C1530-1,8)</f>
        <v/>
      </c>
      <c r="H1531" s="4">
        <f>ROUND(D1531/100/(DATE(YEAR(A1531)+1,1,1)-DATE(YEAR(A1531),1,1))*E1531,8)</f>
        <v/>
      </c>
      <c r="I1531" s="4">
        <f>ROUND(I1530*(1+F1531),8)</f>
        <v/>
      </c>
      <c r="J1531" s="4">
        <f>ROUND(J1530*(1+G1531),8)</f>
        <v/>
      </c>
      <c r="K1531" s="4">
        <f>ROUND(K1530+H1531,8)</f>
        <v/>
      </c>
      <c r="L1531" s="4">
        <f>ROUND(0.9*F1531+0.05*G1531+0.05*H1531,8)</f>
        <v/>
      </c>
    </row>
    <row r="1532">
      <c r="A1532" s="2" t="n">
        <v>46045</v>
      </c>
      <c r="B1532" s="8" t="n">
        <v>3584.4</v>
      </c>
      <c r="C1532" s="8" t="n">
        <v>130.4362</v>
      </c>
      <c r="D1532" s="8" t="n">
        <v>0.35</v>
      </c>
      <c r="E1532">
        <f>A1532-A1531</f>
        <v/>
      </c>
      <c r="F1532" s="4">
        <f>ROUND(B1532/B1531-1,8)</f>
        <v/>
      </c>
      <c r="G1532" s="4">
        <f>ROUND(C1532/C1531-1,8)</f>
        <v/>
      </c>
      <c r="H1532" s="4">
        <f>ROUND(D1532/100/(DATE(YEAR(A1532)+1,1,1)-DATE(YEAR(A1532),1,1))*E1532,8)</f>
        <v/>
      </c>
      <c r="I1532" s="4">
        <f>ROUND(I1531*(1+F1532),8)</f>
        <v/>
      </c>
      <c r="J1532" s="4">
        <f>ROUND(J1531*(1+G1532),8)</f>
        <v/>
      </c>
      <c r="K1532" s="4">
        <f>ROUND(K1531+H1532,8)</f>
        <v/>
      </c>
      <c r="L1532" s="4">
        <f>ROUND(0.9*F1532+0.05*G1532+0.05*H1532,8)</f>
        <v/>
      </c>
    </row>
    <row r="1533">
      <c r="A1533" s="2" t="n">
        <v>46048</v>
      </c>
      <c r="B1533" s="8" t="n">
        <v>3527.63</v>
      </c>
      <c r="C1533" s="8" t="n">
        <v>130.4436</v>
      </c>
      <c r="D1533" s="8" t="n">
        <v>0.35</v>
      </c>
      <c r="E1533">
        <f>A1533-A1532</f>
        <v/>
      </c>
      <c r="F1533" s="4">
        <f>ROUND(B1533/B1532-1,8)</f>
        <v/>
      </c>
      <c r="G1533" s="4">
        <f>ROUND(C1533/C1532-1,8)</f>
        <v/>
      </c>
      <c r="H1533" s="4">
        <f>ROUND(D1533/100/(DATE(YEAR(A1533)+1,1,1)-DATE(YEAR(A1533),1,1))*E1533,8)</f>
        <v/>
      </c>
      <c r="I1533" s="4">
        <f>ROUND(I1532*(1+F1533),8)</f>
        <v/>
      </c>
      <c r="J1533" s="4">
        <f>ROUND(J1532*(1+G1533),8)</f>
        <v/>
      </c>
      <c r="K1533" s="4">
        <f>ROUND(K1532+H1533,8)</f>
        <v/>
      </c>
      <c r="L1533" s="4">
        <f>ROUND(0.9*F1533+0.05*G1533+0.05*H1533,8)</f>
        <v/>
      </c>
    </row>
    <row r="1534">
      <c r="A1534" s="2" t="n">
        <v>46049</v>
      </c>
      <c r="B1534" s="8" t="n">
        <v>3537.21</v>
      </c>
      <c r="C1534" s="8" t="n">
        <v>130.4061</v>
      </c>
      <c r="D1534" s="8" t="n">
        <v>0.35</v>
      </c>
      <c r="E1534">
        <f>A1534-A1533</f>
        <v/>
      </c>
      <c r="F1534" s="4">
        <f>ROUND(B1534/B1533-1,8)</f>
        <v/>
      </c>
      <c r="G1534" s="4">
        <f>ROUND(C1534/C1533-1,8)</f>
        <v/>
      </c>
      <c r="H1534" s="4">
        <f>ROUND(D1534/100/(DATE(YEAR(A1534)+1,1,1)-DATE(YEAR(A1534),1,1))*E1534,8)</f>
        <v/>
      </c>
      <c r="I1534" s="4">
        <f>ROUND(I1533*(1+F1534),8)</f>
        <v/>
      </c>
      <c r="J1534" s="4">
        <f>ROUND(J1533*(1+G1534),8)</f>
        <v/>
      </c>
      <c r="K1534" s="4">
        <f>ROUND(K1533+H1534,8)</f>
        <v/>
      </c>
      <c r="L1534" s="4">
        <f>ROUND(0.9*F1534+0.05*G1534+0.05*H1534,8)</f>
        <v/>
      </c>
    </row>
    <row r="1535">
      <c r="A1535" s="2" t="n">
        <v>46050</v>
      </c>
      <c r="B1535" s="8" t="n">
        <v>3511.37</v>
      </c>
      <c r="C1535" s="8" t="n">
        <v>130.4356</v>
      </c>
      <c r="D1535" s="8" t="n">
        <v>0.35</v>
      </c>
      <c r="E1535">
        <f>A1535-A1534</f>
        <v/>
      </c>
      <c r="F1535" s="4">
        <f>ROUND(B1535/B1534-1,8)</f>
        <v/>
      </c>
      <c r="G1535" s="4">
        <f>ROUND(C1535/C1534-1,8)</f>
        <v/>
      </c>
      <c r="H1535" s="4">
        <f>ROUND(D1535/100/(DATE(YEAR(A1535)+1,1,1)-DATE(YEAR(A1535),1,1))*E1535,8)</f>
        <v/>
      </c>
      <c r="I1535" s="4">
        <f>ROUND(I1534*(1+F1535),8)</f>
        <v/>
      </c>
      <c r="J1535" s="4">
        <f>ROUND(J1534*(1+G1535),8)</f>
        <v/>
      </c>
      <c r="K1535" s="4">
        <f>ROUND(K1534+H1535,8)</f>
        <v/>
      </c>
      <c r="L1535" s="4">
        <f>ROUND(0.9*F1535+0.05*G1535+0.05*H1535,8)</f>
        <v/>
      </c>
    </row>
    <row r="1536">
      <c r="A1536" s="2" t="n">
        <v>46051</v>
      </c>
      <c r="B1536" s="8" t="n">
        <v>3468.81</v>
      </c>
      <c r="C1536" s="8" t="n">
        <v>130.451</v>
      </c>
      <c r="D1536" s="8" t="n">
        <v>0.35</v>
      </c>
      <c r="E1536">
        <f>A1536-A1535</f>
        <v/>
      </c>
      <c r="F1536" s="4">
        <f>ROUND(B1536/B1535-1,8)</f>
        <v/>
      </c>
      <c r="G1536" s="4">
        <f>ROUND(C1536/C1535-1,8)</f>
        <v/>
      </c>
      <c r="H1536" s="4">
        <f>ROUND(D1536/100/(DATE(YEAR(A1536)+1,1,1)-DATE(YEAR(A1536),1,1))*E1536,8)</f>
        <v/>
      </c>
      <c r="I1536" s="4">
        <f>ROUND(I1535*(1+F1536),8)</f>
        <v/>
      </c>
      <c r="J1536" s="4">
        <f>ROUND(J1535*(1+G1536),8)</f>
        <v/>
      </c>
      <c r="K1536" s="4">
        <f>ROUND(K1535+H1536,8)</f>
        <v/>
      </c>
      <c r="L1536" s="4">
        <f>ROUND(0.9*F1536+0.05*G1536+0.05*H1536,8)</f>
        <v/>
      </c>
    </row>
    <row r="1537">
      <c r="A1537" s="2" t="n">
        <v>46052</v>
      </c>
      <c r="B1537" s="8" t="n">
        <v>3464.69</v>
      </c>
      <c r="C1537" s="8" t="n">
        <v>130.4335</v>
      </c>
      <c r="D1537" s="8" t="n">
        <v>0.35</v>
      </c>
      <c r="E1537">
        <f>A1537-A1536</f>
        <v/>
      </c>
      <c r="F1537" s="4">
        <f>ROUND(B1537/B1536-1,8)</f>
        <v/>
      </c>
      <c r="G1537" s="4">
        <f>ROUND(C1537/C1536-1,8)</f>
        <v/>
      </c>
      <c r="H1537" s="4">
        <f>ROUND(D1537/100/(DATE(YEAR(A1537)+1,1,1)-DATE(YEAR(A1537),1,1))*E1537,8)</f>
        <v/>
      </c>
      <c r="I1537" s="4">
        <f>ROUND(I1536*(1+F1537),8)</f>
        <v/>
      </c>
      <c r="J1537" s="4">
        <f>ROUND(J1536*(1+G1537),8)</f>
        <v/>
      </c>
      <c r="K1537" s="4">
        <f>ROUND(K1536+H1537,8)</f>
        <v/>
      </c>
      <c r="L1537" s="4">
        <f>ROUND(0.9*F1537+0.05*G1537+0.05*H1537,8)</f>
        <v/>
      </c>
    </row>
    <row r="1538">
      <c r="A1538" s="2" t="n">
        <v>46055</v>
      </c>
      <c r="B1538" s="8" t="n">
        <v>3381.36</v>
      </c>
      <c r="C1538" s="8" t="n">
        <v>130.4397</v>
      </c>
      <c r="D1538" s="8" t="n">
        <v>0.35</v>
      </c>
      <c r="E1538">
        <f>A1538-A1537</f>
        <v/>
      </c>
      <c r="F1538" s="4">
        <f>ROUND(B1538/B1537-1,8)</f>
        <v/>
      </c>
      <c r="G1538" s="4">
        <f>ROUND(C1538/C1537-1,8)</f>
        <v/>
      </c>
      <c r="H1538" s="4">
        <f>ROUND(D1538/100/(DATE(YEAR(A1538)+1,1,1)-DATE(YEAR(A1538),1,1))*E1538,8)</f>
        <v/>
      </c>
      <c r="I1538" s="4">
        <f>ROUND(I1537*(1+F1538),8)</f>
        <v/>
      </c>
      <c r="J1538" s="4">
        <f>ROUND(J1537*(1+G1538),8)</f>
        <v/>
      </c>
      <c r="K1538" s="4">
        <f>ROUND(K1537+H1538,8)</f>
        <v/>
      </c>
      <c r="L1538" s="4">
        <f>ROUND(0.9*F1538+0.05*G1538+0.05*H1538,8)</f>
        <v/>
      </c>
    </row>
    <row r="1539">
      <c r="A1539" s="2" t="n">
        <v>46056</v>
      </c>
      <c r="B1539" s="8" t="n">
        <v>3476.93</v>
      </c>
      <c r="C1539" s="8" t="n">
        <v>130.4088</v>
      </c>
      <c r="D1539" s="8" t="n">
        <v>0.35</v>
      </c>
      <c r="E1539">
        <f>A1539-A1538</f>
        <v/>
      </c>
      <c r="F1539" s="4">
        <f>ROUND(B1539/B1538-1,8)</f>
        <v/>
      </c>
      <c r="G1539" s="4">
        <f>ROUND(C1539/C1538-1,8)</f>
        <v/>
      </c>
      <c r="H1539" s="4">
        <f>ROUND(D1539/100/(DATE(YEAR(A1539)+1,1,1)-DATE(YEAR(A1539),1,1))*E1539,8)</f>
        <v/>
      </c>
      <c r="I1539" s="4">
        <f>ROUND(I1538*(1+F1539),8)</f>
        <v/>
      </c>
      <c r="J1539" s="4">
        <f>ROUND(J1538*(1+G1539),8)</f>
        <v/>
      </c>
      <c r="K1539" s="4">
        <f>ROUND(K1538+H1539,8)</f>
        <v/>
      </c>
      <c r="L1539" s="4">
        <f>ROUND(0.9*F1539+0.05*G1539+0.05*H1539,8)</f>
        <v/>
      </c>
    </row>
    <row r="1540">
      <c r="A1540" s="2" t="n">
        <v>46057</v>
      </c>
      <c r="B1540" s="8" t="n">
        <v>3480.83</v>
      </c>
      <c r="C1540" s="8" t="n">
        <v>130.3968</v>
      </c>
      <c r="D1540" s="8" t="n">
        <v>0.35</v>
      </c>
      <c r="E1540">
        <f>A1540-A1539</f>
        <v/>
      </c>
      <c r="F1540" s="4">
        <f>ROUND(B1540/B1539-1,8)</f>
        <v/>
      </c>
      <c r="G1540" s="4">
        <f>ROUND(C1540/C1539-1,8)</f>
        <v/>
      </c>
      <c r="H1540" s="4">
        <f>ROUND(D1540/100/(DATE(YEAR(A1540)+1,1,1)-DATE(YEAR(A1540),1,1))*E1540,8)</f>
        <v/>
      </c>
      <c r="I1540" s="4">
        <f>ROUND(I1539*(1+F1540),8)</f>
        <v/>
      </c>
      <c r="J1540" s="4">
        <f>ROUND(J1539*(1+G1540),8)</f>
        <v/>
      </c>
      <c r="K1540" s="4">
        <f>ROUND(K1539+H1540,8)</f>
        <v/>
      </c>
      <c r="L1540" s="4">
        <f>ROUND(0.9*F1540+0.05*G1540+0.05*H1540,8)</f>
        <v/>
      </c>
    </row>
    <row r="1541">
      <c r="A1541" s="2" t="n">
        <v>46058</v>
      </c>
      <c r="B1541" s="8" t="n">
        <v>3438.21</v>
      </c>
      <c r="C1541" s="8" t="n">
        <v>130.4243</v>
      </c>
      <c r="D1541" s="8" t="n">
        <v>0.35</v>
      </c>
      <c r="E1541">
        <f>A1541-A1540</f>
        <v/>
      </c>
      <c r="F1541" s="4">
        <f>ROUND(B1541/B1540-1,8)</f>
        <v/>
      </c>
      <c r="G1541" s="4">
        <f>ROUND(C1541/C1540-1,8)</f>
        <v/>
      </c>
      <c r="H1541" s="4">
        <f>ROUND(D1541/100/(DATE(YEAR(A1541)+1,1,1)-DATE(YEAR(A1541),1,1))*E1541,8)</f>
        <v/>
      </c>
      <c r="I1541" s="4">
        <f>ROUND(I1540*(1+F1541),8)</f>
        <v/>
      </c>
      <c r="J1541" s="4">
        <f>ROUND(J1540*(1+G1541),8)</f>
        <v/>
      </c>
      <c r="K1541" s="4">
        <f>ROUND(K1540+H1541,8)</f>
        <v/>
      </c>
      <c r="L1541" s="4">
        <f>ROUND(0.9*F1541+0.05*G1541+0.05*H1541,8)</f>
        <v/>
      </c>
    </row>
    <row r="1542">
      <c r="A1542" s="2" t="n">
        <v>46059</v>
      </c>
      <c r="B1542" s="8" t="n">
        <v>3452.78</v>
      </c>
      <c r="C1542" s="8" t="n">
        <v>130.5039</v>
      </c>
      <c r="D1542" s="8" t="n">
        <v>0.35</v>
      </c>
      <c r="E1542">
        <f>A1542-A1541</f>
        <v/>
      </c>
      <c r="F1542" s="4">
        <f>ROUND(B1542/B1541-1,8)</f>
        <v/>
      </c>
      <c r="G1542" s="4">
        <f>ROUND(C1542/C1541-1,8)</f>
        <v/>
      </c>
      <c r="H1542" s="4">
        <f>ROUND(D1542/100/(DATE(YEAR(A1542)+1,1,1)-DATE(YEAR(A1542),1,1))*E1542,8)</f>
        <v/>
      </c>
      <c r="I1542" s="4">
        <f>ROUND(I1541*(1+F1542),8)</f>
        <v/>
      </c>
      <c r="J1542" s="4">
        <f>ROUND(J1541*(1+G1542),8)</f>
        <v/>
      </c>
      <c r="K1542" s="4">
        <f>ROUND(K1541+H1542,8)</f>
        <v/>
      </c>
      <c r="L1542" s="4">
        <f>ROUND(0.9*F1542+0.05*G1542+0.05*H1542,8)</f>
        <v/>
      </c>
    </row>
    <row r="1543">
      <c r="A1543" s="2" t="n">
        <v>46062</v>
      </c>
      <c r="B1543" s="8" t="n">
        <v>3525.83</v>
      </c>
      <c r="C1543" s="8" t="n">
        <v>130.5531</v>
      </c>
      <c r="D1543" s="8" t="n">
        <v>0.35</v>
      </c>
      <c r="E1543">
        <f>A1543-A1542</f>
        <v/>
      </c>
      <c r="F1543" s="4">
        <f>ROUND(B1543/B1542-1,8)</f>
        <v/>
      </c>
      <c r="G1543" s="4">
        <f>ROUND(C1543/C1542-1,8)</f>
        <v/>
      </c>
      <c r="H1543" s="4">
        <f>ROUND(D1543/100/(DATE(YEAR(A1543)+1,1,1)-DATE(YEAR(A1543),1,1))*E1543,8)</f>
        <v/>
      </c>
      <c r="I1543" s="4">
        <f>ROUND(I1542*(1+F1543),8)</f>
        <v/>
      </c>
      <c r="J1543" s="4">
        <f>ROUND(J1542*(1+G1543),8)</f>
        <v/>
      </c>
      <c r="K1543" s="4">
        <f>ROUND(K1542+H1543,8)</f>
        <v/>
      </c>
      <c r="L1543" s="4">
        <f>ROUND(0.9*F1543+0.05*G1543+0.05*H1543,8)</f>
        <v/>
      </c>
    </row>
    <row r="1544">
      <c r="A1544" s="2" t="n">
        <v>46063</v>
      </c>
      <c r="B1544" s="8" t="n">
        <v>3522.23</v>
      </c>
      <c r="C1544" s="8" t="n">
        <v>130.5696</v>
      </c>
      <c r="D1544" s="8" t="n">
        <v>0.35</v>
      </c>
      <c r="E1544">
        <f>A1544-A1543</f>
        <v/>
      </c>
      <c r="F1544" s="4">
        <f>ROUND(B1544/B1543-1,8)</f>
        <v/>
      </c>
      <c r="G1544" s="4">
        <f>ROUND(C1544/C1543-1,8)</f>
        <v/>
      </c>
      <c r="H1544" s="4">
        <f>ROUND(D1544/100/(DATE(YEAR(A1544)+1,1,1)-DATE(YEAR(A1544),1,1))*E1544,8)</f>
        <v/>
      </c>
      <c r="I1544" s="4">
        <f>ROUND(I1543*(1+F1544),8)</f>
        <v/>
      </c>
      <c r="J1544" s="4">
        <f>ROUND(J1543*(1+G1544),8)</f>
        <v/>
      </c>
      <c r="K1544" s="4">
        <f>ROUND(K1543+H1544,8)</f>
        <v/>
      </c>
      <c r="L1544" s="4">
        <f>ROUND(0.9*F1544+0.05*G1544+0.05*H1544,8)</f>
        <v/>
      </c>
    </row>
    <row r="1545">
      <c r="A1545" s="2" t="n">
        <v>46064</v>
      </c>
      <c r="B1545" s="8" t="n">
        <v>3506.97</v>
      </c>
      <c r="C1545" s="8" t="n">
        <v>130.6012</v>
      </c>
      <c r="D1545" s="8" t="n">
        <v>0.35</v>
      </c>
      <c r="E1545">
        <f>A1545-A1544</f>
        <v/>
      </c>
      <c r="F1545" s="4">
        <f>ROUND(B1545/B1544-1,8)</f>
        <v/>
      </c>
      <c r="G1545" s="4">
        <f>ROUND(C1545/C1544-1,8)</f>
        <v/>
      </c>
      <c r="H1545" s="4">
        <f>ROUND(D1545/100/(DATE(YEAR(A1545)+1,1,1)-DATE(YEAR(A1545),1,1))*E1545,8)</f>
        <v/>
      </c>
      <c r="I1545" s="4">
        <f>ROUND(I1544*(1+F1545),8)</f>
        <v/>
      </c>
      <c r="J1545" s="4">
        <f>ROUND(J1544*(1+G1545),8)</f>
        <v/>
      </c>
      <c r="K1545" s="4">
        <f>ROUND(K1544+H1545,8)</f>
        <v/>
      </c>
      <c r="L1545" s="4">
        <f>ROUND(0.9*F1545+0.05*G1545+0.05*H1545,8)</f>
        <v/>
      </c>
    </row>
    <row r="1546">
      <c r="A1546" s="2" t="n">
        <v>46065</v>
      </c>
      <c r="B1546" s="8" t="n">
        <v>3516.29</v>
      </c>
      <c r="C1546" s="8" t="n">
        <v>130.6348</v>
      </c>
      <c r="D1546" s="8" t="n">
        <v>0.35</v>
      </c>
      <c r="E1546">
        <f>A1546-A1545</f>
        <v/>
      </c>
      <c r="F1546" s="4">
        <f>ROUND(B1546/B1545-1,8)</f>
        <v/>
      </c>
      <c r="G1546" s="4">
        <f>ROUND(C1546/C1545-1,8)</f>
        <v/>
      </c>
      <c r="H1546" s="4">
        <f>ROUND(D1546/100/(DATE(YEAR(A1546)+1,1,1)-DATE(YEAR(A1546),1,1))*E1546,8)</f>
        <v/>
      </c>
      <c r="I1546" s="4">
        <f>ROUND(I1545*(1+F1546),8)</f>
        <v/>
      </c>
      <c r="J1546" s="4">
        <f>ROUND(J1545*(1+G1546),8)</f>
        <v/>
      </c>
      <c r="K1546" s="4">
        <f>ROUND(K1545+H1546,8)</f>
        <v/>
      </c>
      <c r="L1546" s="4">
        <f>ROUND(0.9*F1546+0.05*G1546+0.05*H1546,8)</f>
        <v/>
      </c>
    </row>
    <row r="1547">
      <c r="A1547" s="2" t="n">
        <v>46066</v>
      </c>
      <c r="B1547" s="8" t="n">
        <v>3493.18</v>
      </c>
      <c r="C1547" s="8" t="n">
        <v>130.6415</v>
      </c>
      <c r="D1547" s="8" t="n">
        <v>0.35</v>
      </c>
      <c r="E1547">
        <f>A1547-A1546</f>
        <v/>
      </c>
      <c r="F1547" s="4">
        <f>ROUND(B1547/B1546-1,8)</f>
        <v/>
      </c>
      <c r="G1547" s="4">
        <f>ROUND(C1547/C1546-1,8)</f>
        <v/>
      </c>
      <c r="H1547" s="4">
        <f>ROUND(D1547/100/(DATE(YEAR(A1547)+1,1,1)-DATE(YEAR(A1547),1,1))*E1547,8)</f>
        <v/>
      </c>
      <c r="I1547" s="4">
        <f>ROUND(I1546*(1+F1547),8)</f>
        <v/>
      </c>
      <c r="J1547" s="4">
        <f>ROUND(J1546*(1+G1547),8)</f>
        <v/>
      </c>
      <c r="K1547" s="4">
        <f>ROUND(K1546+H1547,8)</f>
        <v/>
      </c>
      <c r="L1547" s="4">
        <f>ROUND(0.9*F1547+0.05*G1547+0.05*H1547,8)</f>
        <v/>
      </c>
    </row>
    <row r="1548">
      <c r="A1548" s="2" t="n">
        <v>46077</v>
      </c>
      <c r="B1548" s="8" t="n">
        <v>3536.69</v>
      </c>
      <c r="C1548" s="8" t="n">
        <v>130.6592</v>
      </c>
      <c r="D1548" s="8" t="n">
        <v>0.35</v>
      </c>
      <c r="E1548">
        <f>A1548-A1547</f>
        <v/>
      </c>
      <c r="F1548" s="4">
        <f>ROUND(B1548/B1547-1,8)</f>
        <v/>
      </c>
      <c r="G1548" s="4">
        <f>ROUND(C1548/C1547-1,8)</f>
        <v/>
      </c>
      <c r="H1548" s="4">
        <f>ROUND(D1548/100/(DATE(YEAR(A1548)+1,1,1)-DATE(YEAR(A1548),1,1))*E1548,8)</f>
        <v/>
      </c>
      <c r="I1548" s="4">
        <f>ROUND(I1547*(1+F1548),8)</f>
        <v/>
      </c>
      <c r="J1548" s="4">
        <f>ROUND(J1547*(1+G1548),8)</f>
        <v/>
      </c>
      <c r="K1548" s="4">
        <f>ROUND(K1547+H1548,8)</f>
        <v/>
      </c>
      <c r="L1548" s="4">
        <f>ROUND(0.9*F1548+0.05*G1548+0.05*H1548,8)</f>
        <v/>
      </c>
    </row>
    <row r="1549">
      <c r="A1549" s="2" t="n">
        <v>46078</v>
      </c>
      <c r="B1549" s="8" t="n">
        <v>3573.63</v>
      </c>
      <c r="C1549" s="8" t="n">
        <v>130.5766</v>
      </c>
      <c r="D1549" s="8" t="n">
        <v>0.35</v>
      </c>
      <c r="E1549">
        <f>A1549-A1548</f>
        <v/>
      </c>
      <c r="F1549" s="4">
        <f>ROUND(B1549/B1548-1,8)</f>
        <v/>
      </c>
      <c r="G1549" s="4">
        <f>ROUND(C1549/C1548-1,8)</f>
        <v/>
      </c>
      <c r="H1549" s="4">
        <f>ROUND(D1549/100/(DATE(YEAR(A1549)+1,1,1)-DATE(YEAR(A1549),1,1))*E1549,8)</f>
        <v/>
      </c>
      <c r="I1549" s="4">
        <f>ROUND(I1548*(1+F1549),8)</f>
        <v/>
      </c>
      <c r="J1549" s="4">
        <f>ROUND(J1548*(1+G1549),8)</f>
        <v/>
      </c>
      <c r="K1549" s="4">
        <f>ROUND(K1548+H1549,8)</f>
        <v/>
      </c>
      <c r="L1549" s="4">
        <f>ROUND(0.9*F1549+0.05*G1549+0.05*H1549,8)</f>
        <v/>
      </c>
    </row>
    <row r="1550">
      <c r="A1550" s="2" t="n">
        <v>46079</v>
      </c>
      <c r="B1550" s="8" t="n">
        <v>3601.89</v>
      </c>
      <c r="C1550" s="8" t="n">
        <v>130.4518</v>
      </c>
      <c r="D1550" s="8" t="n">
        <v>0.35</v>
      </c>
      <c r="E1550">
        <f>A1550-A1549</f>
        <v/>
      </c>
      <c r="F1550" s="4">
        <f>ROUND(B1550/B1549-1,8)</f>
        <v/>
      </c>
      <c r="G1550" s="4">
        <f>ROUND(C1550/C1549-1,8)</f>
        <v/>
      </c>
      <c r="H1550" s="4">
        <f>ROUND(D1550/100/(DATE(YEAR(A1550)+1,1,1)-DATE(YEAR(A1550),1,1))*E1550,8)</f>
        <v/>
      </c>
      <c r="I1550" s="4">
        <f>ROUND(I1549*(1+F1550),8)</f>
        <v/>
      </c>
      <c r="J1550" s="4">
        <f>ROUND(J1549*(1+G1550),8)</f>
        <v/>
      </c>
      <c r="K1550" s="4">
        <f>ROUND(K1549+H1550,8)</f>
        <v/>
      </c>
      <c r="L1550" s="4">
        <f>ROUND(0.9*F1550+0.05*G1550+0.05*H1550,8)</f>
        <v/>
      </c>
    </row>
    <row r="1551">
      <c r="A1551" s="2" t="n">
        <v>46080</v>
      </c>
      <c r="B1551" s="8" t="n">
        <v>3630.83</v>
      </c>
      <c r="C1551" s="8" t="n">
        <v>130.4504</v>
      </c>
      <c r="D1551" s="8" t="n">
        <v>0.35</v>
      </c>
      <c r="E1551">
        <f>A1551-A1550</f>
        <v/>
      </c>
      <c r="F1551" s="4">
        <f>ROUND(B1551/B1550-1,8)</f>
        <v/>
      </c>
      <c r="G1551" s="4">
        <f>ROUND(C1551/C1550-1,8)</f>
        <v/>
      </c>
      <c r="H1551" s="4">
        <f>ROUND(D1551/100/(DATE(YEAR(A1551)+1,1,1)-DATE(YEAR(A1551),1,1))*E1551,8)</f>
        <v/>
      </c>
      <c r="I1551" s="4">
        <f>ROUND(I1550*(1+F1551),8)</f>
        <v/>
      </c>
      <c r="J1551" s="4">
        <f>ROUND(J1550*(1+G1551),8)</f>
        <v/>
      </c>
      <c r="K1551" s="4">
        <f>ROUND(K1550+H1551,8)</f>
        <v/>
      </c>
      <c r="L1551" s="4">
        <f>ROUND(0.9*F1551+0.05*G1551+0.05*H1551,8)</f>
        <v/>
      </c>
    </row>
    <row r="1552">
      <c r="A1552" s="2" t="n">
        <v>46083</v>
      </c>
      <c r="B1552" s="8" t="n">
        <v>3570.24</v>
      </c>
      <c r="C1552" s="8" t="n">
        <v>130.5159</v>
      </c>
      <c r="D1552" s="8" t="n">
        <v>0.35</v>
      </c>
      <c r="E1552">
        <f>A1552-A1551</f>
        <v/>
      </c>
      <c r="F1552" s="4">
        <f>ROUND(B1552/B1551-1,8)</f>
        <v/>
      </c>
      <c r="G1552" s="4">
        <f>ROUND(C1552/C1551-1,8)</f>
        <v/>
      </c>
      <c r="H1552" s="4">
        <f>ROUND(D1552/100/(DATE(YEAR(A1552)+1,1,1)-DATE(YEAR(A1552),1,1))*E1552,8)</f>
        <v/>
      </c>
      <c r="I1552" s="4">
        <f>ROUND(I1551*(1+F1552),8)</f>
        <v/>
      </c>
      <c r="J1552" s="4">
        <f>ROUND(J1551*(1+G1552),8)</f>
        <v/>
      </c>
      <c r="K1552" s="4">
        <f>ROUND(K1551+H1552,8)</f>
        <v/>
      </c>
      <c r="L1552" s="4">
        <f>ROUND(0.9*F1552+0.05*G1552+0.05*H1552,8)</f>
        <v/>
      </c>
    </row>
    <row r="1553">
      <c r="A1553" s="2" t="n">
        <v>46084</v>
      </c>
      <c r="B1553" s="8" t="n">
        <v>3421.75</v>
      </c>
      <c r="C1553" s="8" t="n">
        <v>130.5293</v>
      </c>
      <c r="D1553" s="8" t="n">
        <v>0.35</v>
      </c>
      <c r="E1553">
        <f>A1553-A1552</f>
        <v/>
      </c>
      <c r="F1553" s="4">
        <f>ROUND(B1553/B1552-1,8)</f>
        <v/>
      </c>
      <c r="G1553" s="4">
        <f>ROUND(C1553/C1552-1,8)</f>
        <v/>
      </c>
      <c r="H1553" s="4">
        <f>ROUND(D1553/100/(DATE(YEAR(A1553)+1,1,1)-DATE(YEAR(A1553),1,1))*E1553,8)</f>
        <v/>
      </c>
      <c r="I1553" s="4">
        <f>ROUND(I1552*(1+F1553),8)</f>
        <v/>
      </c>
      <c r="J1553" s="4">
        <f>ROUND(J1552*(1+G1553),8)</f>
        <v/>
      </c>
      <c r="K1553" s="4">
        <f>ROUND(K1552+H1553,8)</f>
        <v/>
      </c>
      <c r="L1553" s="4">
        <f>ROUND(0.9*F1553+0.05*G1553+0.05*H1553,8)</f>
        <v/>
      </c>
    </row>
    <row r="1554">
      <c r="A1554" s="2" t="n">
        <v>46085</v>
      </c>
      <c r="B1554" s="8" t="n">
        <v>3419.57</v>
      </c>
      <c r="C1554" s="8" t="n">
        <v>130.5545</v>
      </c>
      <c r="D1554" s="8" t="n">
        <v>0.35</v>
      </c>
      <c r="E1554">
        <f>A1554-A1553</f>
        <v/>
      </c>
      <c r="F1554" s="4">
        <f>ROUND(B1554/B1553-1,8)</f>
        <v/>
      </c>
      <c r="G1554" s="4">
        <f>ROUND(C1554/C1553-1,8)</f>
        <v/>
      </c>
      <c r="H1554" s="4">
        <f>ROUND(D1554/100/(DATE(YEAR(A1554)+1,1,1)-DATE(YEAR(A1554),1,1))*E1554,8)</f>
        <v/>
      </c>
      <c r="I1554" s="4">
        <f>ROUND(I1553*(1+F1554),8)</f>
        <v/>
      </c>
      <c r="J1554" s="4">
        <f>ROUND(J1553*(1+G1554),8)</f>
        <v/>
      </c>
      <c r="K1554" s="4">
        <f>ROUND(K1553+H1554,8)</f>
        <v/>
      </c>
      <c r="L1554" s="4">
        <f>ROUND(0.9*F1554+0.05*G1554+0.05*H1554,8)</f>
        <v/>
      </c>
    </row>
    <row r="1555">
      <c r="A1555" s="2" t="n">
        <v>46086</v>
      </c>
      <c r="B1555" s="8" t="n">
        <v>3475.28</v>
      </c>
      <c r="C1555" s="8" t="n">
        <v>130.5752</v>
      </c>
      <c r="D1555" s="8" t="n">
        <v>0.35</v>
      </c>
      <c r="E1555">
        <f>A1555-A1554</f>
        <v/>
      </c>
      <c r="F1555" s="4">
        <f>ROUND(B1555/B1554-1,8)</f>
        <v/>
      </c>
      <c r="G1555" s="4">
        <f>ROUND(C1555/C1554-1,8)</f>
        <v/>
      </c>
      <c r="H1555" s="4">
        <f>ROUND(D1555/100/(DATE(YEAR(A1555)+1,1,1)-DATE(YEAR(A1555),1,1))*E1555,8)</f>
        <v/>
      </c>
      <c r="I1555" s="4">
        <f>ROUND(I1554*(1+F1555),8)</f>
        <v/>
      </c>
      <c r="J1555" s="4">
        <f>ROUND(J1554*(1+G1555),8)</f>
        <v/>
      </c>
      <c r="K1555" s="4">
        <f>ROUND(K1554+H1555,8)</f>
        <v/>
      </c>
      <c r="L1555" s="4">
        <f>ROUND(0.9*F1555+0.05*G1555+0.05*H1555,8)</f>
        <v/>
      </c>
    </row>
    <row r="1556">
      <c r="A1556" s="2" t="n">
        <v>46087</v>
      </c>
      <c r="B1556" s="8" t="n">
        <v>3521.95</v>
      </c>
      <c r="C1556" s="8" t="n">
        <v>130.5741</v>
      </c>
      <c r="D1556" s="8" t="n">
        <v>0.35</v>
      </c>
      <c r="E1556">
        <f>A1556-A1555</f>
        <v/>
      </c>
      <c r="F1556" s="4">
        <f>ROUND(B1556/B1555-1,8)</f>
        <v/>
      </c>
      <c r="G1556" s="4">
        <f>ROUND(C1556/C1555-1,8)</f>
        <v/>
      </c>
      <c r="H1556" s="4">
        <f>ROUND(D1556/100/(DATE(YEAR(A1556)+1,1,1)-DATE(YEAR(A1556),1,1))*E1556,8)</f>
        <v/>
      </c>
      <c r="I1556" s="4">
        <f>ROUND(I1555*(1+F1556),8)</f>
        <v/>
      </c>
      <c r="J1556" s="4">
        <f>ROUND(J1555*(1+G1556),8)</f>
        <v/>
      </c>
      <c r="K1556" s="4">
        <f>ROUND(K1555+H1556,8)</f>
        <v/>
      </c>
      <c r="L1556" s="4">
        <f>ROUND(0.9*F1556+0.05*G1556+0.05*H1556,8)</f>
        <v/>
      </c>
    </row>
    <row r="1557">
      <c r="A1557" s="2" t="n">
        <v>46090</v>
      </c>
      <c r="B1557" s="8" t="n">
        <v>3492.62</v>
      </c>
      <c r="C1557" s="8" t="n">
        <v>130.4245</v>
      </c>
      <c r="D1557" s="8" t="n">
        <v>0.35</v>
      </c>
      <c r="E1557">
        <f>A1557-A1556</f>
        <v/>
      </c>
      <c r="F1557" s="4">
        <f>ROUND(B1557/B1556-1,8)</f>
        <v/>
      </c>
      <c r="G1557" s="4">
        <f>ROUND(C1557/C1556-1,8)</f>
        <v/>
      </c>
      <c r="H1557" s="4">
        <f>ROUND(D1557/100/(DATE(YEAR(A1557)+1,1,1)-DATE(YEAR(A1557),1,1))*E1557,8)</f>
        <v/>
      </c>
      <c r="I1557" s="4">
        <f>ROUND(I1556*(1+F1557),8)</f>
        <v/>
      </c>
      <c r="J1557" s="4">
        <f>ROUND(J1556*(1+G1557),8)</f>
        <v/>
      </c>
      <c r="K1557" s="4">
        <f>ROUND(K1556+H1557,8)</f>
        <v/>
      </c>
      <c r="L1557" s="4">
        <f>ROUND(0.9*F1557+0.05*G1557+0.05*H1557,8)</f>
        <v/>
      </c>
    </row>
    <row r="1558">
      <c r="A1558" s="2" t="n">
        <v>46091</v>
      </c>
      <c r="B1558" s="8" t="n">
        <v>3568.96</v>
      </c>
      <c r="C1558" s="8" t="n">
        <v>130.4212</v>
      </c>
      <c r="D1558" s="8" t="n">
        <v>0.35</v>
      </c>
      <c r="E1558">
        <f>A1558-A1557</f>
        <v/>
      </c>
      <c r="F1558" s="4">
        <f>ROUND(B1558/B1557-1,8)</f>
        <v/>
      </c>
      <c r="G1558" s="4">
        <f>ROUND(C1558/C1557-1,8)</f>
        <v/>
      </c>
      <c r="H1558" s="4">
        <f>ROUND(D1558/100/(DATE(YEAR(A1558)+1,1,1)-DATE(YEAR(A1558),1,1))*E1558,8)</f>
        <v/>
      </c>
      <c r="I1558" s="4">
        <f>ROUND(I1557*(1+F1558),8)</f>
        <v/>
      </c>
      <c r="J1558" s="4">
        <f>ROUND(J1557*(1+G1558),8)</f>
        <v/>
      </c>
      <c r="K1558" s="4">
        <f>ROUND(K1557+H1558,8)</f>
        <v/>
      </c>
      <c r="L1558" s="4">
        <f>ROUND(0.9*F1558+0.05*G1558+0.05*H1558,8)</f>
        <v/>
      </c>
    </row>
    <row r="1559">
      <c r="A1559" s="2" t="n">
        <v>46092</v>
      </c>
      <c r="B1559" s="8" t="n">
        <v>3559.24</v>
      </c>
      <c r="C1559" s="8" t="n">
        <v>130.3917</v>
      </c>
      <c r="D1559" s="8" t="n">
        <v>0.35</v>
      </c>
      <c r="E1559">
        <f>A1559-A1558</f>
        <v/>
      </c>
      <c r="F1559" s="4">
        <f>ROUND(B1559/B1558-1,8)</f>
        <v/>
      </c>
      <c r="G1559" s="4">
        <f>ROUND(C1559/C1558-1,8)</f>
        <v/>
      </c>
      <c r="H1559" s="4">
        <f>ROUND(D1559/100/(DATE(YEAR(A1559)+1,1,1)-DATE(YEAR(A1559),1,1))*E1559,8)</f>
        <v/>
      </c>
      <c r="I1559" s="4">
        <f>ROUND(I1558*(1+F1559),8)</f>
        <v/>
      </c>
      <c r="J1559" s="4">
        <f>ROUND(J1558*(1+G1559),8)</f>
        <v/>
      </c>
      <c r="K1559" s="4">
        <f>ROUND(K1558+H1559,8)</f>
        <v/>
      </c>
      <c r="L1559" s="4">
        <f>ROUND(0.9*F1559+0.05*G1559+0.05*H1559,8)</f>
        <v/>
      </c>
    </row>
    <row r="1560">
      <c r="A1560" s="2" t="n">
        <v>46093</v>
      </c>
      <c r="B1560" s="8" t="n">
        <v>3517.99</v>
      </c>
      <c r="C1560" s="8" t="n">
        <v>130.4132</v>
      </c>
      <c r="D1560" s="8" t="n">
        <v>0.35</v>
      </c>
      <c r="E1560">
        <f>A1560-A1559</f>
        <v/>
      </c>
      <c r="F1560" s="4">
        <f>ROUND(B1560/B1559-1,8)</f>
        <v/>
      </c>
      <c r="G1560" s="4">
        <f>ROUND(C1560/C1559-1,8)</f>
        <v/>
      </c>
      <c r="H1560" s="4">
        <f>ROUND(D1560/100/(DATE(YEAR(A1560)+1,1,1)-DATE(YEAR(A1560),1,1))*E1560,8)</f>
        <v/>
      </c>
      <c r="I1560" s="4">
        <f>ROUND(I1559*(1+F1560),8)</f>
        <v/>
      </c>
      <c r="J1560" s="4">
        <f>ROUND(J1559*(1+G1560),8)</f>
        <v/>
      </c>
      <c r="K1560" s="4">
        <f>ROUND(K1559+H1560,8)</f>
        <v/>
      </c>
      <c r="L1560" s="4">
        <f>ROUND(0.9*F1560+0.05*G1560+0.05*H1560,8)</f>
        <v/>
      </c>
    </row>
    <row r="1561">
      <c r="A1561" s="2" t="n">
        <v>46094</v>
      </c>
      <c r="B1561" s="8" t="n">
        <v>3471.5</v>
      </c>
      <c r="C1561" s="8" t="n">
        <v>130.4056</v>
      </c>
      <c r="D1561" s="8" t="n">
        <v>0.35</v>
      </c>
      <c r="E1561">
        <f>A1561-A1560</f>
        <v/>
      </c>
      <c r="F1561" s="4">
        <f>ROUND(B1561/B1560-1,8)</f>
        <v/>
      </c>
      <c r="G1561" s="4">
        <f>ROUND(C1561/C1560-1,8)</f>
        <v/>
      </c>
      <c r="H1561" s="4">
        <f>ROUND(D1561/100/(DATE(YEAR(A1561)+1,1,1)-DATE(YEAR(A1561),1,1))*E1561,8)</f>
        <v/>
      </c>
      <c r="I1561" s="4">
        <f>ROUND(I1560*(1+F1561),8)</f>
        <v/>
      </c>
      <c r="J1561" s="4">
        <f>ROUND(J1560*(1+G1561),8)</f>
        <v/>
      </c>
      <c r="K1561" s="4">
        <f>ROUND(K1560+H1561,8)</f>
        <v/>
      </c>
      <c r="L1561" s="4">
        <f>ROUND(0.9*F1561+0.05*G1561+0.05*H1561,8)</f>
        <v/>
      </c>
    </row>
    <row r="1562">
      <c r="A1562" s="2" t="n">
        <v>46097</v>
      </c>
      <c r="B1562" s="8" t="n">
        <v>3482.18</v>
      </c>
      <c r="C1562" s="8" t="n">
        <v>130.2972</v>
      </c>
      <c r="D1562" s="8" t="n">
        <v>0.35</v>
      </c>
      <c r="E1562">
        <f>A1562-A1561</f>
        <v/>
      </c>
      <c r="F1562" s="4">
        <f>ROUND(B1562/B1561-1,8)</f>
        <v/>
      </c>
      <c r="G1562" s="4">
        <f>ROUND(C1562/C1561-1,8)</f>
        <v/>
      </c>
      <c r="H1562" s="4">
        <f>ROUND(D1562/100/(DATE(YEAR(A1562)+1,1,1)-DATE(YEAR(A1562),1,1))*E1562,8)</f>
        <v/>
      </c>
      <c r="I1562" s="4">
        <f>ROUND(I1561*(1+F1562),8)</f>
        <v/>
      </c>
      <c r="J1562" s="4">
        <f>ROUND(J1561*(1+G1562),8)</f>
        <v/>
      </c>
      <c r="K1562" s="4">
        <f>ROUND(K1561+H1562,8)</f>
        <v/>
      </c>
      <c r="L1562" s="4">
        <f>ROUND(0.9*F1562+0.05*G1562+0.05*H1562,8)</f>
        <v/>
      </c>
    </row>
    <row r="1563">
      <c r="A1563" s="2" t="n">
        <v>46098</v>
      </c>
      <c r="B1563" s="8" t="n">
        <v>3395.19</v>
      </c>
      <c r="C1563" s="8" t="n">
        <v>130.3143</v>
      </c>
      <c r="D1563" s="8" t="n">
        <v>0.35</v>
      </c>
      <c r="E1563">
        <f>A1563-A1562</f>
        <v/>
      </c>
      <c r="F1563" s="4">
        <f>ROUND(B1563/B1562-1,8)</f>
        <v/>
      </c>
      <c r="G1563" s="4">
        <f>ROUND(C1563/C1562-1,8)</f>
        <v/>
      </c>
      <c r="H1563" s="4">
        <f>ROUND(D1563/100/(DATE(YEAR(A1563)+1,1,1)-DATE(YEAR(A1563),1,1))*E1563,8)</f>
        <v/>
      </c>
      <c r="I1563" s="4">
        <f>ROUND(I1562*(1+F1563),8)</f>
        <v/>
      </c>
      <c r="J1563" s="4">
        <f>ROUND(J1562*(1+G1563),8)</f>
        <v/>
      </c>
      <c r="K1563" s="4">
        <f>ROUND(K1562+H1563,8)</f>
        <v/>
      </c>
      <c r="L1563" s="4">
        <f>ROUND(0.9*F1563+0.05*G1563+0.05*H1563,8)</f>
        <v/>
      </c>
    </row>
    <row r="1564">
      <c r="A1564" s="2" t="n">
        <v>46099</v>
      </c>
      <c r="B1564" s="8" t="n">
        <v>3448.37</v>
      </c>
      <c r="C1564" s="8" t="n">
        <v>130.3704</v>
      </c>
      <c r="D1564" s="8" t="n">
        <v>0.35</v>
      </c>
      <c r="E1564">
        <f>A1564-A1563</f>
        <v/>
      </c>
      <c r="F1564" s="4">
        <f>ROUND(B1564/B1563-1,8)</f>
        <v/>
      </c>
      <c r="G1564" s="4">
        <f>ROUND(C1564/C1563-1,8)</f>
        <v/>
      </c>
      <c r="H1564" s="4">
        <f>ROUND(D1564/100/(DATE(YEAR(A1564)+1,1,1)-DATE(YEAR(A1564),1,1))*E1564,8)</f>
        <v/>
      </c>
      <c r="I1564" s="4">
        <f>ROUND(I1563*(1+F1564),8)</f>
        <v/>
      </c>
      <c r="J1564" s="4">
        <f>ROUND(J1563*(1+G1564),8)</f>
        <v/>
      </c>
      <c r="K1564" s="4">
        <f>ROUND(K1563+H1564,8)</f>
        <v/>
      </c>
      <c r="L1564" s="4">
        <f>ROUND(0.9*F1564+0.05*G1564+0.05*H1564,8)</f>
        <v/>
      </c>
    </row>
    <row r="1565">
      <c r="A1565" s="2" t="n">
        <v>46100</v>
      </c>
      <c r="B1565" s="8" t="n">
        <v>3360.33</v>
      </c>
      <c r="C1565" s="8" t="n">
        <v>130.3767</v>
      </c>
      <c r="D1565" s="8" t="n">
        <v>0.35</v>
      </c>
      <c r="E1565">
        <f>A1565-A1564</f>
        <v/>
      </c>
      <c r="F1565" s="4">
        <f>ROUND(B1565/B1564-1,8)</f>
        <v/>
      </c>
      <c r="G1565" s="4">
        <f>ROUND(C1565/C1564-1,8)</f>
        <v/>
      </c>
      <c r="H1565" s="4">
        <f>ROUND(D1565/100/(DATE(YEAR(A1565)+1,1,1)-DATE(YEAR(A1565),1,1))*E1565,8)</f>
        <v/>
      </c>
      <c r="I1565" s="4">
        <f>ROUND(I1564*(1+F1565),8)</f>
        <v/>
      </c>
      <c r="J1565" s="4">
        <f>ROUND(J1564*(1+G1565),8)</f>
        <v/>
      </c>
      <c r="K1565" s="4">
        <f>ROUND(K1564+H1565,8)</f>
        <v/>
      </c>
      <c r="L1565" s="4">
        <f>ROUND(0.9*F1565+0.05*G1565+0.05*H1565,8)</f>
        <v/>
      </c>
    </row>
    <row r="1566">
      <c r="A1566" s="2" t="n">
        <v>46101</v>
      </c>
      <c r="B1566" s="8" t="n">
        <v>3273.54</v>
      </c>
      <c r="C1566" s="8" t="n">
        <v>130.3664</v>
      </c>
      <c r="D1566" s="8" t="n">
        <v>0.35</v>
      </c>
      <c r="E1566">
        <f>A1566-A1565</f>
        <v/>
      </c>
      <c r="F1566" s="4">
        <f>ROUND(B1566/B1565-1,8)</f>
        <v/>
      </c>
      <c r="G1566" s="4">
        <f>ROUND(C1566/C1565-1,8)</f>
        <v/>
      </c>
      <c r="H1566" s="4">
        <f>ROUND(D1566/100/(DATE(YEAR(A1566)+1,1,1)-DATE(YEAR(A1566),1,1))*E1566,8)</f>
        <v/>
      </c>
      <c r="I1566" s="4">
        <f>ROUND(I1565*(1+F1566),8)</f>
        <v/>
      </c>
      <c r="J1566" s="4">
        <f>ROUND(J1565*(1+G1566),8)</f>
        <v/>
      </c>
      <c r="K1566" s="4">
        <f>ROUND(K1565+H1566,8)</f>
        <v/>
      </c>
      <c r="L1566" s="4">
        <f>ROUND(0.9*F1566+0.05*G1566+0.05*H1566,8)</f>
        <v/>
      </c>
    </row>
    <row r="1567">
      <c r="A1567" s="2" t="n">
        <v>46104</v>
      </c>
      <c r="B1567" s="8" t="n">
        <v>3097.13</v>
      </c>
      <c r="C1567" s="8" t="n">
        <v>130.3467</v>
      </c>
      <c r="D1567" s="8" t="n">
        <v>0.35</v>
      </c>
      <c r="E1567">
        <f>A1567-A1566</f>
        <v/>
      </c>
      <c r="F1567" s="4">
        <f>ROUND(B1567/B1566-1,8)</f>
        <v/>
      </c>
      <c r="G1567" s="4">
        <f>ROUND(C1567/C1566-1,8)</f>
        <v/>
      </c>
      <c r="H1567" s="4">
        <f>ROUND(D1567/100/(DATE(YEAR(A1567)+1,1,1)-DATE(YEAR(A1567),1,1))*E1567,8)</f>
        <v/>
      </c>
      <c r="I1567" s="4">
        <f>ROUND(I1566*(1+F1567),8)</f>
        <v/>
      </c>
      <c r="J1567" s="4">
        <f>ROUND(J1566*(1+G1567),8)</f>
        <v/>
      </c>
      <c r="K1567" s="4">
        <f>ROUND(K1566+H1567,8)</f>
        <v/>
      </c>
      <c r="L1567" s="4">
        <f>ROUND(0.9*F1567+0.05*G1567+0.05*H1567,8)</f>
        <v/>
      </c>
    </row>
    <row r="1568">
      <c r="A1568" s="2" t="n">
        <v>46105</v>
      </c>
      <c r="B1568" s="8" t="n">
        <v>3213</v>
      </c>
      <c r="C1568" s="8" t="n">
        <v>130.3833</v>
      </c>
      <c r="D1568" s="8" t="n">
        <v>0.35</v>
      </c>
      <c r="E1568">
        <f>A1568-A1567</f>
        <v/>
      </c>
      <c r="F1568" s="4">
        <f>ROUND(B1568/B1567-1,8)</f>
        <v/>
      </c>
      <c r="G1568" s="4">
        <f>ROUND(C1568/C1567-1,8)</f>
        <v/>
      </c>
      <c r="H1568" s="4">
        <f>ROUND(D1568/100/(DATE(YEAR(A1568)+1,1,1)-DATE(YEAR(A1568),1,1))*E1568,8)</f>
        <v/>
      </c>
      <c r="I1568" s="4">
        <f>ROUND(I1567*(1+F1568),8)</f>
        <v/>
      </c>
      <c r="J1568" s="4">
        <f>ROUND(J1567*(1+G1568),8)</f>
        <v/>
      </c>
      <c r="K1568" s="4">
        <f>ROUND(K1567+H1568,8)</f>
        <v/>
      </c>
      <c r="L1568" s="4">
        <f>ROUND(0.9*F1568+0.05*G1568+0.05*H1568,8)</f>
        <v/>
      </c>
    </row>
    <row r="1569">
      <c r="A1569" s="2" t="n">
        <v>46106</v>
      </c>
      <c r="B1569" s="8" t="n">
        <v>3286.4</v>
      </c>
      <c r="C1569" s="8" t="n">
        <v>130.3836</v>
      </c>
      <c r="D1569" s="8" t="n">
        <v>0.35</v>
      </c>
      <c r="E1569">
        <f>A1569-A1568</f>
        <v/>
      </c>
      <c r="F1569" s="4">
        <f>ROUND(B1569/B1568-1,8)</f>
        <v/>
      </c>
      <c r="G1569" s="4">
        <f>ROUND(C1569/C1568-1,8)</f>
        <v/>
      </c>
      <c r="H1569" s="4">
        <f>ROUND(D1569/100/(DATE(YEAR(A1569)+1,1,1)-DATE(YEAR(A1569),1,1))*E1569,8)</f>
        <v/>
      </c>
      <c r="I1569" s="4">
        <f>ROUND(I1568*(1+F1569),8)</f>
        <v/>
      </c>
      <c r="J1569" s="4">
        <f>ROUND(J1568*(1+G1569),8)</f>
        <v/>
      </c>
      <c r="K1569" s="4">
        <f>ROUND(K1568+H1569,8)</f>
        <v/>
      </c>
      <c r="L1569" s="4">
        <f>ROUND(0.9*F1569+0.05*G1569+0.05*H1569,8)</f>
        <v/>
      </c>
    </row>
    <row r="1570">
      <c r="A1570" s="2" t="n">
        <v>46107</v>
      </c>
      <c r="B1570" s="8" t="n">
        <v>3234.47</v>
      </c>
      <c r="C1570" s="8" t="n">
        <v>130.4132</v>
      </c>
      <c r="D1570" s="8" t="n">
        <v>0.35</v>
      </c>
      <c r="E1570">
        <f>A1570-A1569</f>
        <v/>
      </c>
      <c r="F1570" s="4">
        <f>ROUND(B1570/B1569-1,8)</f>
        <v/>
      </c>
      <c r="G1570" s="4">
        <f>ROUND(C1570/C1569-1,8)</f>
        <v/>
      </c>
      <c r="H1570" s="4">
        <f>ROUND(D1570/100/(DATE(YEAR(A1570)+1,1,1)-DATE(YEAR(A1570),1,1))*E1570,8)</f>
        <v/>
      </c>
      <c r="I1570" s="4">
        <f>ROUND(I1569*(1+F1570),8)</f>
        <v/>
      </c>
      <c r="J1570" s="4">
        <f>ROUND(J1569*(1+G1570),8)</f>
        <v/>
      </c>
      <c r="K1570" s="4">
        <f>ROUND(K1569+H1570,8)</f>
        <v/>
      </c>
      <c r="L1570" s="4">
        <f>ROUND(0.9*F1570+0.05*G1570+0.05*H1570,8)</f>
        <v/>
      </c>
    </row>
    <row r="1571">
      <c r="A1571" s="2" t="n">
        <v>46108</v>
      </c>
      <c r="B1571" s="8" t="n">
        <v>3285.12</v>
      </c>
      <c r="C1571" s="8" t="n">
        <v>130.4164</v>
      </c>
      <c r="D1571" s="8" t="n">
        <v>0.35</v>
      </c>
      <c r="E1571">
        <f>A1571-A1570</f>
        <v/>
      </c>
      <c r="F1571" s="4">
        <f>ROUND(B1571/B1570-1,8)</f>
        <v/>
      </c>
      <c r="G1571" s="4">
        <f>ROUND(C1571/C1570-1,8)</f>
        <v/>
      </c>
      <c r="H1571" s="4">
        <f>ROUND(D1571/100/(DATE(YEAR(A1571)+1,1,1)-DATE(YEAR(A1571),1,1))*E1571,8)</f>
        <v/>
      </c>
      <c r="I1571" s="4">
        <f>ROUND(I1570*(1+F1571),8)</f>
        <v/>
      </c>
      <c r="J1571" s="4">
        <f>ROUND(J1570*(1+G1571),8)</f>
        <v/>
      </c>
      <c r="K1571" s="4">
        <f>ROUND(K1570+H1571,8)</f>
        <v/>
      </c>
      <c r="L1571" s="4">
        <f>ROUND(0.9*F1571+0.05*G1571+0.05*H1571,8)</f>
        <v/>
      </c>
    </row>
    <row r="1572">
      <c r="A1572" s="2" t="n">
        <v>46111</v>
      </c>
      <c r="B1572" s="8" t="n">
        <v>3297.17</v>
      </c>
      <c r="C1572" s="8" t="n">
        <v>130.4951</v>
      </c>
      <c r="D1572" s="8" t="n">
        <v>0.35</v>
      </c>
      <c r="E1572">
        <f>A1572-A1571</f>
        <v/>
      </c>
      <c r="F1572" s="4">
        <f>ROUND(B1572/B1571-1,8)</f>
        <v/>
      </c>
      <c r="G1572" s="4">
        <f>ROUND(C1572/C1571-1,8)</f>
        <v/>
      </c>
      <c r="H1572" s="4">
        <f>ROUND(D1572/100/(DATE(YEAR(A1572)+1,1,1)-DATE(YEAR(A1572),1,1))*E1572,8)</f>
        <v/>
      </c>
      <c r="I1572" s="4">
        <f>ROUND(I1571*(1+F1572),8)</f>
        <v/>
      </c>
      <c r="J1572" s="4">
        <f>ROUND(J1571*(1+G1572),8)</f>
        <v/>
      </c>
      <c r="K1572" s="4">
        <f>ROUND(K1571+H1572,8)</f>
        <v/>
      </c>
      <c r="L1572" s="4">
        <f>ROUND(0.9*F1572+0.05*G1572+0.05*H1572,8)</f>
        <v/>
      </c>
    </row>
    <row r="1573">
      <c r="A1573" s="2" t="n">
        <v>46112</v>
      </c>
      <c r="B1573" s="8" t="n">
        <v>3242.22</v>
      </c>
      <c r="C1573" s="8" t="n">
        <v>130.5189</v>
      </c>
      <c r="D1573" s="8" t="n">
        <v>0.35</v>
      </c>
      <c r="E1573">
        <f>A1573-A1572</f>
        <v/>
      </c>
      <c r="F1573" s="4">
        <f>ROUND(B1573/B1572-1,8)</f>
        <v/>
      </c>
      <c r="G1573" s="4">
        <f>ROUND(C1573/C1572-1,8)</f>
        <v/>
      </c>
      <c r="H1573" s="4">
        <f>ROUND(D1573/100/(DATE(YEAR(A1573)+1,1,1)-DATE(YEAR(A1573),1,1))*E1573,8)</f>
        <v/>
      </c>
      <c r="I1573" s="4">
        <f>ROUND(I1572*(1+F1573),8)</f>
        <v/>
      </c>
      <c r="J1573" s="4">
        <f>ROUND(J1572*(1+G1573),8)</f>
        <v/>
      </c>
      <c r="K1573" s="4">
        <f>ROUND(K1572+H1573,8)</f>
        <v/>
      </c>
      <c r="L1573" s="4">
        <f>ROUND(0.9*F1573+0.05*G1573+0.05*H1573,8)</f>
        <v/>
      </c>
    </row>
    <row r="1574">
      <c r="A1574" s="2" t="n">
        <v>46113</v>
      </c>
      <c r="B1574" s="8" t="n">
        <v>3309.04</v>
      </c>
      <c r="C1574" s="8" t="n">
        <v>130.4911</v>
      </c>
      <c r="D1574" s="8" t="n">
        <v>0.35</v>
      </c>
      <c r="E1574">
        <f>A1574-A1573</f>
        <v/>
      </c>
      <c r="F1574" s="4">
        <f>ROUND(B1574/B1573-1,8)</f>
        <v/>
      </c>
      <c r="G1574" s="4">
        <f>ROUND(C1574/C1573-1,8)</f>
        <v/>
      </c>
      <c r="H1574" s="4">
        <f>ROUND(D1574/100/(DATE(YEAR(A1574)+1,1,1)-DATE(YEAR(A1574),1,1))*E1574,8)</f>
        <v/>
      </c>
      <c r="I1574" s="4">
        <f>ROUND(I1573*(1+F1574),8)</f>
        <v/>
      </c>
      <c r="J1574" s="4">
        <f>ROUND(J1573*(1+G1574),8)</f>
        <v/>
      </c>
      <c r="K1574" s="4">
        <f>ROUND(K1573+H1574,8)</f>
        <v/>
      </c>
      <c r="L1574" s="4">
        <f>ROUND(0.9*F1574+0.05*G1574+0.05*H1574,8)</f>
        <v/>
      </c>
    </row>
    <row r="1575">
      <c r="A1575" s="2" t="n">
        <v>46114</v>
      </c>
      <c r="B1575" s="8" t="n">
        <v>3251.05</v>
      </c>
      <c r="C1575" s="8" t="n">
        <v>130.4836</v>
      </c>
      <c r="D1575" s="8" t="n">
        <v>0.35</v>
      </c>
      <c r="E1575">
        <f>A1575-A1574</f>
        <v/>
      </c>
      <c r="F1575" s="4">
        <f>ROUND(B1575/B1574-1,8)</f>
        <v/>
      </c>
      <c r="G1575" s="4">
        <f>ROUND(C1575/C1574-1,8)</f>
        <v/>
      </c>
      <c r="H1575" s="4">
        <f>ROUND(D1575/100/(DATE(YEAR(A1575)+1,1,1)-DATE(YEAR(A1575),1,1))*E1575,8)</f>
        <v/>
      </c>
      <c r="I1575" s="4">
        <f>ROUND(I1574*(1+F1575),8)</f>
        <v/>
      </c>
      <c r="J1575" s="4">
        <f>ROUND(J1574*(1+G1575),8)</f>
        <v/>
      </c>
      <c r="K1575" s="4">
        <f>ROUND(K1574+H1575,8)</f>
        <v/>
      </c>
      <c r="L1575" s="4">
        <f>ROUND(0.9*F1575+0.05*G1575+0.05*H1575,8)</f>
        <v/>
      </c>
    </row>
    <row r="1576">
      <c r="A1576" s="2" t="n">
        <v>46115</v>
      </c>
      <c r="B1576" s="8" t="n">
        <v>3183.96</v>
      </c>
      <c r="C1576" s="8" t="n">
        <v>130.5312</v>
      </c>
      <c r="D1576" s="8" t="n">
        <v>0.35</v>
      </c>
      <c r="E1576">
        <f>A1576-A1575</f>
        <v/>
      </c>
      <c r="F1576" s="4">
        <f>ROUND(B1576/B1575-1,8)</f>
        <v/>
      </c>
      <c r="G1576" s="4">
        <f>ROUND(C1576/C1575-1,8)</f>
        <v/>
      </c>
      <c r="H1576" s="4">
        <f>ROUND(D1576/100/(DATE(YEAR(A1576)+1,1,1)-DATE(YEAR(A1576),1,1))*E1576,8)</f>
        <v/>
      </c>
      <c r="I1576" s="4">
        <f>ROUND(I1575*(1+F1576),8)</f>
        <v/>
      </c>
      <c r="J1576" s="4">
        <f>ROUND(J1575*(1+G1576),8)</f>
        <v/>
      </c>
      <c r="K1576" s="4">
        <f>ROUND(K1575+H1576,8)</f>
        <v/>
      </c>
      <c r="L1576" s="4">
        <f>ROUND(0.9*F1576+0.05*G1576+0.05*H1576,8)</f>
        <v/>
      </c>
    </row>
    <row r="1577">
      <c r="A1577" s="2" t="n">
        <v>46119</v>
      </c>
      <c r="B1577" s="8" t="n">
        <v>3227.61</v>
      </c>
      <c r="C1577" s="8" t="n">
        <v>130.6228</v>
      </c>
      <c r="D1577" s="8" t="n">
        <v>0.35</v>
      </c>
      <c r="E1577">
        <f>A1577-A1576</f>
        <v/>
      </c>
      <c r="F1577" s="4">
        <f>ROUND(B1577/B1576-1,8)</f>
        <v/>
      </c>
      <c r="G1577" s="4">
        <f>ROUND(C1577/C1576-1,8)</f>
        <v/>
      </c>
      <c r="H1577" s="4">
        <f>ROUND(D1577/100/(DATE(YEAR(A1577)+1,1,1)-DATE(YEAR(A1577),1,1))*E1577,8)</f>
        <v/>
      </c>
      <c r="I1577" s="4">
        <f>ROUND(I1576*(1+F1577),8)</f>
        <v/>
      </c>
      <c r="J1577" s="4">
        <f>ROUND(J1576*(1+G1577),8)</f>
        <v/>
      </c>
      <c r="K1577" s="4">
        <f>ROUND(K1576+H1577,8)</f>
        <v/>
      </c>
      <c r="L1577" s="4">
        <f>ROUND(0.9*F1577+0.05*G1577+0.05*H1577,8)</f>
        <v/>
      </c>
    </row>
    <row r="1578">
      <c r="A1578" s="2" t="n">
        <v>46120</v>
      </c>
      <c r="B1578" s="8" t="n">
        <v>3369.85</v>
      </c>
      <c r="C1578" s="8" t="n">
        <v>130.6892</v>
      </c>
      <c r="D1578" s="8" t="n">
        <v>0.35</v>
      </c>
      <c r="E1578">
        <f>A1578-A1577</f>
        <v/>
      </c>
      <c r="F1578" s="4">
        <f>ROUND(B1578/B1577-1,8)</f>
        <v/>
      </c>
      <c r="G1578" s="4">
        <f>ROUND(C1578/C1577-1,8)</f>
        <v/>
      </c>
      <c r="H1578" s="4">
        <f>ROUND(D1578/100/(DATE(YEAR(A1578)+1,1,1)-DATE(YEAR(A1578),1,1))*E1578,8)</f>
        <v/>
      </c>
      <c r="I1578" s="4">
        <f>ROUND(I1577*(1+F1578),8)</f>
        <v/>
      </c>
      <c r="J1578" s="4">
        <f>ROUND(J1577*(1+G1578),8)</f>
        <v/>
      </c>
      <c r="K1578" s="4">
        <f>ROUND(K1577+H1578,8)</f>
        <v/>
      </c>
      <c r="L1578" s="4">
        <f>ROUND(0.9*F1578+0.05*G1578+0.05*H1578,8)</f>
        <v/>
      </c>
    </row>
    <row r="1579">
      <c r="A1579" s="2" t="n">
        <v>46121</v>
      </c>
      <c r="B1579" s="8" t="n">
        <v>3344.67</v>
      </c>
      <c r="C1579" s="8" t="n">
        <v>130.7023</v>
      </c>
      <c r="D1579" s="8" t="n">
        <v>0.35</v>
      </c>
      <c r="E1579">
        <f>A1579-A1578</f>
        <v/>
      </c>
      <c r="F1579" s="4">
        <f>ROUND(B1579/B1578-1,8)</f>
        <v/>
      </c>
      <c r="G1579" s="4">
        <f>ROUND(C1579/C1578-1,8)</f>
        <v/>
      </c>
      <c r="H1579" s="4">
        <f>ROUND(D1579/100/(DATE(YEAR(A1579)+1,1,1)-DATE(YEAR(A1579),1,1))*E1579,8)</f>
        <v/>
      </c>
      <c r="I1579" s="4">
        <f>ROUND(I1578*(1+F1579),8)</f>
        <v/>
      </c>
      <c r="J1579" s="4">
        <f>ROUND(J1578*(1+G1579),8)</f>
        <v/>
      </c>
      <c r="K1579" s="4">
        <f>ROUND(K1578+H1579,8)</f>
        <v/>
      </c>
      <c r="L1579" s="4">
        <f>ROUND(0.9*F1579+0.05*G1579+0.05*H1579,8)</f>
        <v/>
      </c>
    </row>
    <row r="1580">
      <c r="A1580" s="2" t="n">
        <v>46122</v>
      </c>
      <c r="B1580" s="8" t="n">
        <v>3368.2</v>
      </c>
      <c r="C1580" s="8" t="n">
        <v>130.7578</v>
      </c>
      <c r="D1580" s="8" t="n">
        <v>0.35</v>
      </c>
      <c r="E1580">
        <f>A1580-A1579</f>
        <v/>
      </c>
      <c r="F1580" s="4">
        <f>ROUND(B1580/B1579-1,8)</f>
        <v/>
      </c>
      <c r="G1580" s="4">
        <f>ROUND(C1580/C1579-1,8)</f>
        <v/>
      </c>
      <c r="H1580" s="4">
        <f>ROUND(D1580/100/(DATE(YEAR(A1580)+1,1,1)-DATE(YEAR(A1580),1,1))*E1580,8)</f>
        <v/>
      </c>
      <c r="I1580" s="4">
        <f>ROUND(I1579*(1+F1580),8)</f>
        <v/>
      </c>
      <c r="J1580" s="4">
        <f>ROUND(J1579*(1+G1580),8)</f>
        <v/>
      </c>
      <c r="K1580" s="4">
        <f>ROUND(K1579+H1580,8)</f>
        <v/>
      </c>
      <c r="L1580" s="4">
        <f>ROUND(0.9*F1580+0.05*G1580+0.05*H1580,8)</f>
        <v/>
      </c>
    </row>
    <row r="1581">
      <c r="A1581" s="2" t="n">
        <v>46125</v>
      </c>
      <c r="B1581" s="8" t="n">
        <v>3378.44</v>
      </c>
      <c r="C1581" s="8" t="n">
        <v>130.834</v>
      </c>
      <c r="D1581" s="8" t="n">
        <v>0.35</v>
      </c>
      <c r="E1581">
        <f>A1581-A1580</f>
        <v/>
      </c>
      <c r="F1581" s="4">
        <f>ROUND(B1581/B1580-1,8)</f>
        <v/>
      </c>
      <c r="G1581" s="4">
        <f>ROUND(C1581/C1580-1,8)</f>
        <v/>
      </c>
      <c r="H1581" s="4">
        <f>ROUND(D1581/100/(DATE(YEAR(A1581)+1,1,1)-DATE(YEAR(A1581),1,1))*E1581,8)</f>
        <v/>
      </c>
      <c r="I1581" s="4">
        <f>ROUND(I1580*(1+F1581),8)</f>
        <v/>
      </c>
      <c r="J1581" s="4">
        <f>ROUND(J1580*(1+G1581),8)</f>
        <v/>
      </c>
      <c r="K1581" s="4">
        <f>ROUND(K1580+H1581,8)</f>
        <v/>
      </c>
      <c r="L1581" s="4">
        <f>ROUND(0.9*F1581+0.05*G1581+0.05*H1581,8)</f>
        <v/>
      </c>
    </row>
    <row r="1582">
      <c r="A1582" s="2" t="n">
        <v>46126</v>
      </c>
      <c r="B1582" s="8" t="n">
        <v>3421.6</v>
      </c>
      <c r="C1582" s="8" t="n">
        <v>130.8781</v>
      </c>
      <c r="D1582" s="8" t="n">
        <v>0.35</v>
      </c>
      <c r="E1582">
        <f>A1582-A1581</f>
        <v/>
      </c>
      <c r="F1582" s="4">
        <f>ROUND(B1582/B1581-1,8)</f>
        <v/>
      </c>
      <c r="G1582" s="4">
        <f>ROUND(C1582/C1581-1,8)</f>
        <v/>
      </c>
      <c r="H1582" s="4">
        <f>ROUND(D1582/100/(DATE(YEAR(A1582)+1,1,1)-DATE(YEAR(A1582),1,1))*E1582,8)</f>
        <v/>
      </c>
      <c r="I1582" s="4">
        <f>ROUND(I1581*(1+F1582),8)</f>
        <v/>
      </c>
      <c r="J1582" s="4">
        <f>ROUND(J1581*(1+G1582),8)</f>
        <v/>
      </c>
      <c r="K1582" s="4">
        <f>ROUND(K1581+H1582,8)</f>
        <v/>
      </c>
      <c r="L1582" s="4">
        <f>ROUND(0.9*F1582+0.05*G1582+0.05*H1582,8)</f>
        <v/>
      </c>
    </row>
    <row r="1583">
      <c r="A1583" s="2" t="n">
        <v>46127</v>
      </c>
      <c r="B1583" s="8" t="n">
        <v>3405.52</v>
      </c>
      <c r="C1583" s="8" t="n">
        <v>130.8778</v>
      </c>
      <c r="D1583" s="8" t="n">
        <v>0.35</v>
      </c>
      <c r="E1583">
        <f>A1583-A1582</f>
        <v/>
      </c>
      <c r="F1583" s="4">
        <f>ROUND(B1583/B1582-1,8)</f>
        <v/>
      </c>
      <c r="G1583" s="4">
        <f>ROUND(C1583/C1582-1,8)</f>
        <v/>
      </c>
      <c r="H1583" s="4">
        <f>ROUND(D1583/100/(DATE(YEAR(A1583)+1,1,1)-DATE(YEAR(A1583),1,1))*E1583,8)</f>
        <v/>
      </c>
      <c r="I1583" s="4">
        <f>ROUND(I1582*(1+F1583),8)</f>
        <v/>
      </c>
      <c r="J1583" s="4">
        <f>ROUND(J1582*(1+G1583),8)</f>
        <v/>
      </c>
      <c r="K1583" s="4">
        <f>ROUND(K1582+H1583,8)</f>
        <v/>
      </c>
      <c r="L1583" s="4">
        <f>ROUND(0.9*F1583+0.05*G1583+0.05*H1583,8)</f>
        <v/>
      </c>
    </row>
    <row r="1584">
      <c r="A1584" s="2" t="n">
        <v>46128</v>
      </c>
      <c r="B1584" s="8" t="n">
        <v>3469.36</v>
      </c>
      <c r="C1584" s="8" t="n">
        <v>130.885</v>
      </c>
      <c r="D1584" s="8" t="n">
        <v>0.35</v>
      </c>
      <c r="E1584">
        <f>A1584-A1583</f>
        <v/>
      </c>
      <c r="F1584" s="4">
        <f>ROUND(B1584/B1583-1,8)</f>
        <v/>
      </c>
      <c r="G1584" s="4">
        <f>ROUND(C1584/C1583-1,8)</f>
        <v/>
      </c>
      <c r="H1584" s="4">
        <f>ROUND(D1584/100/(DATE(YEAR(A1584)+1,1,1)-DATE(YEAR(A1584),1,1))*E1584,8)</f>
        <v/>
      </c>
      <c r="I1584" s="4">
        <f>ROUND(I1583*(1+F1584),8)</f>
        <v/>
      </c>
      <c r="J1584" s="4">
        <f>ROUND(J1583*(1+G1584),8)</f>
        <v/>
      </c>
      <c r="K1584" s="4">
        <f>ROUND(K1583+H1584,8)</f>
        <v/>
      </c>
      <c r="L1584" s="4">
        <f>ROUND(0.9*F1584+0.05*G1584+0.05*H1584,8)</f>
        <v/>
      </c>
    </row>
    <row r="1585">
      <c r="A1585" s="2" t="n">
        <v>46129</v>
      </c>
      <c r="B1585" s="8" t="n">
        <v>3486.91</v>
      </c>
      <c r="C1585" s="8" t="n">
        <v>130.9755</v>
      </c>
      <c r="D1585" s="8" t="n">
        <v>0.35</v>
      </c>
      <c r="E1585">
        <f>A1585-A1584</f>
        <v/>
      </c>
      <c r="F1585" s="4">
        <f>ROUND(B1585/B1584-1,8)</f>
        <v/>
      </c>
      <c r="G1585" s="4">
        <f>ROUND(C1585/C1584-1,8)</f>
        <v/>
      </c>
      <c r="H1585" s="4">
        <f>ROUND(D1585/100/(DATE(YEAR(A1585)+1,1,1)-DATE(YEAR(A1585),1,1))*E1585,8)</f>
        <v/>
      </c>
      <c r="I1585" s="4">
        <f>ROUND(I1584*(1+F1585),8)</f>
        <v/>
      </c>
      <c r="J1585" s="4">
        <f>ROUND(J1584*(1+G1585),8)</f>
        <v/>
      </c>
      <c r="K1585" s="4">
        <f>ROUND(K1584+H1585,8)</f>
        <v/>
      </c>
      <c r="L1585" s="4">
        <f>ROUND(0.9*F1585+0.05*G1585+0.05*H1585,8)</f>
        <v/>
      </c>
    </row>
    <row r="1586">
      <c r="A1586" s="2" t="n">
        <v>46132</v>
      </c>
      <c r="B1586" s="8" t="n">
        <v>3519.78</v>
      </c>
      <c r="C1586" s="8" t="n">
        <v>131.0228</v>
      </c>
      <c r="D1586" s="8" t="n">
        <v>0.35</v>
      </c>
      <c r="E1586">
        <f>A1586-A1585</f>
        <v/>
      </c>
      <c r="F1586" s="4">
        <f>ROUND(B1586/B1585-1,8)</f>
        <v/>
      </c>
      <c r="G1586" s="4">
        <f>ROUND(C1586/C1585-1,8)</f>
        <v/>
      </c>
      <c r="H1586" s="4">
        <f>ROUND(D1586/100/(DATE(YEAR(A1586)+1,1,1)-DATE(YEAR(A1586),1,1))*E1586,8)</f>
        <v/>
      </c>
      <c r="I1586" s="4">
        <f>ROUND(I1585*(1+F1586),8)</f>
        <v/>
      </c>
      <c r="J1586" s="4">
        <f>ROUND(J1585*(1+G1586),8)</f>
        <v/>
      </c>
      <c r="K1586" s="4">
        <f>ROUND(K1585+H1586,8)</f>
        <v/>
      </c>
      <c r="L1586" s="4">
        <f>ROUND(0.9*F1586+0.05*G1586+0.05*H1586,8)</f>
        <v/>
      </c>
    </row>
    <row r="1587">
      <c r="A1587" s="2" t="n">
        <v>46133</v>
      </c>
      <c r="B1587" s="8" t="n">
        <v>3513.42</v>
      </c>
      <c r="C1587" s="8" t="n">
        <v>131.0938</v>
      </c>
      <c r="D1587" s="8" t="n">
        <v>0.35</v>
      </c>
      <c r="E1587">
        <f>A1587-A1586</f>
        <v/>
      </c>
      <c r="F1587" s="4">
        <f>ROUND(B1587/B1586-1,8)</f>
        <v/>
      </c>
      <c r="G1587" s="4">
        <f>ROUND(C1587/C1586-1,8)</f>
        <v/>
      </c>
      <c r="H1587" s="4">
        <f>ROUND(D1587/100/(DATE(YEAR(A1587)+1,1,1)-DATE(YEAR(A1587),1,1))*E1587,8)</f>
        <v/>
      </c>
      <c r="I1587" s="4">
        <f>ROUND(I1586*(1+F1587),8)</f>
        <v/>
      </c>
      <c r="J1587" s="4">
        <f>ROUND(J1586*(1+G1587),8)</f>
        <v/>
      </c>
      <c r="K1587" s="4">
        <f>ROUND(K1586+H1587,8)</f>
        <v/>
      </c>
      <c r="L1587" s="4">
        <f>ROUND(0.9*F1587+0.05*G1587+0.05*H1587,8)</f>
        <v/>
      </c>
    </row>
    <row r="1588">
      <c r="A1588" s="2" t="n">
        <v>46134</v>
      </c>
      <c r="B1588" s="8" t="n">
        <v>3541.87</v>
      </c>
      <c r="C1588" s="8" t="n">
        <v>131.1625</v>
      </c>
      <c r="D1588" s="8" t="n">
        <v>0.35</v>
      </c>
      <c r="E1588">
        <f>A1588-A1587</f>
        <v/>
      </c>
      <c r="F1588" s="4">
        <f>ROUND(B1588/B1587-1,8)</f>
        <v/>
      </c>
      <c r="G1588" s="4">
        <f>ROUND(C1588/C1587-1,8)</f>
        <v/>
      </c>
      <c r="H1588" s="4">
        <f>ROUND(D1588/100/(DATE(YEAR(A1588)+1,1,1)-DATE(YEAR(A1588),1,1))*E1588,8)</f>
        <v/>
      </c>
      <c r="I1588" s="4">
        <f>ROUND(I1587*(1+F1588),8)</f>
        <v/>
      </c>
      <c r="J1588" s="4">
        <f>ROUND(J1587*(1+G1588),8)</f>
        <v/>
      </c>
      <c r="K1588" s="4">
        <f>ROUND(K1587+H1588,8)</f>
        <v/>
      </c>
      <c r="L1588" s="4">
        <f>ROUND(0.9*F1588+0.05*G1588+0.05*H1588,8)</f>
        <v/>
      </c>
    </row>
    <row r="1589">
      <c r="A1589" s="2" t="n">
        <v>46135</v>
      </c>
      <c r="B1589" s="8" t="n">
        <v>3485.39</v>
      </c>
      <c r="C1589" s="8" t="n">
        <v>131.1059</v>
      </c>
      <c r="D1589" s="8" t="n">
        <v>0.35</v>
      </c>
      <c r="E1589">
        <f>A1589-A1588</f>
        <v/>
      </c>
      <c r="F1589" s="4">
        <f>ROUND(B1589/B1588-1,8)</f>
        <v/>
      </c>
      <c r="G1589" s="4">
        <f>ROUND(C1589/C1588-1,8)</f>
        <v/>
      </c>
      <c r="H1589" s="4">
        <f>ROUND(D1589/100/(DATE(YEAR(A1589)+1,1,1)-DATE(YEAR(A1589),1,1))*E1589,8)</f>
        <v/>
      </c>
      <c r="I1589" s="4">
        <f>ROUND(I1588*(1+F1589),8)</f>
        <v/>
      </c>
      <c r="J1589" s="4">
        <f>ROUND(J1588*(1+G1589),8)</f>
        <v/>
      </c>
      <c r="K1589" s="4">
        <f>ROUND(K1588+H1589,8)</f>
        <v/>
      </c>
      <c r="L1589" s="4">
        <f>ROUND(0.9*F1589+0.05*G1589+0.05*H1589,8)</f>
        <v/>
      </c>
    </row>
    <row r="1590">
      <c r="A1590" s="2" t="n">
        <v>46136</v>
      </c>
      <c r="B1590" s="8" t="n">
        <v>3458.92</v>
      </c>
      <c r="C1590" s="8" t="n">
        <v>131.0353</v>
      </c>
      <c r="D1590" s="8" t="n">
        <v>0.35</v>
      </c>
      <c r="E1590">
        <f>A1590-A1589</f>
        <v/>
      </c>
      <c r="F1590" s="4">
        <f>ROUND(B1590/B1589-1,8)</f>
        <v/>
      </c>
      <c r="G1590" s="4">
        <f>ROUND(C1590/C1589-1,8)</f>
        <v/>
      </c>
      <c r="H1590" s="4">
        <f>ROUND(D1590/100/(DATE(YEAR(A1590)+1,1,1)-DATE(YEAR(A1590),1,1))*E1590,8)</f>
        <v/>
      </c>
      <c r="I1590" s="4">
        <f>ROUND(I1589*(1+F1590),8)</f>
        <v/>
      </c>
      <c r="J1590" s="4">
        <f>ROUND(J1589*(1+G1590),8)</f>
        <v/>
      </c>
      <c r="K1590" s="4">
        <f>ROUND(K1589+H1590,8)</f>
        <v/>
      </c>
      <c r="L1590" s="4">
        <f>ROUND(0.9*F1590+0.05*G1590+0.05*H1590,8)</f>
        <v/>
      </c>
    </row>
    <row r="1591">
      <c r="A1591" s="2" t="n">
        <v>46139</v>
      </c>
      <c r="B1591" s="8" t="n">
        <v>3493.79</v>
      </c>
      <c r="C1591" s="8" t="n">
        <v>130.9271</v>
      </c>
      <c r="D1591" s="8" t="n">
        <v>0.35</v>
      </c>
      <c r="E1591">
        <f>A1591-A1590</f>
        <v/>
      </c>
      <c r="F1591" s="4">
        <f>ROUND(B1591/B1590-1,8)</f>
        <v/>
      </c>
      <c r="G1591" s="4">
        <f>ROUND(C1591/C1590-1,8)</f>
        <v/>
      </c>
      <c r="H1591" s="4">
        <f>ROUND(D1591/100/(DATE(YEAR(A1591)+1,1,1)-DATE(YEAR(A1591),1,1))*E1591,8)</f>
        <v/>
      </c>
      <c r="I1591" s="4">
        <f>ROUND(I1590*(1+F1591),8)</f>
        <v/>
      </c>
      <c r="J1591" s="4">
        <f>ROUND(J1590*(1+G1591),8)</f>
        <v/>
      </c>
      <c r="K1591" s="4">
        <f>ROUND(K1590+H1591,8)</f>
        <v/>
      </c>
      <c r="L1591" s="4">
        <f>ROUND(0.9*F1591+0.05*G1591+0.05*H1591,8)</f>
        <v/>
      </c>
    </row>
    <row r="1592">
      <c r="A1592" s="2" t="n">
        <v>46140</v>
      </c>
      <c r="B1592" s="8" t="n">
        <v>3453.13</v>
      </c>
      <c r="C1592" s="8" t="n">
        <v>130.9455</v>
      </c>
      <c r="D1592" s="8" t="n">
        <v>0.35</v>
      </c>
      <c r="E1592">
        <f>A1592-A1591</f>
        <v/>
      </c>
      <c r="F1592" s="4">
        <f>ROUND(B1592/B1591-1,8)</f>
        <v/>
      </c>
      <c r="G1592" s="4">
        <f>ROUND(C1592/C1591-1,8)</f>
        <v/>
      </c>
      <c r="H1592" s="4">
        <f>ROUND(D1592/100/(DATE(YEAR(A1592)+1,1,1)-DATE(YEAR(A1592),1,1))*E1592,8)</f>
        <v/>
      </c>
      <c r="I1592" s="4">
        <f>ROUND(I1591*(1+F1592),8)</f>
        <v/>
      </c>
      <c r="J1592" s="4">
        <f>ROUND(J1591*(1+G1592),8)</f>
        <v/>
      </c>
      <c r="K1592" s="4">
        <f>ROUND(K1591+H1592,8)</f>
        <v/>
      </c>
      <c r="L1592" s="4">
        <f>ROUND(0.9*F1592+0.05*G1592+0.05*H1592,8)</f>
        <v/>
      </c>
    </row>
    <row r="1593">
      <c r="A1593" s="2" t="n">
        <v>46141</v>
      </c>
      <c r="B1593" s="8" t="n">
        <v>3494.39</v>
      </c>
      <c r="C1593" s="8" t="n">
        <v>130.9979</v>
      </c>
      <c r="D1593" s="8" t="n">
        <v>0.35</v>
      </c>
      <c r="E1593">
        <f>A1593-A1592</f>
        <v/>
      </c>
      <c r="F1593" s="4">
        <f>ROUND(B1593/B1592-1,8)</f>
        <v/>
      </c>
      <c r="G1593" s="4">
        <f>ROUND(C1593/C1592-1,8)</f>
        <v/>
      </c>
      <c r="H1593" s="4">
        <f>ROUND(D1593/100/(DATE(YEAR(A1593)+1,1,1)-DATE(YEAR(A1593),1,1))*E1593,8)</f>
        <v/>
      </c>
      <c r="I1593" s="4">
        <f>ROUND(I1592*(1+F1593),8)</f>
        <v/>
      </c>
      <c r="J1593" s="4">
        <f>ROUND(J1592*(1+G1593),8)</f>
        <v/>
      </c>
      <c r="K1593" s="4">
        <f>ROUND(K1592+H1593,8)</f>
        <v/>
      </c>
      <c r="L1593" s="4">
        <f>ROUND(0.9*F1593+0.05*G1593+0.05*H1593,8)</f>
        <v/>
      </c>
    </row>
    <row r="1594">
      <c r="A1594" s="2" t="n">
        <v>46142</v>
      </c>
      <c r="B1594" s="8" t="n">
        <v>3512.56</v>
      </c>
      <c r="C1594" s="8" t="n">
        <v>130.9597</v>
      </c>
      <c r="D1594" s="8" t="n">
        <v>0.35</v>
      </c>
      <c r="E1594">
        <f>A1594-A1593</f>
        <v/>
      </c>
      <c r="F1594" s="4">
        <f>ROUND(B1594/B1593-1,8)</f>
        <v/>
      </c>
      <c r="G1594" s="4">
        <f>ROUND(C1594/C1593-1,8)</f>
        <v/>
      </c>
      <c r="H1594" s="4">
        <f>ROUND(D1594/100/(DATE(YEAR(A1594)+1,1,1)-DATE(YEAR(A1594),1,1))*E1594,8)</f>
        <v/>
      </c>
      <c r="I1594" s="4">
        <f>ROUND(I1593*(1+F1594),8)</f>
        <v/>
      </c>
      <c r="J1594" s="4">
        <f>ROUND(J1593*(1+G1594),8)</f>
        <v/>
      </c>
      <c r="K1594" s="4">
        <f>ROUND(K1593+H1594,8)</f>
        <v/>
      </c>
      <c r="L1594" s="4">
        <f>ROUND(0.9*F1594+0.05*G1594+0.05*H1594,8)</f>
        <v/>
      </c>
    </row>
    <row r="1595">
      <c r="A1595" s="2" t="n">
        <v>46148</v>
      </c>
      <c r="B1595" s="8" t="n">
        <v>3583.93</v>
      </c>
      <c r="C1595" s="8" t="n">
        <v>130.8763</v>
      </c>
      <c r="D1595" s="8" t="n">
        <v>0.35</v>
      </c>
      <c r="E1595">
        <f>A1595-A1594</f>
        <v/>
      </c>
      <c r="F1595" s="4">
        <f>ROUND(B1595/B1594-1,8)</f>
        <v/>
      </c>
      <c r="G1595" s="4">
        <f>ROUND(C1595/C1594-1,8)</f>
        <v/>
      </c>
      <c r="H1595" s="4">
        <f>ROUND(D1595/100/(DATE(YEAR(A1595)+1,1,1)-DATE(YEAR(A1595),1,1))*E1595,8)</f>
        <v/>
      </c>
      <c r="I1595" s="4">
        <f>ROUND(I1594*(1+F1595),8)</f>
        <v/>
      </c>
      <c r="J1595" s="4">
        <f>ROUND(J1594*(1+G1595),8)</f>
        <v/>
      </c>
      <c r="K1595" s="4">
        <f>ROUND(K1594+H1595,8)</f>
        <v/>
      </c>
      <c r="L1595" s="4">
        <f>ROUND(0.9*F1595+0.05*G1595+0.05*H1595,8)</f>
        <v/>
      </c>
    </row>
    <row r="1596">
      <c r="A1596" s="2" t="n">
        <v>46149</v>
      </c>
      <c r="B1596" s="8" t="n">
        <v>3653.12</v>
      </c>
      <c r="C1596" s="8" t="n">
        <v>130.8897</v>
      </c>
      <c r="D1596" s="8" t="n">
        <v>0.35</v>
      </c>
      <c r="E1596">
        <f>A1596-A1595</f>
        <v/>
      </c>
      <c r="F1596" s="4">
        <f>ROUND(B1596/B1595-1,8)</f>
        <v/>
      </c>
      <c r="G1596" s="4">
        <f>ROUND(C1596/C1595-1,8)</f>
        <v/>
      </c>
      <c r="H1596" s="4">
        <f>ROUND(D1596/100/(DATE(YEAR(A1596)+1,1,1)-DATE(YEAR(A1596),1,1))*E1596,8)</f>
        <v/>
      </c>
      <c r="I1596" s="4">
        <f>ROUND(I1595*(1+F1596),8)</f>
        <v/>
      </c>
      <c r="J1596" s="4">
        <f>ROUND(J1595*(1+G1596),8)</f>
        <v/>
      </c>
      <c r="K1596" s="4">
        <f>ROUND(K1595+H1596,8)</f>
        <v/>
      </c>
      <c r="L1596" s="4">
        <f>ROUND(0.9*F1596+0.05*G1596+0.05*H1596,8)</f>
        <v/>
      </c>
    </row>
    <row r="1597">
      <c r="A1597" s="2" t="n">
        <v>46150</v>
      </c>
      <c r="B1597" s="8" t="n">
        <v>3689.55</v>
      </c>
      <c r="C1597" s="8" t="n">
        <v>130.9218</v>
      </c>
      <c r="D1597" s="8" t="n">
        <v>0.35</v>
      </c>
      <c r="E1597">
        <f>A1597-A1596</f>
        <v/>
      </c>
      <c r="F1597" s="4">
        <f>ROUND(B1597/B1596-1,8)</f>
        <v/>
      </c>
      <c r="G1597" s="4">
        <f>ROUND(C1597/C1596-1,8)</f>
        <v/>
      </c>
      <c r="H1597" s="4">
        <f>ROUND(D1597/100/(DATE(YEAR(A1597)+1,1,1)-DATE(YEAR(A1597),1,1))*E1597,8)</f>
        <v/>
      </c>
      <c r="I1597" s="4">
        <f>ROUND(I1596*(1+F1597),8)</f>
        <v/>
      </c>
      <c r="J1597" s="4">
        <f>ROUND(J1596*(1+G1597),8)</f>
        <v/>
      </c>
      <c r="K1597" s="4">
        <f>ROUND(K1596+H1597,8)</f>
        <v/>
      </c>
      <c r="L1597" s="4">
        <f>ROUND(0.9*F1597+0.05*G1597+0.05*H1597,8)</f>
        <v/>
      </c>
    </row>
    <row r="1598">
      <c r="A1598" s="2" t="n">
        <v>46153</v>
      </c>
      <c r="B1598" s="8" t="n">
        <v>3731.61</v>
      </c>
      <c r="C1598" s="8" t="n">
        <v>130.9697</v>
      </c>
      <c r="D1598" s="8" t="n">
        <v>0.35</v>
      </c>
      <c r="E1598">
        <f>A1598-A1597</f>
        <v/>
      </c>
      <c r="F1598" s="4">
        <f>ROUND(B1598/B1597-1,8)</f>
        <v/>
      </c>
      <c r="G1598" s="4">
        <f>ROUND(C1598/C1597-1,8)</f>
        <v/>
      </c>
      <c r="H1598" s="4">
        <f>ROUND(D1598/100/(DATE(YEAR(A1598)+1,1,1)-DATE(YEAR(A1598),1,1))*E1598,8)</f>
        <v/>
      </c>
      <c r="I1598" s="4">
        <f>ROUND(I1597*(1+F1598),8)</f>
        <v/>
      </c>
      <c r="J1598" s="4">
        <f>ROUND(J1597*(1+G1598),8)</f>
        <v/>
      </c>
      <c r="K1598" s="4">
        <f>ROUND(K1597+H1598,8)</f>
        <v/>
      </c>
      <c r="L1598" s="4">
        <f>ROUND(0.9*F1598+0.05*G1598+0.05*H1598,8)</f>
        <v/>
      </c>
    </row>
    <row r="1599">
      <c r="A1599" s="2" t="n">
        <v>46154</v>
      </c>
      <c r="B1599" s="8" t="n">
        <v>3698.87</v>
      </c>
      <c r="C1599" s="8" t="n">
        <v>131.0308</v>
      </c>
      <c r="D1599" s="8" t="n">
        <v>0.35</v>
      </c>
      <c r="E1599">
        <f>A1599-A1598</f>
        <v/>
      </c>
      <c r="F1599" s="4">
        <f>ROUND(B1599/B1598-1,8)</f>
        <v/>
      </c>
      <c r="G1599" s="4">
        <f>ROUND(C1599/C1598-1,8)</f>
        <v/>
      </c>
      <c r="H1599" s="4">
        <f>ROUND(D1599/100/(DATE(YEAR(A1599)+1,1,1)-DATE(YEAR(A1599),1,1))*E1599,8)</f>
        <v/>
      </c>
      <c r="I1599" s="4">
        <f>ROUND(I1598*(1+F1599),8)</f>
        <v/>
      </c>
      <c r="J1599" s="4">
        <f>ROUND(J1598*(1+G1599),8)</f>
        <v/>
      </c>
      <c r="K1599" s="4">
        <f>ROUND(K1598+H1599,8)</f>
        <v/>
      </c>
      <c r="L1599" s="4">
        <f>ROUND(0.9*F1599+0.05*G1599+0.05*H1599,8)</f>
        <v/>
      </c>
    </row>
    <row r="1600">
      <c r="A1600" s="2" t="n">
        <v>46155</v>
      </c>
      <c r="B1600" s="8" t="n">
        <v>3753.25</v>
      </c>
      <c r="C1600" s="8" t="n">
        <v>131.0651</v>
      </c>
      <c r="D1600" s="8" t="n">
        <v>0.35</v>
      </c>
      <c r="E1600">
        <f>A1600-A1599</f>
        <v/>
      </c>
      <c r="F1600" s="4">
        <f>ROUND(B1600/B1599-1,8)</f>
        <v/>
      </c>
      <c r="G1600" s="4">
        <f>ROUND(C1600/C1599-1,8)</f>
        <v/>
      </c>
      <c r="H1600" s="4">
        <f>ROUND(D1600/100/(DATE(YEAR(A1600)+1,1,1)-DATE(YEAR(A1600),1,1))*E1600,8)</f>
        <v/>
      </c>
      <c r="I1600" s="4">
        <f>ROUND(I1599*(1+F1600),8)</f>
        <v/>
      </c>
      <c r="J1600" s="4">
        <f>ROUND(J1599*(1+G1600),8)</f>
        <v/>
      </c>
      <c r="K1600" s="4">
        <f>ROUND(K1599+H1600,8)</f>
        <v/>
      </c>
      <c r="L1600" s="4">
        <f>ROUND(0.9*F1600+0.05*G1600+0.05*H1600,8)</f>
        <v/>
      </c>
    </row>
    <row r="1601">
      <c r="A1601" s="2" t="n">
        <v>46156</v>
      </c>
      <c r="B1601" s="8" t="n">
        <v>3679.3</v>
      </c>
      <c r="C1601" s="8" t="n">
        <v>131.061</v>
      </c>
      <c r="D1601" s="8" t="n">
        <v>0.35</v>
      </c>
      <c r="E1601">
        <f>A1601-A1600</f>
        <v/>
      </c>
      <c r="F1601" s="4">
        <f>ROUND(B1601/B1600-1,8)</f>
        <v/>
      </c>
      <c r="G1601" s="4">
        <f>ROUND(C1601/C1600-1,8)</f>
        <v/>
      </c>
      <c r="H1601" s="4">
        <f>ROUND(D1601/100/(DATE(YEAR(A1601)+1,1,1)-DATE(YEAR(A1601),1,1))*E1601,8)</f>
        <v/>
      </c>
      <c r="I1601" s="4">
        <f>ROUND(I1600*(1+F1601),8)</f>
        <v/>
      </c>
      <c r="J1601" s="4">
        <f>ROUND(J1600*(1+G1601),8)</f>
        <v/>
      </c>
      <c r="K1601" s="4">
        <f>ROUND(K1600+H1601,8)</f>
        <v/>
      </c>
      <c r="L1601" s="4">
        <f>ROUND(0.9*F1601+0.05*G1601+0.05*H1601,8)</f>
        <v/>
      </c>
    </row>
    <row r="1602">
      <c r="A1602" s="2" t="n">
        <v>46157</v>
      </c>
      <c r="B1602" s="8" t="n">
        <v>3663.83</v>
      </c>
      <c r="C1602" s="8" t="n">
        <v>131.0395</v>
      </c>
      <c r="D1602" s="8" t="n">
        <v>0.35</v>
      </c>
      <c r="E1602">
        <f>A1602-A1601</f>
        <v/>
      </c>
      <c r="F1602" s="4">
        <f>ROUND(B1602/B1601-1,8)</f>
        <v/>
      </c>
      <c r="G1602" s="4">
        <f>ROUND(C1602/C1601-1,8)</f>
        <v/>
      </c>
      <c r="H1602" s="4">
        <f>ROUND(D1602/100/(DATE(YEAR(A1602)+1,1,1)-DATE(YEAR(A1602),1,1))*E1602,8)</f>
        <v/>
      </c>
      <c r="I1602" s="4">
        <f>ROUND(I1601*(1+F1602),8)</f>
        <v/>
      </c>
      <c r="J1602" s="4">
        <f>ROUND(J1601*(1+G1602),8)</f>
        <v/>
      </c>
      <c r="K1602" s="4">
        <f>ROUND(K1601+H1602,8)</f>
        <v/>
      </c>
      <c r="L1602" s="4">
        <f>ROUND(0.9*F1602+0.05*G1602+0.05*H1602,8)</f>
        <v/>
      </c>
    </row>
    <row r="1603">
      <c r="A1603" s="2" t="n">
        <v>46160</v>
      </c>
      <c r="B1603" s="8" t="n">
        <v>3674.7</v>
      </c>
      <c r="C1603" s="8" t="n">
        <v>131.0778</v>
      </c>
      <c r="D1603" s="8" t="n">
        <v>0.35</v>
      </c>
      <c r="E1603">
        <f>A1603-A1602</f>
        <v/>
      </c>
      <c r="F1603" s="4">
        <f>ROUND(B1603/B1602-1,8)</f>
        <v/>
      </c>
      <c r="G1603" s="4">
        <f>ROUND(C1603/C1602-1,8)</f>
        <v/>
      </c>
      <c r="H1603" s="4">
        <f>ROUND(D1603/100/(DATE(YEAR(A1603)+1,1,1)-DATE(YEAR(A1603),1,1))*E1603,8)</f>
        <v/>
      </c>
      <c r="I1603" s="4">
        <f>ROUND(I1602*(1+F1603),8)</f>
        <v/>
      </c>
      <c r="J1603" s="4">
        <f>ROUND(J1602*(1+G1603),8)</f>
        <v/>
      </c>
      <c r="K1603" s="4">
        <f>ROUND(K1602+H1603,8)</f>
        <v/>
      </c>
      <c r="L1603" s="4">
        <f>ROUND(0.9*F1603+0.05*G1603+0.05*H1603,8)</f>
        <v/>
      </c>
    </row>
    <row r="1604">
      <c r="A1604" s="2" t="n">
        <v>46161</v>
      </c>
      <c r="B1604" s="8" t="n">
        <v>3714.66</v>
      </c>
      <c r="C1604" s="8" t="n">
        <v>131.1619</v>
      </c>
      <c r="D1604" s="8" t="n">
        <v>0.35</v>
      </c>
      <c r="E1604">
        <f>A1604-A1603</f>
        <v/>
      </c>
      <c r="F1604" s="4">
        <f>ROUND(B1604/B1603-1,8)</f>
        <v/>
      </c>
      <c r="G1604" s="4">
        <f>ROUND(C1604/C1603-1,8)</f>
        <v/>
      </c>
      <c r="H1604" s="4">
        <f>ROUND(D1604/100/(DATE(YEAR(A1604)+1,1,1)-DATE(YEAR(A1604),1,1))*E1604,8)</f>
        <v/>
      </c>
      <c r="I1604" s="4">
        <f>ROUND(I1603*(1+F1604),8)</f>
        <v/>
      </c>
      <c r="J1604" s="4">
        <f>ROUND(J1603*(1+G1604),8)</f>
        <v/>
      </c>
      <c r="K1604" s="4">
        <f>ROUND(K1603+H1604,8)</f>
        <v/>
      </c>
      <c r="L1604" s="4">
        <f>ROUND(0.9*F1604+0.05*G1604+0.05*H1604,8)</f>
        <v/>
      </c>
    </row>
    <row r="1605">
      <c r="A1605" s="2" t="n">
        <v>46162</v>
      </c>
      <c r="B1605" s="8" t="n">
        <v>3700.64</v>
      </c>
      <c r="C1605" s="8" t="n">
        <v>131.172</v>
      </c>
      <c r="D1605" s="8" t="n">
        <v>0.35</v>
      </c>
      <c r="E1605">
        <f>A1605-A1604</f>
        <v/>
      </c>
      <c r="F1605" s="4">
        <f>ROUND(B1605/B1604-1,8)</f>
        <v/>
      </c>
      <c r="G1605" s="4">
        <f>ROUND(C1605/C1604-1,8)</f>
        <v/>
      </c>
      <c r="H1605" s="4">
        <f>ROUND(D1605/100/(DATE(YEAR(A1605)+1,1,1)-DATE(YEAR(A1605),1,1))*E1605,8)</f>
        <v/>
      </c>
      <c r="I1605" s="4">
        <f>ROUND(I1604*(1+F1605),8)</f>
        <v/>
      </c>
      <c r="J1605" s="4">
        <f>ROUND(J1604*(1+G1605),8)</f>
        <v/>
      </c>
      <c r="K1605" s="4">
        <f>ROUND(K1604+H1605,8)</f>
        <v/>
      </c>
      <c r="L1605" s="4">
        <f>ROUND(0.9*F1605+0.05*G1605+0.05*H1605,8)</f>
        <v/>
      </c>
    </row>
    <row r="1606">
      <c r="A1606" s="2" t="n">
        <v>46163</v>
      </c>
      <c r="B1606" s="8" t="n">
        <v>3570.53</v>
      </c>
      <c r="C1606" s="8" t="n">
        <v>131.1595</v>
      </c>
      <c r="D1606" s="8" t="n">
        <v>0.35</v>
      </c>
      <c r="E1606">
        <f>A1606-A1605</f>
        <v/>
      </c>
      <c r="F1606" s="4">
        <f>ROUND(B1606/B1605-1,8)</f>
        <v/>
      </c>
      <c r="G1606" s="4">
        <f>ROUND(C1606/C1605-1,8)</f>
        <v/>
      </c>
      <c r="H1606" s="4">
        <f>ROUND(D1606/100/(DATE(YEAR(A1606)+1,1,1)-DATE(YEAR(A1606),1,1))*E1606,8)</f>
        <v/>
      </c>
      <c r="I1606" s="4">
        <f>ROUND(I1605*(1+F1606),8)</f>
        <v/>
      </c>
      <c r="J1606" s="4">
        <f>ROUND(J1605*(1+G1606),8)</f>
        <v/>
      </c>
      <c r="K1606" s="4">
        <f>ROUND(K1605+H1606,8)</f>
        <v/>
      </c>
      <c r="L1606" s="4">
        <f>ROUND(0.9*F1606+0.05*G1606+0.05*H1606,8)</f>
        <v/>
      </c>
    </row>
    <row r="1607">
      <c r="A1607" s="2" t="n">
        <v>46164</v>
      </c>
      <c r="B1607" s="8" t="n">
        <v>3664.52</v>
      </c>
      <c r="C1607" s="8" t="n">
        <v>131.1443</v>
      </c>
      <c r="D1607" s="8" t="n">
        <v>0.35</v>
      </c>
      <c r="E1607">
        <f>A1607-A1606</f>
        <v/>
      </c>
      <c r="F1607" s="4">
        <f>ROUND(B1607/B1606-1,8)</f>
        <v/>
      </c>
      <c r="G1607" s="4">
        <f>ROUND(C1607/C1606-1,8)</f>
        <v/>
      </c>
      <c r="H1607" s="4">
        <f>ROUND(D1607/100/(DATE(YEAR(A1607)+1,1,1)-DATE(YEAR(A1607),1,1))*E1607,8)</f>
        <v/>
      </c>
      <c r="I1607" s="4">
        <f>ROUND(I1606*(1+F1607),8)</f>
        <v/>
      </c>
      <c r="J1607" s="4">
        <f>ROUND(J1606*(1+G1607),8)</f>
        <v/>
      </c>
      <c r="K1607" s="4">
        <f>ROUND(K1606+H1607,8)</f>
        <v/>
      </c>
      <c r="L1607" s="4">
        <f>ROUND(0.9*F1607+0.05*G1607+0.05*H1607,8)</f>
        <v/>
      </c>
    </row>
    <row r="1608">
      <c r="A1608" s="2" t="n">
        <v>46167</v>
      </c>
      <c r="B1608" s="8" t="n">
        <v>3674.82</v>
      </c>
      <c r="C1608" s="8" t="n">
        <v>131.1346</v>
      </c>
      <c r="D1608" s="8" t="n">
        <v>0.35</v>
      </c>
      <c r="E1608">
        <f>A1608-A1607</f>
        <v/>
      </c>
      <c r="F1608" s="4">
        <f>ROUND(B1608/B1607-1,8)</f>
        <v/>
      </c>
      <c r="G1608" s="4">
        <f>ROUND(C1608/C1607-1,8)</f>
        <v/>
      </c>
      <c r="H1608" s="4">
        <f>ROUND(D1608/100/(DATE(YEAR(A1608)+1,1,1)-DATE(YEAR(A1608),1,1))*E1608,8)</f>
        <v/>
      </c>
      <c r="I1608" s="4">
        <f>ROUND(I1607*(1+F1608),8)</f>
        <v/>
      </c>
      <c r="J1608" s="4">
        <f>ROUND(J1607*(1+G1608),8)</f>
        <v/>
      </c>
      <c r="K1608" s="4">
        <f>ROUND(K1607+H1608,8)</f>
        <v/>
      </c>
      <c r="L1608" s="4">
        <f>ROUND(0.9*F1608+0.05*G1608+0.05*H1608,8)</f>
        <v/>
      </c>
    </row>
    <row r="1609">
      <c r="A1609" s="2" t="n">
        <v>46168</v>
      </c>
      <c r="B1609" s="8" t="n">
        <v>3609.17</v>
      </c>
      <c r="C1609" s="8" t="n">
        <v>131.1887</v>
      </c>
      <c r="D1609" s="8" t="n">
        <v>0.35</v>
      </c>
      <c r="E1609">
        <f>A1609-A1608</f>
        <v/>
      </c>
      <c r="F1609" s="4">
        <f>ROUND(B1609/B1608-1,8)</f>
        <v/>
      </c>
      <c r="G1609" s="4">
        <f>ROUND(C1609/C1608-1,8)</f>
        <v/>
      </c>
      <c r="H1609" s="4">
        <f>ROUND(D1609/100/(DATE(YEAR(A1609)+1,1,1)-DATE(YEAR(A1609),1,1))*E1609,8)</f>
        <v/>
      </c>
      <c r="I1609" s="4">
        <f>ROUND(I1608*(1+F1609),8)</f>
        <v/>
      </c>
      <c r="J1609" s="4">
        <f>ROUND(J1608*(1+G1609),8)</f>
        <v/>
      </c>
      <c r="K1609" s="4">
        <f>ROUND(K1608+H1609,8)</f>
        <v/>
      </c>
      <c r="L1609" s="4">
        <f>ROUND(0.9*F1609+0.05*G1609+0.05*H1609,8)</f>
        <v/>
      </c>
    </row>
    <row r="1610">
      <c r="A1610" s="2" t="n">
        <v>46169</v>
      </c>
      <c r="B1610" s="8" t="n">
        <v>3534.2</v>
      </c>
      <c r="C1610" s="8" t="n">
        <v>131.261</v>
      </c>
      <c r="D1610" s="8" t="n">
        <v>0.35</v>
      </c>
      <c r="E1610">
        <f>A1610-A1609</f>
        <v/>
      </c>
      <c r="F1610" s="4">
        <f>ROUND(B1610/B1609-1,8)</f>
        <v/>
      </c>
      <c r="G1610" s="4">
        <f>ROUND(C1610/C1609-1,8)</f>
        <v/>
      </c>
      <c r="H1610" s="4">
        <f>ROUND(D1610/100/(DATE(YEAR(A1610)+1,1,1)-DATE(YEAR(A1610),1,1))*E1610,8)</f>
        <v/>
      </c>
      <c r="I1610" s="4">
        <f>ROUND(I1609*(1+F1610),8)</f>
        <v/>
      </c>
      <c r="J1610" s="4">
        <f>ROUND(J1609*(1+G1610),8)</f>
        <v/>
      </c>
      <c r="K1610" s="4">
        <f>ROUND(K1609+H1610,8)</f>
        <v/>
      </c>
      <c r="L1610" s="4">
        <f>ROUND(0.9*F1610+0.05*G1610+0.05*H1610,8)</f>
        <v/>
      </c>
    </row>
    <row r="1611">
      <c r="A1611" s="2" t="n">
        <v>46170</v>
      </c>
      <c r="B1611" s="8" t="n">
        <v>3589.7</v>
      </c>
      <c r="C1611" s="8" t="n">
        <v>131.3318</v>
      </c>
      <c r="D1611" s="8" t="n">
        <v>0.35</v>
      </c>
      <c r="E1611">
        <f>A1611-A1610</f>
        <v/>
      </c>
      <c r="F1611" s="4">
        <f>ROUND(B1611/B1610-1,8)</f>
        <v/>
      </c>
      <c r="G1611" s="4">
        <f>ROUND(C1611/C1610-1,8)</f>
        <v/>
      </c>
      <c r="H1611" s="4">
        <f>ROUND(D1611/100/(DATE(YEAR(A1611)+1,1,1)-DATE(YEAR(A1611),1,1))*E1611,8)</f>
        <v/>
      </c>
      <c r="I1611" s="4">
        <f>ROUND(I1610*(1+F1611),8)</f>
        <v/>
      </c>
      <c r="J1611" s="4">
        <f>ROUND(J1610*(1+G1611),8)</f>
        <v/>
      </c>
      <c r="K1611" s="4">
        <f>ROUND(K1610+H1611,8)</f>
        <v/>
      </c>
      <c r="L1611" s="4">
        <f>ROUND(0.9*F1611+0.05*G1611+0.05*H1611,8)</f>
        <v/>
      </c>
    </row>
    <row r="1612">
      <c r="A1612" s="2" t="n">
        <v>46171</v>
      </c>
      <c r="B1612" s="8" t="n">
        <v>3470.69</v>
      </c>
      <c r="C1612" s="8" t="n">
        <v>131.3669</v>
      </c>
      <c r="D1612" s="8" t="n">
        <v>0.35</v>
      </c>
      <c r="E1612">
        <f>A1612-A1611</f>
        <v/>
      </c>
      <c r="F1612" s="4">
        <f>ROUND(B1612/B1611-1,8)</f>
        <v/>
      </c>
      <c r="G1612" s="4">
        <f>ROUND(C1612/C1611-1,8)</f>
        <v/>
      </c>
      <c r="H1612" s="4">
        <f>ROUND(D1612/100/(DATE(YEAR(A1612)+1,1,1)-DATE(YEAR(A1612),1,1))*E1612,8)</f>
        <v/>
      </c>
      <c r="I1612" s="4">
        <f>ROUND(I1611*(1+F1612),8)</f>
        <v/>
      </c>
      <c r="J1612" s="4">
        <f>ROUND(J1611*(1+G1612),8)</f>
        <v/>
      </c>
      <c r="K1612" s="4">
        <f>ROUND(K1611+H1612,8)</f>
        <v/>
      </c>
      <c r="L1612" s="4">
        <f>ROUND(0.9*F1612+0.05*G1612+0.05*H1612,8)</f>
        <v/>
      </c>
    </row>
    <row r="1613">
      <c r="A1613" s="2" t="n">
        <v>46174</v>
      </c>
      <c r="B1613" s="8" t="n">
        <v>3468.87</v>
      </c>
      <c r="C1613" s="8" t="n">
        <v>131.445</v>
      </c>
      <c r="D1613" s="8" t="n">
        <v>0.35</v>
      </c>
      <c r="E1613">
        <f>A1613-A1612</f>
        <v/>
      </c>
      <c r="F1613" s="4">
        <f>ROUND(B1613/B1612-1,8)</f>
        <v/>
      </c>
      <c r="G1613" s="4">
        <f>ROUND(C1613/C1612-1,8)</f>
        <v/>
      </c>
      <c r="H1613" s="4">
        <f>ROUND(D1613/100/(DATE(YEAR(A1613)+1,1,1)-DATE(YEAR(A1613),1,1))*E1613,8)</f>
        <v/>
      </c>
      <c r="I1613" s="4">
        <f>ROUND(I1612*(1+F1613),8)</f>
        <v/>
      </c>
      <c r="J1613" s="4">
        <f>ROUND(J1612*(1+G1613),8)</f>
        <v/>
      </c>
      <c r="K1613" s="4">
        <f>ROUND(K1612+H1613,8)</f>
        <v/>
      </c>
      <c r="L1613" s="4">
        <f>ROUND(0.9*F1613+0.05*G1613+0.05*H1613,8)</f>
        <v/>
      </c>
    </row>
    <row r="1614">
      <c r="A1614" s="2" t="n">
        <v>46175</v>
      </c>
      <c r="B1614" s="8" t="n">
        <v>3460.32</v>
      </c>
      <c r="C1614" s="8" t="n">
        <v>131.4654</v>
      </c>
      <c r="D1614" s="8" t="n">
        <v>0.35</v>
      </c>
      <c r="E1614">
        <f>A1614-A1613</f>
        <v/>
      </c>
      <c r="F1614" s="4">
        <f>ROUND(B1614/B1613-1,8)</f>
        <v/>
      </c>
      <c r="G1614" s="4">
        <f>ROUND(C1614/C1613-1,8)</f>
        <v/>
      </c>
      <c r="H1614" s="4">
        <f>ROUND(D1614/100/(DATE(YEAR(A1614)+1,1,1)-DATE(YEAR(A1614),1,1))*E1614,8)</f>
        <v/>
      </c>
      <c r="I1614" s="4">
        <f>ROUND(I1613*(1+F1614),8)</f>
        <v/>
      </c>
      <c r="J1614" s="4">
        <f>ROUND(J1613*(1+G1614),8)</f>
        <v/>
      </c>
      <c r="K1614" s="4">
        <f>ROUND(K1613+H1614,8)</f>
        <v/>
      </c>
      <c r="L1614" s="4">
        <f>ROUND(0.9*F1614+0.05*G1614+0.05*H1614,8)</f>
        <v/>
      </c>
    </row>
    <row r="1615">
      <c r="A1615" s="2" t="n">
        <v>46176</v>
      </c>
      <c r="B1615" s="8" t="n">
        <v>3467.02</v>
      </c>
      <c r="C1615" s="8" t="n">
        <v>131.4533</v>
      </c>
      <c r="D1615" s="8" t="n">
        <v>0.35</v>
      </c>
      <c r="E1615">
        <f>A1615-A1614</f>
        <v/>
      </c>
      <c r="F1615" s="4">
        <f>ROUND(B1615/B1614-1,8)</f>
        <v/>
      </c>
      <c r="G1615" s="4">
        <f>ROUND(C1615/C1614-1,8)</f>
        <v/>
      </c>
      <c r="H1615" s="4">
        <f>ROUND(D1615/100/(DATE(YEAR(A1615)+1,1,1)-DATE(YEAR(A1615),1,1))*E1615,8)</f>
        <v/>
      </c>
      <c r="I1615" s="4">
        <f>ROUND(I1614*(1+F1615),8)</f>
        <v/>
      </c>
      <c r="J1615" s="4">
        <f>ROUND(J1614*(1+G1615),8)</f>
        <v/>
      </c>
      <c r="K1615" s="4">
        <f>ROUND(K1614+H1615,8)</f>
        <v/>
      </c>
      <c r="L1615" s="4">
        <f>ROUND(0.9*F1615+0.05*G1615+0.05*H1615,8)</f>
        <v/>
      </c>
    </row>
    <row r="1616">
      <c r="A1616" s="2" t="n">
        <v>46177</v>
      </c>
      <c r="B1616" s="8" t="n">
        <v>3462.24</v>
      </c>
      <c r="C1616" s="8" t="n">
        <v>131.4781</v>
      </c>
      <c r="D1616" s="8" t="n">
        <v>0.35</v>
      </c>
      <c r="E1616">
        <f>A1616-A1615</f>
        <v/>
      </c>
      <c r="F1616" s="4">
        <f>ROUND(B1616/B1615-1,8)</f>
        <v/>
      </c>
      <c r="G1616" s="4">
        <f>ROUND(C1616/C1615-1,8)</f>
        <v/>
      </c>
      <c r="H1616" s="4">
        <f>ROUND(D1616/100/(DATE(YEAR(A1616)+1,1,1)-DATE(YEAR(A1616),1,1))*E1616,8)</f>
        <v/>
      </c>
      <c r="I1616" s="4">
        <f>ROUND(I1615*(1+F1616),8)</f>
        <v/>
      </c>
      <c r="J1616" s="4">
        <f>ROUND(J1615*(1+G1616),8)</f>
        <v/>
      </c>
      <c r="K1616" s="4">
        <f>ROUND(K1615+H1616,8)</f>
        <v/>
      </c>
      <c r="L1616" s="4">
        <f>ROUND(0.9*F1616+0.05*G1616+0.05*H1616,8)</f>
        <v/>
      </c>
    </row>
    <row r="1617">
      <c r="A1617" s="2" t="n">
        <v>46178</v>
      </c>
      <c r="B1617" s="8" t="n">
        <v>3466.52</v>
      </c>
      <c r="C1617" s="8" t="n">
        <v>131.4566</v>
      </c>
      <c r="D1617" s="8" t="n">
        <v>0.35</v>
      </c>
      <c r="E1617">
        <f>A1617-A1616</f>
        <v/>
      </c>
      <c r="F1617" s="4">
        <f>ROUND(B1617/B1616-1,8)</f>
        <v/>
      </c>
      <c r="G1617" s="4">
        <f>ROUND(C1617/C1616-1,8)</f>
        <v/>
      </c>
      <c r="H1617" s="4">
        <f>ROUND(D1617/100/(DATE(YEAR(A1617)+1,1,1)-DATE(YEAR(A1617),1,1))*E1617,8)</f>
        <v/>
      </c>
      <c r="I1617" s="4">
        <f>ROUND(I1616*(1+F1617),8)</f>
        <v/>
      </c>
      <c r="J1617" s="4">
        <f>ROUND(J1616*(1+G1617),8)</f>
        <v/>
      </c>
      <c r="K1617" s="4">
        <f>ROUND(K1616+H1617,8)</f>
        <v/>
      </c>
      <c r="L1617" s="4">
        <f>ROUND(0.9*F1617+0.05*G1617+0.05*H1617,8)</f>
        <v/>
      </c>
    </row>
    <row r="1618">
      <c r="A1618" s="2" t="n">
        <v>46181</v>
      </c>
      <c r="B1618" s="8" t="n">
        <v>3354.71</v>
      </c>
      <c r="C1618" s="8" t="n">
        <v>131.399</v>
      </c>
      <c r="D1618" s="8" t="n">
        <v>0.35</v>
      </c>
      <c r="E1618">
        <f>A1618-A1617</f>
        <v/>
      </c>
      <c r="F1618" s="4">
        <f>ROUND(B1618/B1617-1,8)</f>
        <v/>
      </c>
      <c r="G1618" s="4">
        <f>ROUND(C1618/C1617-1,8)</f>
        <v/>
      </c>
      <c r="H1618" s="4">
        <f>ROUND(D1618/100/(DATE(YEAR(A1618)+1,1,1)-DATE(YEAR(A1618),1,1))*E1618,8)</f>
        <v/>
      </c>
      <c r="I1618" s="4">
        <f>ROUND(I1617*(1+F1618),8)</f>
        <v/>
      </c>
      <c r="J1618" s="4">
        <f>ROUND(J1617*(1+G1618),8)</f>
        <v/>
      </c>
      <c r="K1618" s="4">
        <f>ROUND(K1617+H1618,8)</f>
        <v/>
      </c>
      <c r="L1618" s="4">
        <f>ROUND(0.9*F1618+0.05*G1618+0.05*H1618,8)</f>
        <v/>
      </c>
    </row>
    <row r="1619">
      <c r="A1619" s="2" t="n">
        <v>46182</v>
      </c>
      <c r="B1619" s="8" t="n">
        <v>3429.47</v>
      </c>
      <c r="C1619" s="8" t="n">
        <v>131.3289</v>
      </c>
      <c r="D1619" s="8" t="n">
        <v>0.35</v>
      </c>
      <c r="E1619">
        <f>A1619-A1618</f>
        <v/>
      </c>
      <c r="F1619" s="4">
        <f>ROUND(B1619/B1618-1,8)</f>
        <v/>
      </c>
      <c r="G1619" s="4">
        <f>ROUND(C1619/C1618-1,8)</f>
        <v/>
      </c>
      <c r="H1619" s="4">
        <f>ROUND(D1619/100/(DATE(YEAR(A1619)+1,1,1)-DATE(YEAR(A1619),1,1))*E1619,8)</f>
        <v/>
      </c>
      <c r="I1619" s="4">
        <f>ROUND(I1618*(1+F1619),8)</f>
        <v/>
      </c>
      <c r="J1619" s="4">
        <f>ROUND(J1618*(1+G1619),8)</f>
        <v/>
      </c>
      <c r="K1619" s="4">
        <f>ROUND(K1618+H1619,8)</f>
        <v/>
      </c>
      <c r="L1619" s="4">
        <f>ROUND(0.9*F1619+0.05*G1619+0.05*H1619,8)</f>
        <v/>
      </c>
    </row>
    <row r="1620">
      <c r="A1620" s="2" t="n">
        <v>46183</v>
      </c>
      <c r="B1620" s="8" t="n">
        <v>3368.03</v>
      </c>
      <c r="C1620" s="8" t="n">
        <v>131.2435</v>
      </c>
      <c r="D1620" s="8" t="n">
        <v>0.35</v>
      </c>
      <c r="E1620">
        <f>A1620-A1619</f>
        <v/>
      </c>
      <c r="F1620" s="4">
        <f>ROUND(B1620/B1619-1,8)</f>
        <v/>
      </c>
      <c r="G1620" s="4">
        <f>ROUND(C1620/C1619-1,8)</f>
        <v/>
      </c>
      <c r="H1620" s="4">
        <f>ROUND(D1620/100/(DATE(YEAR(A1620)+1,1,1)-DATE(YEAR(A1620),1,1))*E1620,8)</f>
        <v/>
      </c>
      <c r="I1620" s="4">
        <f>ROUND(I1619*(1+F1620),8)</f>
        <v/>
      </c>
      <c r="J1620" s="4">
        <f>ROUND(J1619*(1+G1620),8)</f>
        <v/>
      </c>
      <c r="K1620" s="4">
        <f>ROUND(K1619+H1620,8)</f>
        <v/>
      </c>
      <c r="L1620" s="4">
        <f>ROUND(0.9*F1620+0.05*G1620+0.05*H1620,8)</f>
        <v/>
      </c>
    </row>
    <row r="1621">
      <c r="A1621" s="2" t="n">
        <v>46184</v>
      </c>
      <c r="B1621" s="8" t="n">
        <v>3346.88</v>
      </c>
      <c r="C1621" s="8" t="n">
        <v>131.1515</v>
      </c>
      <c r="D1621" s="8" t="n">
        <v>0.35</v>
      </c>
      <c r="E1621">
        <f>A1621-A1620</f>
        <v/>
      </c>
      <c r="F1621" s="4">
        <f>ROUND(B1621/B1620-1,8)</f>
        <v/>
      </c>
      <c r="G1621" s="4">
        <f>ROUND(C1621/C1620-1,8)</f>
        <v/>
      </c>
      <c r="H1621" s="4">
        <f>ROUND(D1621/100/(DATE(YEAR(A1621)+1,1,1)-DATE(YEAR(A1621),1,1))*E1621,8)</f>
        <v/>
      </c>
      <c r="I1621" s="4">
        <f>ROUND(I1620*(1+F1621),8)</f>
        <v/>
      </c>
      <c r="J1621" s="4">
        <f>ROUND(J1620*(1+G1621),8)</f>
        <v/>
      </c>
      <c r="K1621" s="4">
        <f>ROUND(K1620+H1621,8)</f>
        <v/>
      </c>
      <c r="L1621" s="4">
        <f>ROUND(0.9*F1621+0.05*G1621+0.05*H1621,8)</f>
        <v/>
      </c>
    </row>
    <row r="1622">
      <c r="A1622" s="2" t="n">
        <v>46185</v>
      </c>
      <c r="B1622" s="8" t="n">
        <v>3363.52</v>
      </c>
      <c r="C1622" s="8" t="n">
        <v>131.1546</v>
      </c>
      <c r="D1622" s="8" t="n">
        <v>0.35</v>
      </c>
      <c r="E1622">
        <f>A1622-A1621</f>
        <v/>
      </c>
      <c r="F1622" s="4">
        <f>ROUND(B1622/B1621-1,8)</f>
        <v/>
      </c>
      <c r="G1622" s="4">
        <f>ROUND(C1622/C1621-1,8)</f>
        <v/>
      </c>
      <c r="H1622" s="4">
        <f>ROUND(D1622/100/(DATE(YEAR(A1622)+1,1,1)-DATE(YEAR(A1622),1,1))*E1622,8)</f>
        <v/>
      </c>
      <c r="I1622" s="4">
        <f>ROUND(I1621*(1+F1622),8)</f>
        <v/>
      </c>
      <c r="J1622" s="4">
        <f>ROUND(J1621*(1+G1622),8)</f>
        <v/>
      </c>
      <c r="K1622" s="4">
        <f>ROUND(K1621+H1622,8)</f>
        <v/>
      </c>
      <c r="L1622" s="4">
        <f>ROUND(0.9*F1622+0.05*G1622+0.05*H1622,8)</f>
        <v/>
      </c>
    </row>
    <row r="1623">
      <c r="A1623" s="2" t="n">
        <v>46188</v>
      </c>
      <c r="B1623" s="8" t="n">
        <v>3480.17</v>
      </c>
      <c r="C1623" s="8" t="n">
        <v>131.1625</v>
      </c>
      <c r="D1623" s="8" t="n">
        <v>0.35</v>
      </c>
      <c r="E1623">
        <f>A1623-A1622</f>
        <v/>
      </c>
      <c r="F1623" s="4">
        <f>ROUND(B1623/B1622-1,8)</f>
        <v/>
      </c>
      <c r="G1623" s="4">
        <f>ROUND(C1623/C1622-1,8)</f>
        <v/>
      </c>
      <c r="H1623" s="4">
        <f>ROUND(D1623/100/(DATE(YEAR(A1623)+1,1,1)-DATE(YEAR(A1623),1,1))*E1623,8)</f>
        <v/>
      </c>
      <c r="I1623" s="4">
        <f>ROUND(I1622*(1+F1623),8)</f>
        <v/>
      </c>
      <c r="J1623" s="4">
        <f>ROUND(J1622*(1+G1623),8)</f>
        <v/>
      </c>
      <c r="K1623" s="4">
        <f>ROUND(K1622+H1623,8)</f>
        <v/>
      </c>
      <c r="L1623" s="4">
        <f>ROUND(0.9*F1623+0.05*G1623+0.05*H1623,8)</f>
        <v/>
      </c>
    </row>
    <row r="1624">
      <c r="A1624" s="2" t="n">
        <v>46189</v>
      </c>
      <c r="B1624" s="8" t="n">
        <v>3537.94</v>
      </c>
      <c r="C1624" s="8" t="n">
        <v>131.2025</v>
      </c>
      <c r="D1624" s="8" t="n">
        <v>0.35</v>
      </c>
      <c r="E1624">
        <f>A1624-A1623</f>
        <v/>
      </c>
      <c r="F1624" s="4">
        <f>ROUND(B1624/B1623-1,8)</f>
        <v/>
      </c>
      <c r="G1624" s="4">
        <f>ROUND(C1624/C1623-1,8)</f>
        <v/>
      </c>
      <c r="H1624" s="4">
        <f>ROUND(D1624/100/(DATE(YEAR(A1624)+1,1,1)-DATE(YEAR(A1624),1,1))*E1624,8)</f>
        <v/>
      </c>
      <c r="I1624" s="4">
        <f>ROUND(I1623*(1+F1624),8)</f>
        <v/>
      </c>
      <c r="J1624" s="4">
        <f>ROUND(J1623*(1+G1624),8)</f>
        <v/>
      </c>
      <c r="K1624" s="4">
        <f>ROUND(K1623+H1624,8)</f>
        <v/>
      </c>
      <c r="L1624" s="4">
        <f>ROUND(0.9*F1624+0.05*G1624+0.05*H1624,8)</f>
        <v/>
      </c>
    </row>
    <row r="1625">
      <c r="A1625" s="2" t="n">
        <v>46190</v>
      </c>
      <c r="B1625" s="8" t="n">
        <v>3547.95</v>
      </c>
      <c r="C1625" s="8" t="n">
        <v>131.2507</v>
      </c>
      <c r="D1625" s="8" t="n">
        <v>0.35</v>
      </c>
      <c r="E1625">
        <f>A1625-A1624</f>
        <v/>
      </c>
      <c r="F1625" s="4">
        <f>ROUND(B1625/B1624-1,8)</f>
        <v/>
      </c>
      <c r="G1625" s="4">
        <f>ROUND(C1625/C1624-1,8)</f>
        <v/>
      </c>
      <c r="H1625" s="4">
        <f>ROUND(D1625/100/(DATE(YEAR(A1625)+1,1,1)-DATE(YEAR(A1625),1,1))*E1625,8)</f>
        <v/>
      </c>
      <c r="I1625" s="4">
        <f>ROUND(I1624*(1+F1625),8)</f>
        <v/>
      </c>
      <c r="J1625" s="4">
        <f>ROUND(J1624*(1+G1625),8)</f>
        <v/>
      </c>
      <c r="K1625" s="4">
        <f>ROUND(K1624+H1625,8)</f>
        <v/>
      </c>
      <c r="L1625" s="4">
        <f>ROUND(0.9*F1625+0.05*G1625+0.05*H1625,8)</f>
        <v/>
      </c>
    </row>
    <row r="1626">
      <c r="A1626" s="2" t="n">
        <v>46191</v>
      </c>
      <c r="B1626" s="8" t="n">
        <v>3561.71</v>
      </c>
      <c r="C1626" s="8" t="n">
        <v>131.2702</v>
      </c>
      <c r="D1626" s="8" t="n">
        <v>0.35</v>
      </c>
      <c r="E1626">
        <f>A1626-A1625</f>
        <v/>
      </c>
      <c r="F1626" s="4">
        <f>ROUND(B1626/B1625-1,8)</f>
        <v/>
      </c>
      <c r="G1626" s="4">
        <f>ROUND(C1626/C1625-1,8)</f>
        <v/>
      </c>
      <c r="H1626" s="4">
        <f>ROUND(D1626/100/(DATE(YEAR(A1626)+1,1,1)-DATE(YEAR(A1626),1,1))*E1626,8)</f>
        <v/>
      </c>
      <c r="I1626" s="4">
        <f>ROUND(I1625*(1+F1626),8)</f>
        <v/>
      </c>
      <c r="J1626" s="4">
        <f>ROUND(J1625*(1+G1626),8)</f>
        <v/>
      </c>
      <c r="K1626" s="4">
        <f>ROUND(K1625+H1626,8)</f>
        <v/>
      </c>
      <c r="L1626" s="4">
        <f>ROUND(0.9*F1626+0.05*G1626+0.05*H1626,8)</f>
        <v/>
      </c>
    </row>
    <row r="1627">
      <c r="A1627" s="2" t="n">
        <v>46195</v>
      </c>
      <c r="B1627" s="8" t="n">
        <v>3589.01</v>
      </c>
      <c r="C1627" s="8" t="n">
        <v>131.2812</v>
      </c>
      <c r="D1627" s="8" t="n">
        <v>0.35</v>
      </c>
      <c r="E1627">
        <f>A1627-A1626</f>
        <v/>
      </c>
      <c r="F1627" s="4">
        <f>ROUND(B1627/B1626-1,8)</f>
        <v/>
      </c>
      <c r="G1627" s="4">
        <f>ROUND(C1627/C1626-1,8)</f>
        <v/>
      </c>
      <c r="H1627" s="4">
        <f>ROUND(D1627/100/(DATE(YEAR(A1627)+1,1,1)-DATE(YEAR(A1627),1,1))*E1627,8)</f>
        <v/>
      </c>
      <c r="I1627" s="4">
        <f>ROUND(I1626*(1+F1627),8)</f>
        <v/>
      </c>
      <c r="J1627" s="4">
        <f>ROUND(J1626*(1+G1627),8)</f>
        <v/>
      </c>
      <c r="K1627" s="4">
        <f>ROUND(K1626+H1627,8)</f>
        <v/>
      </c>
      <c r="L1627" s="4">
        <f>ROUND(0.9*F1627+0.05*G1627+0.05*H1627,8)</f>
        <v/>
      </c>
    </row>
    <row r="1628">
      <c r="A1628" s="2" t="n">
        <v>46196</v>
      </c>
      <c r="B1628" s="8" t="n">
        <v>3571.35</v>
      </c>
      <c r="C1628" s="8" t="n">
        <v>131.2466</v>
      </c>
      <c r="D1628" s="8" t="n">
        <v>0.35</v>
      </c>
      <c r="E1628">
        <f>A1628-A1627</f>
        <v/>
      </c>
      <c r="F1628" s="4">
        <f>ROUND(B1628/B1627-1,8)</f>
        <v/>
      </c>
      <c r="G1628" s="4">
        <f>ROUND(C1628/C1627-1,8)</f>
        <v/>
      </c>
      <c r="H1628" s="4">
        <f>ROUND(D1628/100/(DATE(YEAR(A1628)+1,1,1)-DATE(YEAR(A1628),1,1))*E1628,8)</f>
        <v/>
      </c>
      <c r="I1628" s="4">
        <f>ROUND(I1627*(1+F1628),8)</f>
        <v/>
      </c>
      <c r="J1628" s="4">
        <f>ROUND(J1627*(1+G1628),8)</f>
        <v/>
      </c>
      <c r="K1628" s="4">
        <f>ROUND(K1627+H1628,8)</f>
        <v/>
      </c>
      <c r="L1628" s="4">
        <f>ROUND(0.9*F1628+0.05*G1628+0.05*H1628,8)</f>
        <v/>
      </c>
    </row>
    <row r="1629">
      <c r="A1629" s="2" t="n">
        <v>46197</v>
      </c>
      <c r="B1629" s="8" t="n">
        <v>3569.41</v>
      </c>
      <c r="C1629" s="8" t="n">
        <v>131.2227</v>
      </c>
      <c r="D1629" s="8" t="n">
        <v>0.35</v>
      </c>
      <c r="E1629">
        <f>A1629-A1628</f>
        <v/>
      </c>
      <c r="F1629" s="4">
        <f>ROUND(B1629/B1628-1,8)</f>
        <v/>
      </c>
      <c r="G1629" s="4">
        <f>ROUND(C1629/C1628-1,8)</f>
        <v/>
      </c>
      <c r="H1629" s="4">
        <f>ROUND(D1629/100/(DATE(YEAR(A1629)+1,1,1)-DATE(YEAR(A1629),1,1))*E1629,8)</f>
        <v/>
      </c>
      <c r="I1629" s="4">
        <f>ROUND(I1628*(1+F1629),8)</f>
        <v/>
      </c>
      <c r="J1629" s="4">
        <f>ROUND(J1628*(1+G1629),8)</f>
        <v/>
      </c>
      <c r="K1629" s="4">
        <f>ROUND(K1628+H1629,8)</f>
        <v/>
      </c>
      <c r="L1629" s="4">
        <f>ROUND(0.9*F1629+0.05*G1629+0.05*H1629,8)</f>
        <v/>
      </c>
    </row>
    <row r="1630">
      <c r="A1630" s="2" t="n">
        <v>46198</v>
      </c>
      <c r="B1630" s="8" t="n">
        <v>3538.09</v>
      </c>
      <c r="C1630" s="8" t="n">
        <v>131.2722</v>
      </c>
      <c r="D1630" s="8" t="n">
        <v>0.35</v>
      </c>
      <c r="E1630">
        <f>A1630-A1629</f>
        <v/>
      </c>
      <c r="F1630" s="4">
        <f>ROUND(B1630/B1629-1,8)</f>
        <v/>
      </c>
      <c r="G1630" s="4">
        <f>ROUND(C1630/C1629-1,8)</f>
        <v/>
      </c>
      <c r="H1630" s="4">
        <f>ROUND(D1630/100/(DATE(YEAR(A1630)+1,1,1)-DATE(YEAR(A1630),1,1))*E1630,8)</f>
        <v/>
      </c>
      <c r="I1630" s="4">
        <f>ROUND(I1629*(1+F1630),8)</f>
        <v/>
      </c>
      <c r="J1630" s="4">
        <f>ROUND(J1629*(1+G1630),8)</f>
        <v/>
      </c>
      <c r="K1630" s="4">
        <f>ROUND(K1629+H1630,8)</f>
        <v/>
      </c>
      <c r="L1630" s="4">
        <f>ROUND(0.9*F1630+0.05*G1630+0.05*H1630,8)</f>
        <v/>
      </c>
    </row>
    <row r="1631">
      <c r="A1631" s="2" t="n">
        <v>46199</v>
      </c>
      <c r="B1631" s="8" t="n">
        <v>3446.98</v>
      </c>
      <c r="C1631" s="8" t="n">
        <v>131.2994</v>
      </c>
      <c r="D1631" s="8" t="n">
        <v>0.35</v>
      </c>
      <c r="E1631">
        <f>A1631-A1630</f>
        <v/>
      </c>
      <c r="F1631" s="4">
        <f>ROUND(B1631/B1630-1,8)</f>
        <v/>
      </c>
      <c r="G1631" s="4">
        <f>ROUND(C1631/C1630-1,8)</f>
        <v/>
      </c>
      <c r="H1631" s="4">
        <f>ROUND(D1631/100/(DATE(YEAR(A1631)+1,1,1)-DATE(YEAR(A1631),1,1))*E1631,8)</f>
        <v/>
      </c>
      <c r="I1631" s="4">
        <f>ROUND(I1630*(1+F1631),8)</f>
        <v/>
      </c>
      <c r="J1631" s="4">
        <f>ROUND(J1630*(1+G1631),8)</f>
        <v/>
      </c>
      <c r="K1631" s="4">
        <f>ROUND(K1630+H1631,8)</f>
        <v/>
      </c>
      <c r="L1631" s="4">
        <f>ROUND(0.9*F1631+0.05*G1631+0.05*H1631,8)</f>
        <v/>
      </c>
    </row>
    <row r="1632">
      <c r="A1632" s="2" t="n">
        <v>46202</v>
      </c>
      <c r="B1632" s="8" t="n">
        <v>3415.01</v>
      </c>
      <c r="C1632" s="8" t="n">
        <v>131.3706</v>
      </c>
      <c r="D1632" s="8" t="n">
        <v>0.35</v>
      </c>
      <c r="E1632">
        <f>A1632-A1631</f>
        <v/>
      </c>
      <c r="F1632" s="4">
        <f>ROUND(B1632/B1631-1,8)</f>
        <v/>
      </c>
      <c r="G1632" s="4">
        <f>ROUND(C1632/C1631-1,8)</f>
        <v/>
      </c>
      <c r="H1632" s="4">
        <f>ROUND(D1632/100/(DATE(YEAR(A1632)+1,1,1)-DATE(YEAR(A1632),1,1))*E1632,8)</f>
        <v/>
      </c>
      <c r="I1632" s="4">
        <f>ROUND(I1631*(1+F1632),8)</f>
        <v/>
      </c>
      <c r="J1632" s="4">
        <f>ROUND(J1631*(1+G1632),8)</f>
        <v/>
      </c>
      <c r="K1632" s="4">
        <f>ROUND(K1631+H1632,8)</f>
        <v/>
      </c>
      <c r="L1632" s="4">
        <f>ROUND(0.9*F1632+0.05*G1632+0.05*H1632,8)</f>
        <v/>
      </c>
    </row>
    <row r="1633">
      <c r="A1633" s="2" t="n">
        <v>46203</v>
      </c>
      <c r="B1633" s="8" t="n">
        <v>3494.59</v>
      </c>
      <c r="C1633" s="8" t="n">
        <v>131.3324</v>
      </c>
      <c r="D1633" s="8" t="n">
        <v>0.35</v>
      </c>
      <c r="E1633">
        <f>A1633-A1632</f>
        <v/>
      </c>
      <c r="F1633" s="4">
        <f>ROUND(B1633/B1632-1,8)</f>
        <v/>
      </c>
      <c r="G1633" s="4">
        <f>ROUND(C1633/C1632-1,8)</f>
        <v/>
      </c>
      <c r="H1633" s="4">
        <f>ROUND(D1633/100/(DATE(YEAR(A1633)+1,1,1)-DATE(YEAR(A1633),1,1))*E1633,8)</f>
        <v/>
      </c>
      <c r="I1633" s="4">
        <f>ROUND(I1632*(1+F1633),8)</f>
        <v/>
      </c>
      <c r="J1633" s="4">
        <f>ROUND(J1632*(1+G1633),8)</f>
        <v/>
      </c>
      <c r="K1633" s="4">
        <f>ROUND(K1632+H1633,8)</f>
        <v/>
      </c>
      <c r="L1633" s="4">
        <f>ROUND(0.9*F1633+0.05*G1633+0.05*H1633,8)</f>
        <v/>
      </c>
    </row>
    <row r="1634">
      <c r="A1634" s="2" t="n">
        <v>46204</v>
      </c>
      <c r="B1634" s="8" t="n">
        <v>3545.38</v>
      </c>
      <c r="C1634" s="8" t="n">
        <v>131.2399</v>
      </c>
      <c r="D1634" s="8" t="n">
        <v>0.35</v>
      </c>
      <c r="E1634">
        <f>A1634-A1633</f>
        <v/>
      </c>
      <c r="F1634" s="4">
        <f>ROUND(B1634/B1633-1,8)</f>
        <v/>
      </c>
      <c r="G1634" s="4">
        <f>ROUND(C1634/C1633-1,8)</f>
        <v/>
      </c>
      <c r="H1634" s="4">
        <f>ROUND(D1634/100/(DATE(YEAR(A1634)+1,1,1)-DATE(YEAR(A1634),1,1))*E1634,8)</f>
        <v/>
      </c>
      <c r="I1634" s="4">
        <f>ROUND(I1633*(1+F1634),8)</f>
        <v/>
      </c>
      <c r="J1634" s="4">
        <f>ROUND(J1633*(1+G1634),8)</f>
        <v/>
      </c>
      <c r="K1634" s="4">
        <f>ROUND(K1633+H1634,8)</f>
        <v/>
      </c>
      <c r="L1634" s="4">
        <f>ROUND(0.9*F1634+0.05*G1634+0.05*H1634,8)</f>
        <v/>
      </c>
    </row>
    <row r="1635">
      <c r="A1635" s="2" t="n">
        <v>46205</v>
      </c>
      <c r="B1635" s="8" t="n">
        <v>3481.71</v>
      </c>
      <c r="C1635" s="8" t="n">
        <v>131.2475</v>
      </c>
      <c r="D1635" s="8" t="n">
        <v>0.35</v>
      </c>
      <c r="E1635">
        <f>A1635-A1634</f>
        <v/>
      </c>
      <c r="F1635" s="4">
        <f>ROUND(B1635/B1634-1,8)</f>
        <v/>
      </c>
      <c r="G1635" s="4">
        <f>ROUND(C1635/C1634-1,8)</f>
        <v/>
      </c>
      <c r="H1635" s="4">
        <f>ROUND(D1635/100/(DATE(YEAR(A1635)+1,1,1)-DATE(YEAR(A1635),1,1))*E1635,8)</f>
        <v/>
      </c>
      <c r="I1635" s="4">
        <f>ROUND(I1634*(1+F1635),8)</f>
        <v/>
      </c>
      <c r="J1635" s="4">
        <f>ROUND(J1634*(1+G1635),8)</f>
        <v/>
      </c>
      <c r="K1635" s="4">
        <f>ROUND(K1634+H1635,8)</f>
        <v/>
      </c>
      <c r="L1635" s="4">
        <f>ROUND(0.9*F1635+0.05*G1635+0.05*H1635,8)</f>
        <v/>
      </c>
    </row>
    <row r="1636">
      <c r="A1636" s="2" t="n">
        <v>46206</v>
      </c>
      <c r="B1636" s="8" t="n">
        <v>3487.72</v>
      </c>
      <c r="C1636" s="8" t="n">
        <v>131.2428</v>
      </c>
      <c r="D1636" s="8" t="n">
        <v>0.35</v>
      </c>
      <c r="E1636">
        <f>A1636-A1635</f>
        <v/>
      </c>
      <c r="F1636" s="4">
        <f>ROUND(B1636/B1635-1,8)</f>
        <v/>
      </c>
      <c r="G1636" s="4">
        <f>ROUND(C1636/C1635-1,8)</f>
        <v/>
      </c>
      <c r="H1636" s="4">
        <f>ROUND(D1636/100/(DATE(YEAR(A1636)+1,1,1)-DATE(YEAR(A1636),1,1))*E1636,8)</f>
        <v/>
      </c>
      <c r="I1636" s="4">
        <f>ROUND(I1635*(1+F1636),8)</f>
        <v/>
      </c>
      <c r="J1636" s="4">
        <f>ROUND(J1635*(1+G1636),8)</f>
        <v/>
      </c>
      <c r="K1636" s="4">
        <f>ROUND(K1635+H1636,8)</f>
        <v/>
      </c>
      <c r="L1636" s="4">
        <f>ROUND(0.9*F1636+0.05*G1636+0.05*H1636,8)</f>
        <v/>
      </c>
    </row>
    <row r="1637">
      <c r="A1637" s="2" t="n">
        <v>46209</v>
      </c>
      <c r="B1637" s="8" t="n">
        <v>3413.56</v>
      </c>
      <c r="C1637" s="8" t="n">
        <v>131.2943</v>
      </c>
      <c r="D1637" s="8" t="n">
        <v>0.35</v>
      </c>
      <c r="E1637">
        <f>A1637-A1636</f>
        <v/>
      </c>
      <c r="F1637" s="4">
        <f>ROUND(B1637/B1636-1,8)</f>
        <v/>
      </c>
      <c r="G1637" s="4">
        <f>ROUND(C1637/C1636-1,8)</f>
        <v/>
      </c>
      <c r="H1637" s="4">
        <f>ROUND(D1637/100/(DATE(YEAR(A1637)+1,1,1)-DATE(YEAR(A1637),1,1))*E1637,8)</f>
        <v/>
      </c>
      <c r="I1637" s="4">
        <f>ROUND(I1636*(1+F1637),8)</f>
        <v/>
      </c>
      <c r="J1637" s="4">
        <f>ROUND(J1636*(1+G1637),8)</f>
        <v/>
      </c>
      <c r="K1637" s="4">
        <f>ROUND(K1636+H1637,8)</f>
        <v/>
      </c>
      <c r="L1637" s="4">
        <f>ROUND(0.9*F1637+0.05*G1637+0.05*H1637,8)</f>
        <v/>
      </c>
    </row>
    <row r="1638">
      <c r="A1638" s="2" t="n">
        <v>46210</v>
      </c>
      <c r="B1638" s="8" t="n">
        <v>3313.11</v>
      </c>
      <c r="C1638" s="8" t="n">
        <v>131.3101</v>
      </c>
      <c r="D1638" s="8" t="n">
        <v>0.35</v>
      </c>
      <c r="E1638">
        <f>A1638-A1637</f>
        <v/>
      </c>
      <c r="F1638" s="4">
        <f>ROUND(B1638/B1637-1,8)</f>
        <v/>
      </c>
      <c r="G1638" s="4">
        <f>ROUND(C1638/C1637-1,8)</f>
        <v/>
      </c>
      <c r="H1638" s="4">
        <f>ROUND(D1638/100/(DATE(YEAR(A1638)+1,1,1)-DATE(YEAR(A1638),1,1))*E1638,8)</f>
        <v/>
      </c>
      <c r="I1638" s="4">
        <f>ROUND(I1637*(1+F1638),8)</f>
        <v/>
      </c>
      <c r="J1638" s="4">
        <f>ROUND(J1637*(1+G1638),8)</f>
        <v/>
      </c>
      <c r="K1638" s="4">
        <f>ROUND(K1637+H1638,8)</f>
        <v/>
      </c>
      <c r="L1638" s="4">
        <f>ROUND(0.9*F1638+0.05*G1638+0.05*H1638,8)</f>
        <v/>
      </c>
    </row>
    <row r="1639">
      <c r="A1639" s="2" t="n">
        <v>46211</v>
      </c>
      <c r="B1639" s="8" t="n">
        <v>3233.47</v>
      </c>
      <c r="C1639" s="8" t="n">
        <v>131.3463</v>
      </c>
      <c r="D1639" s="8" t="n">
        <v>0.35</v>
      </c>
      <c r="E1639">
        <f>A1639-A1638</f>
        <v/>
      </c>
      <c r="F1639" s="4">
        <f>ROUND(B1639/B1638-1,8)</f>
        <v/>
      </c>
      <c r="G1639" s="4">
        <f>ROUND(C1639/C1638-1,8)</f>
        <v/>
      </c>
      <c r="H1639" s="4">
        <f>ROUND(D1639/100/(DATE(YEAR(A1639)+1,1,1)-DATE(YEAR(A1639),1,1))*E1639,8)</f>
        <v/>
      </c>
      <c r="I1639" s="4">
        <f>ROUND(I1638*(1+F1639),8)</f>
        <v/>
      </c>
      <c r="J1639" s="4">
        <f>ROUND(J1638*(1+G1639),8)</f>
        <v/>
      </c>
      <c r="K1639" s="4">
        <f>ROUND(K1638+H1639,8)</f>
        <v/>
      </c>
      <c r="L1639" s="4">
        <f>ROUND(0.9*F1639+0.05*G1639+0.05*H1639,8)</f>
        <v/>
      </c>
    </row>
    <row r="1640">
      <c r="A1640" s="2" t="n">
        <v>46212</v>
      </c>
      <c r="B1640" s="8" t="n">
        <v>3277.07</v>
      </c>
      <c r="C1640" s="8" t="n">
        <v>131.378</v>
      </c>
      <c r="D1640" s="8" t="n">
        <v>0.35</v>
      </c>
      <c r="E1640">
        <f>A1640-A1639</f>
        <v/>
      </c>
      <c r="F1640" s="4">
        <f>ROUND(B1640/B1639-1,8)</f>
        <v/>
      </c>
      <c r="G1640" s="4">
        <f>ROUND(C1640/C1639-1,8)</f>
        <v/>
      </c>
      <c r="H1640" s="4">
        <f>ROUND(D1640/100/(DATE(YEAR(A1640)+1,1,1)-DATE(YEAR(A1640),1,1))*E1640,8)</f>
        <v/>
      </c>
      <c r="I1640" s="4">
        <f>ROUND(I1639*(1+F1640),8)</f>
        <v/>
      </c>
      <c r="J1640" s="4">
        <f>ROUND(J1639*(1+G1640),8)</f>
        <v/>
      </c>
      <c r="K1640" s="4">
        <f>ROUND(K1639+H1640,8)</f>
        <v/>
      </c>
      <c r="L1640" s="4">
        <f>ROUND(0.9*F1640+0.05*G1640+0.05*H1640,8)</f>
        <v/>
      </c>
    </row>
    <row r="1641">
      <c r="A1641" s="2" t="n">
        <v>46213</v>
      </c>
      <c r="B1641" s="8" t="n">
        <v>3272.99</v>
      </c>
      <c r="C1641" s="8" t="n">
        <v>131.3845</v>
      </c>
      <c r="D1641" s="8" t="n">
        <v>0.35</v>
      </c>
      <c r="E1641">
        <f>A1641-A1640</f>
        <v/>
      </c>
      <c r="F1641" s="4">
        <f>ROUND(B1641/B1640-1,8)</f>
        <v/>
      </c>
      <c r="G1641" s="4">
        <f>ROUND(C1641/C1640-1,8)</f>
        <v/>
      </c>
      <c r="H1641" s="4">
        <f>ROUND(D1641/100/(DATE(YEAR(A1641)+1,1,1)-DATE(YEAR(A1641),1,1))*E1641,8)</f>
        <v/>
      </c>
      <c r="I1641" s="4">
        <f>ROUND(I1640*(1+F1641),8)</f>
        <v/>
      </c>
      <c r="J1641" s="4">
        <f>ROUND(J1640*(1+G1641),8)</f>
        <v/>
      </c>
      <c r="K1641" s="4">
        <f>ROUND(K1640+H1641,8)</f>
        <v/>
      </c>
      <c r="L1641" s="4">
        <f>ROUND(0.9*F1641+0.05*G1641+0.05*H1641,8)</f>
        <v/>
      </c>
    </row>
    <row r="1642">
      <c r="A1642" s="2" t="n">
        <v>46216</v>
      </c>
      <c r="B1642" s="8" t="n">
        <v>3088</v>
      </c>
      <c r="C1642" s="8" t="n">
        <v>131.3751</v>
      </c>
      <c r="D1642" s="8" t="n">
        <v>0.35</v>
      </c>
      <c r="E1642">
        <f>A1642-A1641</f>
        <v/>
      </c>
      <c r="F1642" s="4">
        <f>ROUND(B1642/B1641-1,8)</f>
        <v/>
      </c>
      <c r="G1642" s="4">
        <f>ROUND(C1642/C1641-1,8)</f>
        <v/>
      </c>
      <c r="H1642" s="4">
        <f>ROUND(D1642/100/(DATE(YEAR(A1642)+1,1,1)-DATE(YEAR(A1642),1,1))*E1642,8)</f>
        <v/>
      </c>
      <c r="I1642" s="4">
        <f>ROUND(I1641*(1+F1642),8)</f>
        <v/>
      </c>
      <c r="J1642" s="4">
        <f>ROUND(J1641*(1+G1642),8)</f>
        <v/>
      </c>
      <c r="K1642" s="4">
        <f>ROUND(K1641+H1642,8)</f>
        <v/>
      </c>
      <c r="L1642" s="4">
        <f>ROUND(0.9*F1642+0.05*G1642+0.05*H1642,8)</f>
        <v/>
      </c>
    </row>
    <row r="1643">
      <c r="A1643" s="2" t="n">
        <v>46217</v>
      </c>
      <c r="B1643" s="8" t="n">
        <v>3143.76</v>
      </c>
      <c r="C1643" s="8" t="n">
        <v>131.3799</v>
      </c>
      <c r="D1643" s="8" t="n">
        <v>0.35</v>
      </c>
      <c r="E1643">
        <f>A1643-A1642</f>
        <v/>
      </c>
      <c r="F1643" s="4">
        <f>ROUND(B1643/B1642-1,8)</f>
        <v/>
      </c>
      <c r="G1643" s="4">
        <f>ROUND(C1643/C1642-1,8)</f>
        <v/>
      </c>
      <c r="H1643" s="4">
        <f>ROUND(D1643/100/(DATE(YEAR(A1643)+1,1,1)-DATE(YEAR(A1643),1,1))*E1643,8)</f>
        <v/>
      </c>
      <c r="I1643" s="4">
        <f>ROUND(I1642*(1+F1643),8)</f>
        <v/>
      </c>
      <c r="J1643" s="4">
        <f>ROUND(J1642*(1+G1643),8)</f>
        <v/>
      </c>
      <c r="K1643" s="4">
        <f>ROUND(K1642+H1643,8)</f>
        <v/>
      </c>
      <c r="L1643" s="4">
        <f>ROUND(0.9*F1643+0.05*G1643+0.05*H1643,8)</f>
        <v/>
      </c>
    </row>
    <row r="1644">
      <c r="A1644" s="2" t="n">
        <v>46218</v>
      </c>
      <c r="B1644" s="8" t="n">
        <v>3118.75</v>
      </c>
      <c r="C1644" s="8" t="n">
        <v>131.3925</v>
      </c>
      <c r="D1644" s="8" t="n">
        <v>0.35</v>
      </c>
      <c r="E1644">
        <f>A1644-A1643</f>
        <v/>
      </c>
      <c r="F1644" s="4">
        <f>ROUND(B1644/B1643-1,8)</f>
        <v/>
      </c>
      <c r="G1644" s="4">
        <f>ROUND(C1644/C1643-1,8)</f>
        <v/>
      </c>
      <c r="H1644" s="4">
        <f>ROUND(D1644/100/(DATE(YEAR(A1644)+1,1,1)-DATE(YEAR(A1644),1,1))*E1644,8)</f>
        <v/>
      </c>
      <c r="I1644" s="4">
        <f>ROUND(I1643*(1+F1644),8)</f>
        <v/>
      </c>
      <c r="J1644" s="4">
        <f>ROUND(J1643*(1+G1644),8)</f>
        <v/>
      </c>
      <c r="K1644" s="4">
        <f>ROUND(K1643+H1644,8)</f>
        <v/>
      </c>
      <c r="L1644" s="4">
        <f>ROUND(0.9*F1644+0.05*G1644+0.05*H1644,8)</f>
        <v/>
      </c>
    </row>
    <row r="1645">
      <c r="A1645" s="2" t="n">
        <v>46219</v>
      </c>
      <c r="B1645" s="8" t="n">
        <v>3060.62</v>
      </c>
      <c r="C1645" s="8" t="n">
        <v>131.3793</v>
      </c>
      <c r="D1645" s="8" t="n">
        <v>0.35</v>
      </c>
      <c r="E1645">
        <f>A1645-A1644</f>
        <v/>
      </c>
      <c r="F1645" s="4">
        <f>ROUND(B1645/B1644-1,8)</f>
        <v/>
      </c>
      <c r="G1645" s="4">
        <f>ROUND(C1645/C1644-1,8)</f>
        <v/>
      </c>
      <c r="H1645" s="4">
        <f>ROUND(D1645/100/(DATE(YEAR(A1645)+1,1,1)-DATE(YEAR(A1645),1,1))*E1645,8)</f>
        <v/>
      </c>
      <c r="I1645" s="4">
        <f>ROUND(I1644*(1+F1645),8)</f>
        <v/>
      </c>
      <c r="J1645" s="4">
        <f>ROUND(J1644*(1+G1645),8)</f>
        <v/>
      </c>
      <c r="K1645" s="4">
        <f>ROUND(K1644+H1645,8)</f>
        <v/>
      </c>
      <c r="L1645" s="4">
        <f>ROUND(0.9*F1645+0.05*G1645+0.05*H1645,8)</f>
        <v/>
      </c>
    </row>
    <row r="1646">
      <c r="A1646" s="2" t="n">
        <v>46220</v>
      </c>
      <c r="B1646" s="8" t="n">
        <v>2871.41</v>
      </c>
      <c r="C1646" s="8" t="n">
        <v>131.3987</v>
      </c>
      <c r="D1646" s="8" t="n">
        <v>0.35</v>
      </c>
      <c r="E1646">
        <f>A1646-A1645</f>
        <v/>
      </c>
      <c r="F1646" s="4">
        <f>ROUND(B1646/B1645-1,8)</f>
        <v/>
      </c>
      <c r="G1646" s="4">
        <f>ROUND(C1646/C1645-1,8)</f>
        <v/>
      </c>
      <c r="H1646" s="4">
        <f>ROUND(D1646/100/(DATE(YEAR(A1646)+1,1,1)-DATE(YEAR(A1646),1,1))*E1646,8)</f>
        <v/>
      </c>
      <c r="I1646" s="4">
        <f>ROUND(I1645*(1+F1646),8)</f>
        <v/>
      </c>
      <c r="J1646" s="4">
        <f>ROUND(J1645*(1+G1646),8)</f>
        <v/>
      </c>
      <c r="K1646" s="4">
        <f>ROUND(K1645+H1646,8)</f>
        <v/>
      </c>
      <c r="L1646" s="4">
        <f>ROUND(0.9*F1646+0.05*G1646+0.05*H1646,8)</f>
        <v/>
      </c>
    </row>
    <row r="1647">
      <c r="A1647" s="2" t="n">
        <v>46223</v>
      </c>
      <c r="B1647" s="8" t="n">
        <v>2754.73</v>
      </c>
      <c r="C1647" s="8" t="n">
        <v>131.3785</v>
      </c>
      <c r="D1647" s="8" t="n">
        <v>0.35</v>
      </c>
      <c r="E1647">
        <f>A1647-A1646</f>
        <v/>
      </c>
      <c r="F1647" s="4">
        <f>ROUND(B1647/B1646-1,8)</f>
        <v/>
      </c>
      <c r="G1647" s="4">
        <f>ROUND(C1647/C1646-1,8)</f>
        <v/>
      </c>
      <c r="H1647" s="4">
        <f>ROUND(D1647/100/(DATE(YEAR(A1647)+1,1,1)-DATE(YEAR(A1647),1,1))*E1647,8)</f>
        <v/>
      </c>
      <c r="I1647" s="4">
        <f>ROUND(I1646*(1+F1647),8)</f>
        <v/>
      </c>
      <c r="J1647" s="4">
        <f>ROUND(J1646*(1+G1647),8)</f>
        <v/>
      </c>
      <c r="K1647" s="4">
        <f>ROUND(K1646+H1647,8)</f>
        <v/>
      </c>
      <c r="L1647" s="4">
        <f>ROUND(0.9*F1647+0.05*G1647+0.05*H1647,8)</f>
        <v/>
      </c>
    </row>
    <row r="1648">
      <c r="A1648" s="2" t="n">
        <v>46224</v>
      </c>
      <c r="B1648" s="8" t="n">
        <v>2821.81</v>
      </c>
      <c r="C1648" s="8" t="n">
        <v>131.39</v>
      </c>
      <c r="D1648" s="8" t="n">
        <v>0.35</v>
      </c>
      <c r="E1648">
        <f>A1648-A1647</f>
        <v/>
      </c>
      <c r="F1648" s="4">
        <f>ROUND(B1648/B1647-1,8)</f>
        <v/>
      </c>
      <c r="G1648" s="4">
        <f>ROUND(C1648/C1647-1,8)</f>
        <v/>
      </c>
      <c r="H1648" s="4">
        <f>ROUND(D1648/100/(DATE(YEAR(A1648)+1,1,1)-DATE(YEAR(A1648),1,1))*E1648,8)</f>
        <v/>
      </c>
      <c r="I1648" s="4">
        <f>ROUND(I1647*(1+F1648),8)</f>
        <v/>
      </c>
      <c r="J1648" s="4">
        <f>ROUND(J1647*(1+G1648),8)</f>
        <v/>
      </c>
      <c r="K1648" s="4">
        <f>ROUND(K1647+H1648,8)</f>
        <v/>
      </c>
      <c r="L1648" s="4">
        <f>ROUND(0.9*F1648+0.05*G1648+0.05*H1648,8)</f>
        <v/>
      </c>
    </row>
    <row r="1649">
      <c r="A1649" s="2" t="n">
        <v>46225</v>
      </c>
      <c r="B1649" s="8" t="n">
        <v>2786.28</v>
      </c>
      <c r="C1649" s="8" t="n">
        <v>131.4842</v>
      </c>
      <c r="D1649" s="8" t="n">
        <v>0.35</v>
      </c>
      <c r="E1649">
        <f>A1649-A1648</f>
        <v/>
      </c>
      <c r="F1649" s="4">
        <f>ROUND(B1649/B1648-1,8)</f>
        <v/>
      </c>
      <c r="G1649" s="4">
        <f>ROUND(C1649/C1648-1,8)</f>
        <v/>
      </c>
      <c r="H1649" s="4">
        <f>ROUND(D1649/100/(DATE(YEAR(A1649)+1,1,1)-DATE(YEAR(A1649),1,1))*E1649,8)</f>
        <v/>
      </c>
      <c r="I1649" s="4">
        <f>ROUND(I1648*(1+F1649),8)</f>
        <v/>
      </c>
      <c r="J1649" s="4">
        <f>ROUND(J1648*(1+G1649),8)</f>
        <v/>
      </c>
      <c r="K1649" s="4">
        <f>ROUND(K1648+H1649,8)</f>
        <v/>
      </c>
      <c r="L1649" s="4">
        <f>ROUND(0.9*F1649+0.05*G1649+0.05*H1649,8)</f>
        <v/>
      </c>
    </row>
    <row r="1650">
      <c r="A1650" s="2" t="n">
        <v>46226</v>
      </c>
      <c r="B1650" s="8" t="n">
        <v>2832.84</v>
      </c>
      <c r="C1650" s="8" t="n">
        <v>131.522</v>
      </c>
      <c r="D1650" s="8" t="n">
        <v>0.35</v>
      </c>
      <c r="E1650">
        <f>A1650-A1649</f>
        <v/>
      </c>
      <c r="F1650" s="4">
        <f>ROUND(B1650/B1649-1,8)</f>
        <v/>
      </c>
      <c r="G1650" s="4">
        <f>ROUND(C1650/C1649-1,8)</f>
        <v/>
      </c>
      <c r="H1650" s="4">
        <f>ROUND(D1650/100/(DATE(YEAR(A1650)+1,1,1)-DATE(YEAR(A1650),1,1))*E1650,8)</f>
        <v/>
      </c>
      <c r="I1650" s="4">
        <f>ROUND(I1649*(1+F1650),8)</f>
        <v/>
      </c>
      <c r="J1650" s="4">
        <f>ROUND(J1649*(1+G1650),8)</f>
        <v/>
      </c>
      <c r="K1650" s="4">
        <f>ROUND(K1649+H1650,8)</f>
        <v/>
      </c>
      <c r="L1650" s="4">
        <f>ROUND(0.9*F1650+0.05*G1650+0.05*H1650,8)</f>
        <v/>
      </c>
    </row>
    <row r="1651">
      <c r="A1651" s="2" t="n">
        <v>46227</v>
      </c>
      <c r="B1651" s="8" t="n">
        <v>2754.64</v>
      </c>
      <c r="C1651" s="8" t="n">
        <v>131.5468</v>
      </c>
      <c r="D1651" s="8" t="n">
        <v>0.35</v>
      </c>
      <c r="E1651">
        <f>A1651-A1650</f>
        <v/>
      </c>
      <c r="F1651" s="4">
        <f>ROUND(B1651/B1650-1,8)</f>
        <v/>
      </c>
      <c r="G1651" s="4">
        <f>ROUND(C1651/C1650-1,8)</f>
        <v/>
      </c>
      <c r="H1651" s="4">
        <f>ROUND(D1651/100/(DATE(YEAR(A1651)+1,1,1)-DATE(YEAR(A1651),1,1))*E1651,8)</f>
        <v/>
      </c>
      <c r="I1651" s="4">
        <f>ROUND(I1650*(1+F1651),8)</f>
        <v/>
      </c>
      <c r="J1651" s="4">
        <f>ROUND(J1650*(1+G1651),8)</f>
        <v/>
      </c>
      <c r="K1651" s="4">
        <f>ROUND(K1650+H1651,8)</f>
        <v/>
      </c>
      <c r="L1651" s="4">
        <f>ROUND(0.9*F1651+0.05*G1651+0.05*H1651,8)</f>
        <v/>
      </c>
    </row>
    <row r="1652">
      <c r="A1652" s="2" t="n">
        <v>46230</v>
      </c>
      <c r="B1652" s="8" t="n">
        <v>2851.72</v>
      </c>
      <c r="C1652" s="8" t="n">
        <v>131.563</v>
      </c>
      <c r="D1652" s="8" t="n">
        <v>0.35</v>
      </c>
      <c r="E1652">
        <f>A1652-A1651</f>
        <v/>
      </c>
      <c r="F1652" s="4">
        <f>ROUND(B1652/B1651-1,8)</f>
        <v/>
      </c>
      <c r="G1652" s="4">
        <f>ROUND(C1652/C1651-1,8)</f>
        <v/>
      </c>
      <c r="H1652" s="4">
        <f>ROUND(D1652/100/(DATE(YEAR(A1652)+1,1,1)-DATE(YEAR(A1652),1,1))*E1652,8)</f>
        <v/>
      </c>
      <c r="I1652" s="4">
        <f>ROUND(I1651*(1+F1652),8)</f>
        <v/>
      </c>
      <c r="J1652" s="4">
        <f>ROUND(J1651*(1+G1652),8)</f>
        <v/>
      </c>
      <c r="K1652" s="4">
        <f>ROUND(K1651+H1652,8)</f>
        <v/>
      </c>
      <c r="L1652" s="4">
        <f>ROUND(0.9*F1652+0.05*G1652+0.05*H1652,8)</f>
        <v/>
      </c>
    </row>
    <row r="1653">
      <c r="A1653" s="2" t="n">
        <v>46231</v>
      </c>
      <c r="B1653" s="8" t="n">
        <v>2803.37</v>
      </c>
      <c r="C1653" s="8" t="n">
        <v>131.5685</v>
      </c>
      <c r="D1653" s="8" t="n">
        <v>0.35</v>
      </c>
      <c r="E1653">
        <f>A1653-A1652</f>
        <v/>
      </c>
      <c r="F1653" s="4">
        <f>ROUND(B1653/B1652-1,8)</f>
        <v/>
      </c>
      <c r="G1653" s="4">
        <f>ROUND(C1653/C1652-1,8)</f>
        <v/>
      </c>
      <c r="H1653" s="4">
        <f>ROUND(D1653/100/(DATE(YEAR(A1653)+1,1,1)-DATE(YEAR(A1653),1,1))*E1653,8)</f>
        <v/>
      </c>
      <c r="I1653" s="4">
        <f>ROUND(I1652*(1+F1653),8)</f>
        <v/>
      </c>
      <c r="J1653" s="4">
        <f>ROUND(J1652*(1+G1653),8)</f>
        <v/>
      </c>
      <c r="K1653" s="4">
        <f>ROUND(K1652+H1653,8)</f>
        <v/>
      </c>
      <c r="L1653" s="4">
        <f>ROUND(0.9*F1653+0.05*G1653+0.05*H1653,8)</f>
        <v/>
      </c>
    </row>
    <row r="1654">
      <c r="A1654" s="2" t="n">
        <v>46232</v>
      </c>
      <c r="B1654" s="8" t="n">
        <v>2815.12</v>
      </c>
      <c r="C1654" s="8" t="n">
        <v>131.5675</v>
      </c>
      <c r="D1654" s="8" t="n">
        <v>0.35</v>
      </c>
      <c r="E1654">
        <f>A1654-A1653</f>
        <v/>
      </c>
      <c r="F1654" s="4">
        <f>ROUND(B1654/B1653-1,8)</f>
        <v/>
      </c>
      <c r="G1654" s="4">
        <f>ROUND(C1654/C1653-1,8)</f>
        <v/>
      </c>
      <c r="H1654" s="4">
        <f>ROUND(D1654/100/(DATE(YEAR(A1654)+1,1,1)-DATE(YEAR(A1654),1,1))*E1654,8)</f>
        <v/>
      </c>
      <c r="I1654" s="4">
        <f>ROUND(I1653*(1+F1654),8)</f>
        <v/>
      </c>
      <c r="J1654" s="4">
        <f>ROUND(J1653*(1+G1654),8)</f>
        <v/>
      </c>
      <c r="K1654" s="4">
        <f>ROUND(K1653+H1654,8)</f>
        <v/>
      </c>
      <c r="L1654" s="4">
        <f>ROUND(0.9*F1654+0.05*G1654+0.05*H1654,8)</f>
        <v/>
      </c>
    </row>
    <row r="1655">
      <c r="A1655" s="2" t="n">
        <v>46233</v>
      </c>
      <c r="B1655" s="8" t="n">
        <v>2722.13</v>
      </c>
      <c r="C1655" s="8" t="n">
        <v>131.6292</v>
      </c>
      <c r="D1655" s="8" t="n">
        <v>0.35</v>
      </c>
      <c r="E1655">
        <f>A1655-A1654</f>
        <v/>
      </c>
      <c r="F1655" s="4">
        <f>ROUND(B1655/B1654-1,8)</f>
        <v/>
      </c>
      <c r="G1655" s="4">
        <f>ROUND(C1655/C1654-1,8)</f>
        <v/>
      </c>
      <c r="H1655" s="4">
        <f>ROUND(D1655/100/(DATE(YEAR(A1655)+1,1,1)-DATE(YEAR(A1655),1,1))*E1655,8)</f>
        <v/>
      </c>
      <c r="I1655" s="4">
        <f>ROUND(I1654*(1+F1655),8)</f>
        <v/>
      </c>
      <c r="J1655" s="4">
        <f>ROUND(J1654*(1+G1655),8)</f>
        <v/>
      </c>
      <c r="K1655" s="4">
        <f>ROUND(K1654+H1655,8)</f>
        <v/>
      </c>
      <c r="L1655" s="4">
        <f>ROUND(0.9*F1655+0.05*G1655+0.05*H1655,8)</f>
        <v/>
      </c>
    </row>
    <row r="1656">
      <c r="A1656" s="2" t="n">
        <v>46234</v>
      </c>
      <c r="B1656" s="8" t="n">
        <v>2809.21</v>
      </c>
      <c r="C1656" s="8" t="n">
        <v>131.6856</v>
      </c>
      <c r="D1656" s="8" t="n">
        <v>0.35</v>
      </c>
      <c r="E1656">
        <f>A1656-A1655</f>
        <v/>
      </c>
      <c r="F1656" s="4">
        <f>ROUND(B1656/B1655-1,8)</f>
        <v/>
      </c>
      <c r="G1656" s="4">
        <f>ROUND(C1656/C1655-1,8)</f>
        <v/>
      </c>
      <c r="H1656" s="4">
        <f>ROUND(D1656/100/(DATE(YEAR(A1656)+1,1,1)-DATE(YEAR(A1656),1,1))*E1656,8)</f>
        <v/>
      </c>
      <c r="I1656" s="4">
        <f>ROUND(I1655*(1+F1656),8)</f>
        <v/>
      </c>
      <c r="J1656" s="4">
        <f>ROUND(J1655*(1+G1656),8)</f>
        <v/>
      </c>
      <c r="K1656" s="4">
        <f>ROUND(K1655+H1656,8)</f>
        <v/>
      </c>
      <c r="L1656" s="4">
        <f>ROUND(0.9*F1656+0.05*G1656+0.05*H1656,8)</f>
        <v/>
      </c>
    </row>
    <row r="1657">
      <c r="A1657" s="2" t="n">
        <v>46237</v>
      </c>
      <c r="B1657" s="8" t="n">
        <v>2839.16</v>
      </c>
      <c r="C1657" s="8" t="n">
        <v>131.7174</v>
      </c>
      <c r="D1657" s="8" t="n">
        <v>0.35</v>
      </c>
      <c r="E1657">
        <f>A1657-A1656</f>
        <v/>
      </c>
      <c r="F1657" s="4">
        <f>ROUND(B1657/B1656-1,8)</f>
        <v/>
      </c>
      <c r="G1657" s="4">
        <f>ROUND(C1657/C1656-1,8)</f>
        <v/>
      </c>
      <c r="H1657" s="4">
        <f>ROUND(D1657/100/(DATE(YEAR(A1657)+1,1,1)-DATE(YEAR(A1657),1,1))*E1657,8)</f>
        <v/>
      </c>
      <c r="I1657" s="4">
        <f>ROUND(I1656*(1+F1657),8)</f>
        <v/>
      </c>
      <c r="J1657" s="4">
        <f>ROUND(J1656*(1+G1657),8)</f>
        <v/>
      </c>
      <c r="K1657" s="4">
        <f>ROUND(K1656+H1657,8)</f>
        <v/>
      </c>
      <c r="L1657" s="4">
        <f>ROUND(0.9*F1657+0.05*G1657+0.05*H1657,8)</f>
        <v/>
      </c>
    </row>
    <row r="1658">
      <c r="A1658" s="2" t="n">
        <v>46238</v>
      </c>
      <c r="B1658" s="8" t="n">
        <v>2920.81</v>
      </c>
      <c r="C1658" s="8" t="n">
        <v>131.747</v>
      </c>
      <c r="D1658" s="8" t="n">
        <v>0.35</v>
      </c>
      <c r="E1658">
        <f>A1658-A1657</f>
        <v/>
      </c>
      <c r="F1658" s="4">
        <f>ROUND(B1658/B1657-1,8)</f>
        <v/>
      </c>
      <c r="G1658" s="4">
        <f>ROUND(C1658/C1657-1,8)</f>
        <v/>
      </c>
      <c r="H1658" s="4">
        <f>ROUND(D1658/100/(DATE(YEAR(A1658)+1,1,1)-DATE(YEAR(A1658),1,1))*E1658,8)</f>
        <v/>
      </c>
      <c r="I1658" s="4">
        <f>ROUND(I1657*(1+F1658),8)</f>
        <v/>
      </c>
      <c r="J1658" s="4">
        <f>ROUND(J1657*(1+G1658),8)</f>
        <v/>
      </c>
      <c r="K1658" s="4">
        <f>ROUND(K1657+H1658,8)</f>
        <v/>
      </c>
      <c r="L1658" s="4">
        <f>ROUND(0.9*F1658+0.05*G1658+0.05*H1658,8)</f>
        <v/>
      </c>
    </row>
    <row r="1659">
      <c r="A1659" s="2" t="n">
        <v>46239</v>
      </c>
      <c r="B1659" s="8" t="n">
        <v>3000.29</v>
      </c>
      <c r="C1659" s="8" t="n">
        <v>131.757</v>
      </c>
      <c r="D1659" s="8" t="n">
        <v>0.35</v>
      </c>
      <c r="E1659">
        <f>A1659-A1658</f>
        <v/>
      </c>
      <c r="F1659" s="4">
        <f>ROUND(B1659/B1658-1,8)</f>
        <v/>
      </c>
      <c r="G1659" s="4">
        <f>ROUND(C1659/C1658-1,8)</f>
        <v/>
      </c>
      <c r="H1659" s="4">
        <f>ROUND(D1659/100/(DATE(YEAR(A1659)+1,1,1)-DATE(YEAR(A1659),1,1))*E1659,8)</f>
        <v/>
      </c>
      <c r="I1659" s="4">
        <f>ROUND(I1658*(1+F1659),8)</f>
        <v/>
      </c>
      <c r="J1659" s="4">
        <f>ROUND(J1658*(1+G1659),8)</f>
        <v/>
      </c>
      <c r="K1659" s="4">
        <f>ROUND(K1658+H1659,8)</f>
        <v/>
      </c>
      <c r="L1659" s="4">
        <f>ROUND(0.9*F1659+0.05*G1659+0.05*H1659,8)</f>
        <v/>
      </c>
    </row>
    <row r="1660">
      <c r="A1660" s="2" t="n">
        <v>46240</v>
      </c>
      <c r="B1660" s="8" t="n">
        <v>3036.47</v>
      </c>
      <c r="C1660" s="8" t="n">
        <v>131.7596</v>
      </c>
      <c r="D1660" s="8" t="n">
        <v>0.35</v>
      </c>
      <c r="E1660">
        <f>A1660-A1659</f>
        <v/>
      </c>
      <c r="F1660" s="4">
        <f>ROUND(B1660/B1659-1,8)</f>
        <v/>
      </c>
      <c r="G1660" s="4">
        <f>ROUND(C1660/C1659-1,8)</f>
        <v/>
      </c>
      <c r="H1660" s="4">
        <f>ROUND(D1660/100/(DATE(YEAR(A1660)+1,1,1)-DATE(YEAR(A1660),1,1))*E1660,8)</f>
        <v/>
      </c>
      <c r="I1660" s="4">
        <f>ROUND(I1659*(1+F1660),8)</f>
        <v/>
      </c>
      <c r="J1660" s="4">
        <f>ROUND(J1659*(1+G1660),8)</f>
        <v/>
      </c>
      <c r="K1660" s="4">
        <f>ROUND(K1659+H1660,8)</f>
        <v/>
      </c>
      <c r="L1660" s="4">
        <f>ROUND(0.9*F1660+0.05*G1660+0.05*H1660,8)</f>
        <v/>
      </c>
    </row>
    <row r="1661">
      <c r="A1661" s="2" t="n">
        <v>46241</v>
      </c>
      <c r="B1661" s="8" t="n">
        <v>3085.26</v>
      </c>
      <c r="C1661" s="8" t="n">
        <v>131.7911</v>
      </c>
      <c r="D1661" s="8" t="n">
        <v>0.35</v>
      </c>
      <c r="E1661">
        <f>A1661-A1660</f>
        <v/>
      </c>
      <c r="F1661" s="4">
        <f>ROUND(B1661/B1660-1,8)</f>
        <v/>
      </c>
      <c r="G1661" s="4">
        <f>ROUND(C1661/C1660-1,8)</f>
        <v/>
      </c>
      <c r="H1661" s="4">
        <f>ROUND(D1661/100/(DATE(YEAR(A1661)+1,1,1)-DATE(YEAR(A1661),1,1))*E1661,8)</f>
        <v/>
      </c>
      <c r="I1661" s="4">
        <f>ROUND(I1660*(1+F1661),8)</f>
        <v/>
      </c>
      <c r="J1661" s="4">
        <f>ROUND(J1660*(1+G1661),8)</f>
        <v/>
      </c>
      <c r="K1661" s="4">
        <f>ROUND(K1660+H1661,8)</f>
        <v/>
      </c>
      <c r="L1661" s="4">
        <f>ROUND(0.9*F1661+0.05*G1661+0.05*H1661,8)</f>
        <v/>
      </c>
    </row>
    <row r="1662">
      <c r="A1662" s="2" t="n">
        <v>46244</v>
      </c>
      <c r="B1662" s="8" t="n">
        <v>3120.83</v>
      </c>
      <c r="C1662" s="8" t="n">
        <v>131.8616</v>
      </c>
      <c r="D1662" s="8" t="n">
        <v>0.35</v>
      </c>
      <c r="E1662">
        <f>A1662-A1661</f>
        <v/>
      </c>
      <c r="F1662" s="4">
        <f>ROUND(B1662/B1661-1,8)</f>
        <v/>
      </c>
      <c r="G1662" s="4">
        <f>ROUND(C1662/C1661-1,8)</f>
        <v/>
      </c>
      <c r="H1662" s="4">
        <f>ROUND(D1662/100/(DATE(YEAR(A1662)+1,1,1)-DATE(YEAR(A1662),1,1))*E1662,8)</f>
        <v/>
      </c>
      <c r="I1662" s="4">
        <f>ROUND(I1661*(1+F1662),8)</f>
        <v/>
      </c>
      <c r="J1662" s="4">
        <f>ROUND(J1661*(1+G1662),8)</f>
        <v/>
      </c>
      <c r="K1662" s="4">
        <f>ROUND(K1661+H1662,8)</f>
        <v/>
      </c>
      <c r="L1662" s="4">
        <f>ROUND(0.9*F1662+0.05*G1662+0.05*H1662,8)</f>
        <v/>
      </c>
    </row>
    <row r="1663">
      <c r="A1663" s="2" t="n">
        <v>46245</v>
      </c>
      <c r="B1663" s="8" t="n">
        <v>3105.74</v>
      </c>
      <c r="C1663" s="8" t="n">
        <v>131.8434</v>
      </c>
      <c r="D1663" s="8" t="n">
        <v>0.35</v>
      </c>
      <c r="E1663">
        <f>A1663-A1662</f>
        <v/>
      </c>
      <c r="F1663" s="4">
        <f>ROUND(B1663/B1662-1,8)</f>
        <v/>
      </c>
      <c r="G1663" s="4">
        <f>ROUND(C1663/C1662-1,8)</f>
        <v/>
      </c>
      <c r="H1663" s="4">
        <f>ROUND(D1663/100/(DATE(YEAR(A1663)+1,1,1)-DATE(YEAR(A1663),1,1))*E1663,8)</f>
        <v/>
      </c>
      <c r="I1663" s="4">
        <f>ROUND(I1662*(1+F1663),8)</f>
        <v/>
      </c>
      <c r="J1663" s="4">
        <f>ROUND(J1662*(1+G1663),8)</f>
        <v/>
      </c>
      <c r="K1663" s="4">
        <f>ROUND(K1662+H1663,8)</f>
        <v/>
      </c>
      <c r="L1663" s="4">
        <f>ROUND(0.9*F1663+0.05*G1663+0.05*H1663,8)</f>
        <v/>
      </c>
    </row>
    <row r="1664">
      <c r="A1664" s="2" t="n">
        <v>46246</v>
      </c>
      <c r="B1664" s="8" t="n">
        <v>3159.98</v>
      </c>
      <c r="C1664" s="8" t="n">
        <v>131.8403</v>
      </c>
      <c r="D1664" s="8" t="n">
        <v>0.35</v>
      </c>
      <c r="E1664">
        <f>A1664-A1663</f>
        <v/>
      </c>
      <c r="F1664" s="4">
        <f>ROUND(B1664/B1663-1,8)</f>
        <v/>
      </c>
      <c r="G1664" s="4">
        <f>ROUND(C1664/C1663-1,8)</f>
        <v/>
      </c>
      <c r="H1664" s="4">
        <f>ROUND(D1664/100/(DATE(YEAR(A1664)+1,1,1)-DATE(YEAR(A1664),1,1))*E1664,8)</f>
        <v/>
      </c>
      <c r="I1664" s="4">
        <f>ROUND(I1663*(1+F1664),8)</f>
        <v/>
      </c>
      <c r="J1664" s="4">
        <f>ROUND(J1663*(1+G1664),8)</f>
        <v/>
      </c>
      <c r="K1664" s="4">
        <f>ROUND(K1663+H1664,8)</f>
        <v/>
      </c>
      <c r="L1664" s="4">
        <f>ROUND(0.9*F1664+0.05*G1664+0.05*H1664,8)</f>
        <v/>
      </c>
    </row>
    <row r="1665">
      <c r="A1665" s="2" t="n">
        <v>46247</v>
      </c>
      <c r="B1665" s="8" t="n">
        <v>3124.79</v>
      </c>
      <c r="C1665" s="8" t="n">
        <v>131.9178</v>
      </c>
      <c r="D1665" s="8" t="n">
        <v>0.35</v>
      </c>
      <c r="E1665">
        <f>A1665-A1664</f>
        <v/>
      </c>
      <c r="F1665" s="4">
        <f>ROUND(B1665/B1664-1,8)</f>
        <v/>
      </c>
      <c r="G1665" s="4">
        <f>ROUND(C1665/C1664-1,8)</f>
        <v/>
      </c>
      <c r="H1665" s="4">
        <f>ROUND(D1665/100/(DATE(YEAR(A1665)+1,1,1)-DATE(YEAR(A1665),1,1))*E1665,8)</f>
        <v/>
      </c>
      <c r="I1665" s="4">
        <f>ROUND(I1664*(1+F1665),8)</f>
        <v/>
      </c>
      <c r="J1665" s="4">
        <f>ROUND(J1664*(1+G1665),8)</f>
        <v/>
      </c>
      <c r="K1665" s="4">
        <f>ROUND(K1664+H1665,8)</f>
        <v/>
      </c>
      <c r="L1665" s="4">
        <f>ROUND(0.9*F1665+0.05*G1665+0.05*H1665,8)</f>
        <v/>
      </c>
    </row>
    <row r="1666">
      <c r="A1666" s="2" t="n">
        <v>46248</v>
      </c>
      <c r="B1666" s="8" t="n">
        <v>3149.14</v>
      </c>
      <c r="C1666" s="8" t="n">
        <v>131.9594</v>
      </c>
      <c r="D1666" s="8" t="n">
        <v>0.35</v>
      </c>
      <c r="E1666">
        <f>A1666-A1665</f>
        <v/>
      </c>
      <c r="F1666" s="4">
        <f>ROUND(B1666/B1665-1,8)</f>
        <v/>
      </c>
      <c r="G1666" s="4">
        <f>ROUND(C1666/C1665-1,8)</f>
        <v/>
      </c>
      <c r="H1666" s="4">
        <f>ROUND(D1666/100/(DATE(YEAR(A1666)+1,1,1)-DATE(YEAR(A1666),1,1))*E1666,8)</f>
        <v/>
      </c>
      <c r="I1666" s="4">
        <f>ROUND(I1665*(1+F1666),8)</f>
        <v/>
      </c>
      <c r="J1666" s="4">
        <f>ROUND(J1665*(1+G1666),8)</f>
        <v/>
      </c>
      <c r="K1666" s="4">
        <f>ROUND(K1665+H1666,8)</f>
        <v/>
      </c>
      <c r="L1666" s="4">
        <f>ROUND(0.9*F1666+0.05*G1666+0.05*H1666,8)</f>
        <v/>
      </c>
    </row>
    <row r="1667">
      <c r="A1667" s="2" t="n">
        <v>46251</v>
      </c>
      <c r="B1667" s="8" t="n">
        <v>3225.64</v>
      </c>
      <c r="C1667" s="8" t="n">
        <v>131.9719</v>
      </c>
      <c r="D1667" s="8" t="n">
        <v>0.35</v>
      </c>
      <c r="E1667">
        <f>A1667-A1666</f>
        <v/>
      </c>
      <c r="F1667" s="4">
        <f>ROUND(B1667/B1666-1,8)</f>
        <v/>
      </c>
      <c r="G1667" s="4">
        <f>ROUND(C1667/C1666-1,8)</f>
        <v/>
      </c>
      <c r="H1667" s="4">
        <f>ROUND(D1667/100/(DATE(YEAR(A1667)+1,1,1)-DATE(YEAR(A1667),1,1))*E1667,8)</f>
        <v/>
      </c>
      <c r="I1667" s="4">
        <f>ROUND(I1666*(1+F1667),8)</f>
        <v/>
      </c>
      <c r="J1667" s="4">
        <f>ROUND(J1666*(1+G1667),8)</f>
        <v/>
      </c>
      <c r="K1667" s="4">
        <f>ROUND(K1666+H1667,8)</f>
        <v/>
      </c>
      <c r="L1667" s="4">
        <f>ROUND(0.9*F1667+0.05*G1667+0.05*H1667,8)</f>
        <v/>
      </c>
    </row>
    <row r="1668">
      <c r="A1668" s="2" t="n">
        <v>46252</v>
      </c>
      <c r="B1668" s="8" t="n">
        <v>3217.11</v>
      </c>
      <c r="C1668" s="8" t="n">
        <v>132.0393</v>
      </c>
      <c r="D1668" s="8" t="n">
        <v>0.35</v>
      </c>
      <c r="E1668">
        <f>A1668-A1667</f>
        <v/>
      </c>
      <c r="F1668" s="4">
        <f>ROUND(B1668/B1667-1,8)</f>
        <v/>
      </c>
      <c r="G1668" s="4">
        <f>ROUND(C1668/C1667-1,8)</f>
        <v/>
      </c>
      <c r="H1668" s="4">
        <f>ROUND(D1668/100/(DATE(YEAR(A1668)+1,1,1)-DATE(YEAR(A1668),1,1))*E1668,8)</f>
        <v/>
      </c>
      <c r="I1668" s="4">
        <f>ROUND(I1667*(1+F1668),8)</f>
        <v/>
      </c>
      <c r="J1668" s="4">
        <f>ROUND(J1667*(1+G1668),8)</f>
        <v/>
      </c>
      <c r="K1668" s="4">
        <f>ROUND(K1667+H1668,8)</f>
        <v/>
      </c>
      <c r="L1668" s="4">
        <f>ROUND(0.9*F1668+0.05*G1668+0.05*H1668,8)</f>
        <v/>
      </c>
    </row>
    <row r="1669">
      <c r="A1669" s="2" t="n">
        <v>46253</v>
      </c>
      <c r="B1669" s="8" t="n">
        <v>3037.11</v>
      </c>
      <c r="C1669" s="8" t="n">
        <v>132.0195</v>
      </c>
      <c r="D1669" s="8" t="n">
        <v>0.35</v>
      </c>
      <c r="E1669">
        <f>A1669-A1668</f>
        <v/>
      </c>
      <c r="F1669" s="4">
        <f>ROUND(B1669/B1668-1,8)</f>
        <v/>
      </c>
      <c r="G1669" s="4">
        <f>ROUND(C1669/C1668-1,8)</f>
        <v/>
      </c>
      <c r="H1669" s="4">
        <f>ROUND(D1669/100/(DATE(YEAR(A1669)+1,1,1)-DATE(YEAR(A1669),1,1))*E1669,8)</f>
        <v/>
      </c>
      <c r="I1669" s="4">
        <f>ROUND(I1668*(1+F1669),8)</f>
        <v/>
      </c>
      <c r="J1669" s="4">
        <f>ROUND(J1668*(1+G1669),8)</f>
        <v/>
      </c>
      <c r="K1669" s="4">
        <f>ROUND(K1668+H1669,8)</f>
        <v/>
      </c>
      <c r="L1669" s="4">
        <f>ROUND(0.9*F1669+0.05*G1669+0.05*H1669,8)</f>
        <v/>
      </c>
    </row>
    <row r="1670">
      <c r="A1670" s="2" t="n">
        <v>46254</v>
      </c>
      <c r="B1670" s="8" t="n">
        <v>3084.59</v>
      </c>
      <c r="C1670" s="8" t="n">
        <v>131.9892</v>
      </c>
      <c r="D1670" s="8" t="n">
        <v>0.35</v>
      </c>
      <c r="E1670">
        <f>A1670-A1669</f>
        <v/>
      </c>
      <c r="F1670" s="4">
        <f>ROUND(B1670/B1669-1,8)</f>
        <v/>
      </c>
      <c r="G1670" s="4">
        <f>ROUND(C1670/C1669-1,8)</f>
        <v/>
      </c>
      <c r="H1670" s="4">
        <f>ROUND(D1670/100/(DATE(YEAR(A1670)+1,1,1)-DATE(YEAR(A1670),1,1))*E1670,8)</f>
        <v/>
      </c>
      <c r="I1670" s="4">
        <f>ROUND(I1669*(1+F1670),8)</f>
        <v/>
      </c>
      <c r="J1670" s="4">
        <f>ROUND(J1669*(1+G1670),8)</f>
        <v/>
      </c>
      <c r="K1670" s="4">
        <f>ROUND(K1669+H1670,8)</f>
        <v/>
      </c>
      <c r="L1670" s="4">
        <f>ROUND(0.9*F1670+0.05*G1670+0.05*H1670,8)</f>
        <v/>
      </c>
    </row>
    <row r="1671">
      <c r="A1671" s="2" t="n">
        <v>46255</v>
      </c>
      <c r="B1671" s="8" t="n">
        <v>3091.37</v>
      </c>
      <c r="C1671" s="8" t="n">
        <v>131.9581</v>
      </c>
      <c r="D1671" s="8" t="n">
        <v>0.35</v>
      </c>
      <c r="E1671">
        <f>A1671-A1670</f>
        <v/>
      </c>
      <c r="F1671" s="4">
        <f>ROUND(B1671/B1670-1,8)</f>
        <v/>
      </c>
      <c r="G1671" s="4">
        <f>ROUND(C1671/C1670-1,8)</f>
        <v/>
      </c>
      <c r="H1671" s="4">
        <f>ROUND(D1671/100/(DATE(YEAR(A1671)+1,1,1)-DATE(YEAR(A1671),1,1))*E1671,8)</f>
        <v/>
      </c>
      <c r="I1671" s="4">
        <f>ROUND(I1670*(1+F1671),8)</f>
        <v/>
      </c>
      <c r="J1671" s="4">
        <f>ROUND(J1670*(1+G1671),8)</f>
        <v/>
      </c>
      <c r="K1671" s="4">
        <f>ROUND(K1670+H1671,8)</f>
        <v/>
      </c>
      <c r="L1671" s="4">
        <f>ROUND(0.9*F1671+0.05*G1671+0.05*H1671,8)</f>
        <v/>
      </c>
    </row>
    <row r="1672">
      <c r="A1672" s="2" t="n">
        <v>46258</v>
      </c>
      <c r="B1672" s="8" t="n">
        <v>3045.14</v>
      </c>
      <c r="C1672" s="8" t="n">
        <v>131.9862</v>
      </c>
      <c r="D1672" s="8" t="n">
        <v>0.35</v>
      </c>
      <c r="E1672">
        <f>A1672-A1671</f>
        <v/>
      </c>
      <c r="F1672" s="4">
        <f>ROUND(B1672/B1671-1,8)</f>
        <v/>
      </c>
      <c r="G1672" s="4">
        <f>ROUND(C1672/C1671-1,8)</f>
        <v/>
      </c>
      <c r="H1672" s="4">
        <f>ROUND(D1672/100/(DATE(YEAR(A1672)+1,1,1)-DATE(YEAR(A1672),1,1))*E1672,8)</f>
        <v/>
      </c>
      <c r="I1672" s="4">
        <f>ROUND(I1671*(1+F1672),8)</f>
        <v/>
      </c>
      <c r="J1672" s="4">
        <f>ROUND(J1671*(1+G1672),8)</f>
        <v/>
      </c>
      <c r="K1672" s="4">
        <f>ROUND(K1671+H1672,8)</f>
        <v/>
      </c>
      <c r="L1672" s="4">
        <f>ROUND(0.9*F1672+0.05*G1672+0.05*H1672,8)</f>
        <v/>
      </c>
    </row>
    <row r="1673">
      <c r="A1673" s="2" t="n">
        <v>46259</v>
      </c>
      <c r="B1673" s="8" t="n">
        <v>3094.29</v>
      </c>
      <c r="C1673" s="8" t="n">
        <v>131.9604</v>
      </c>
      <c r="D1673" s="8" t="n">
        <v>0.35</v>
      </c>
      <c r="E1673">
        <f>A1673-A1672</f>
        <v/>
      </c>
      <c r="F1673" s="4">
        <f>ROUND(B1673/B1672-1,8)</f>
        <v/>
      </c>
      <c r="G1673" s="4">
        <f>ROUND(C1673/C1672-1,8)</f>
        <v/>
      </c>
      <c r="H1673" s="4">
        <f>ROUND(D1673/100/(DATE(YEAR(A1673)+1,1,1)-DATE(YEAR(A1673),1,1))*E1673,8)</f>
        <v/>
      </c>
      <c r="I1673" s="4">
        <f>ROUND(I1672*(1+F1673),8)</f>
        <v/>
      </c>
      <c r="J1673" s="4">
        <f>ROUND(J1672*(1+G1673),8)</f>
        <v/>
      </c>
      <c r="K1673" s="4">
        <f>ROUND(K1672+H1673,8)</f>
        <v/>
      </c>
      <c r="L1673" s="4">
        <f>ROUND(0.9*F1673+0.05*G1673+0.05*H1673,8)</f>
        <v/>
      </c>
    </row>
    <row r="1674">
      <c r="A1674" s="2" t="n">
        <v>46260</v>
      </c>
      <c r="B1674" s="8" t="n">
        <v>3091.34</v>
      </c>
      <c r="C1674" s="8" t="n">
        <v>131.923</v>
      </c>
      <c r="D1674" s="8" t="n">
        <v>0.35</v>
      </c>
      <c r="E1674">
        <f>A1674-A1673</f>
        <v/>
      </c>
      <c r="F1674" s="4">
        <f>ROUND(B1674/B1673-1,8)</f>
        <v/>
      </c>
      <c r="G1674" s="4">
        <f>ROUND(C1674/C1673-1,8)</f>
        <v/>
      </c>
      <c r="H1674" s="4">
        <f>ROUND(D1674/100/(DATE(YEAR(A1674)+1,1,1)-DATE(YEAR(A1674),1,1))*E1674,8)</f>
        <v/>
      </c>
      <c r="I1674" s="4">
        <f>ROUND(I1673*(1+F1674),8)</f>
        <v/>
      </c>
      <c r="J1674" s="4">
        <f>ROUND(J1673*(1+G1674),8)</f>
        <v/>
      </c>
      <c r="K1674" s="4">
        <f>ROUND(K1673+H1674,8)</f>
        <v/>
      </c>
      <c r="L1674" s="4">
        <f>ROUND(0.9*F1674+0.05*G1674+0.05*H1674,8)</f>
        <v/>
      </c>
    </row>
    <row r="1675">
      <c r="A1675" s="2" t="n">
        <v>46261</v>
      </c>
      <c r="B1675" s="8" t="n">
        <v>3152.45</v>
      </c>
      <c r="C1675" s="8" t="n">
        <v>131.8483</v>
      </c>
      <c r="D1675" s="8" t="n">
        <v>0.35</v>
      </c>
      <c r="E1675">
        <f>A1675-A1674</f>
        <v/>
      </c>
      <c r="F1675" s="4">
        <f>ROUND(B1675/B1674-1,8)</f>
        <v/>
      </c>
      <c r="G1675" s="4">
        <f>ROUND(C1675/C1674-1,8)</f>
        <v/>
      </c>
      <c r="H1675" s="4">
        <f>ROUND(D1675/100/(DATE(YEAR(A1675)+1,1,1)-DATE(YEAR(A1675),1,1))*E1675,8)</f>
        <v/>
      </c>
      <c r="I1675" s="4">
        <f>ROUND(I1674*(1+F1675),8)</f>
        <v/>
      </c>
      <c r="J1675" s="4">
        <f>ROUND(J1674*(1+G1675),8)</f>
        <v/>
      </c>
      <c r="K1675" s="4">
        <f>ROUND(K1674+H1675,8)</f>
        <v/>
      </c>
      <c r="L1675" s="4">
        <f>ROUND(0.9*F1675+0.05*G1675+0.05*H1675,8)</f>
        <v/>
      </c>
    </row>
    <row r="1676">
      <c r="A1676" s="2" t="n">
        <v>46262</v>
      </c>
      <c r="B1676" s="8" t="n">
        <v>3149.18</v>
      </c>
      <c r="C1676" s="8" t="n">
        <v>131.8165</v>
      </c>
      <c r="D1676" s="8" t="n">
        <v>0.35</v>
      </c>
      <c r="E1676">
        <f>A1676-A1675</f>
        <v/>
      </c>
      <c r="F1676" s="4">
        <f>ROUND(B1676/B1675-1,8)</f>
        <v/>
      </c>
      <c r="G1676" s="4">
        <f>ROUND(C1676/C1675-1,8)</f>
        <v/>
      </c>
      <c r="H1676" s="4">
        <f>ROUND(D1676/100/(DATE(YEAR(A1676)+1,1,1)-DATE(YEAR(A1676),1,1))*E1676,8)</f>
        <v/>
      </c>
      <c r="I1676" s="4">
        <f>ROUND(I1675*(1+F1676),8)</f>
        <v/>
      </c>
      <c r="J1676" s="4">
        <f>ROUND(J1675*(1+G1676),8)</f>
        <v/>
      </c>
      <c r="K1676" s="4">
        <f>ROUND(K1675+H1676,8)</f>
        <v/>
      </c>
      <c r="L1676" s="4">
        <f>ROUND(0.9*F1676+0.05*G1676+0.05*H1676,8)</f>
        <v/>
      </c>
    </row>
    <row r="1677">
      <c r="A1677" s="2" t="n">
        <v>46265</v>
      </c>
      <c r="B1677" s="8" t="n">
        <v>3180.13</v>
      </c>
      <c r="C1677" s="8" t="n">
        <v>131.8243</v>
      </c>
      <c r="D1677" s="8" t="n">
        <v>0.35</v>
      </c>
      <c r="E1677">
        <f>A1677-A1676</f>
        <v/>
      </c>
      <c r="F1677" s="4">
        <f>ROUND(B1677/B1676-1,8)</f>
        <v/>
      </c>
      <c r="G1677" s="4">
        <f>ROUND(C1677/C1676-1,8)</f>
        <v/>
      </c>
      <c r="H1677" s="4">
        <f>ROUND(D1677/100/(DATE(YEAR(A1677)+1,1,1)-DATE(YEAR(A1677),1,1))*E1677,8)</f>
        <v/>
      </c>
      <c r="I1677" s="4">
        <f>ROUND(I1676*(1+F1677),8)</f>
        <v/>
      </c>
      <c r="J1677" s="4">
        <f>ROUND(J1676*(1+G1677),8)</f>
        <v/>
      </c>
      <c r="K1677" s="4">
        <f>ROUND(K1676+H1677,8)</f>
        <v/>
      </c>
      <c r="L1677" s="4">
        <f>ROUND(0.9*F1677+0.05*G1677+0.05*H1677,8)</f>
        <v/>
      </c>
    </row>
    <row r="1678">
      <c r="A1678" s="2" t="n">
        <v>46266</v>
      </c>
      <c r="B1678" s="8" t="n">
        <v>3174.62</v>
      </c>
      <c r="C1678" s="8" t="n">
        <v>131.8726</v>
      </c>
      <c r="D1678" s="8" t="n">
        <v>0.35</v>
      </c>
      <c r="E1678">
        <f>A1678-A1677</f>
        <v/>
      </c>
      <c r="F1678" s="4">
        <f>ROUND(B1678/B1677-1,8)</f>
        <v/>
      </c>
      <c r="G1678" s="4">
        <f>ROUND(C1678/C1677-1,8)</f>
        <v/>
      </c>
      <c r="H1678" s="4">
        <f>ROUND(D1678/100/(DATE(YEAR(A1678)+1,1,1)-DATE(YEAR(A1678),1,1))*E1678,8)</f>
        <v/>
      </c>
      <c r="I1678" s="4">
        <f>ROUND(I1677*(1+F1678),8)</f>
        <v/>
      </c>
      <c r="J1678" s="4">
        <f>ROUND(J1677*(1+G1678),8)</f>
        <v/>
      </c>
      <c r="K1678" s="4">
        <f>ROUND(K1677+H1678,8)</f>
        <v/>
      </c>
      <c r="L1678" s="4">
        <f>ROUND(0.9*F1678+0.05*G1678+0.05*H1678,8)</f>
        <v/>
      </c>
    </row>
    <row r="1679">
      <c r="A1679" s="2" t="n">
        <v>46267</v>
      </c>
      <c r="B1679" s="8" t="n">
        <v>3154.39</v>
      </c>
      <c r="C1679" s="8" t="n">
        <v>131.8516</v>
      </c>
      <c r="D1679" s="8" t="n">
        <v>0.35</v>
      </c>
      <c r="E1679">
        <f>A1679-A1678</f>
        <v/>
      </c>
      <c r="F1679" s="4">
        <f>ROUND(B1679/B1678-1,8)</f>
        <v/>
      </c>
      <c r="G1679" s="4">
        <f>ROUND(C1679/C1678-1,8)</f>
        <v/>
      </c>
      <c r="H1679" s="4">
        <f>ROUND(D1679/100/(DATE(YEAR(A1679)+1,1,1)-DATE(YEAR(A1679),1,1))*E1679,8)</f>
        <v/>
      </c>
      <c r="I1679" s="4">
        <f>ROUND(I1678*(1+F1679),8)</f>
        <v/>
      </c>
      <c r="J1679" s="4">
        <f>ROUND(J1678*(1+G1679),8)</f>
        <v/>
      </c>
      <c r="K1679" s="4">
        <f>ROUND(K1678+H1679,8)</f>
        <v/>
      </c>
      <c r="L1679" s="4">
        <f>ROUND(0.9*F1679+0.05*G1679+0.05*H1679,8)</f>
        <v/>
      </c>
    </row>
    <row r="1680">
      <c r="A1680" s="2" t="n">
        <v>46268</v>
      </c>
      <c r="B1680" s="8" t="n">
        <v>3153.78</v>
      </c>
      <c r="C1680" s="8" t="n">
        <v>131.9088</v>
      </c>
      <c r="D1680" s="8" t="n">
        <v>0.35</v>
      </c>
      <c r="E1680">
        <f>A1680-A1679</f>
        <v/>
      </c>
      <c r="F1680" s="4">
        <f>ROUND(B1680/B1679-1,8)</f>
        <v/>
      </c>
      <c r="G1680" s="4">
        <f>ROUND(C1680/C1679-1,8)</f>
        <v/>
      </c>
      <c r="H1680" s="4">
        <f>ROUND(D1680/100/(DATE(YEAR(A1680)+1,1,1)-DATE(YEAR(A1680),1,1))*E1680,8)</f>
        <v/>
      </c>
      <c r="I1680" s="4">
        <f>ROUND(I1679*(1+F1680),8)</f>
        <v/>
      </c>
      <c r="J1680" s="4">
        <f>ROUND(J1679*(1+G1680),8)</f>
        <v/>
      </c>
      <c r="K1680" s="4">
        <f>ROUND(K1679+H1680,8)</f>
        <v/>
      </c>
      <c r="L1680" s="4">
        <f>ROUND(0.9*F1680+0.05*G1680+0.05*H1680,8)</f>
        <v/>
      </c>
    </row>
    <row r="1681">
      <c r="A1681" s="2" t="n">
        <v>46269</v>
      </c>
      <c r="B1681" s="8" t="n">
        <v>3120.61</v>
      </c>
      <c r="C1681" s="8" t="n">
        <v>131.9229</v>
      </c>
      <c r="D1681" s="8" t="n">
        <v>0.35</v>
      </c>
      <c r="E1681">
        <f>A1681-A1680</f>
        <v/>
      </c>
      <c r="F1681" s="4">
        <f>ROUND(B1681/B1680-1,8)</f>
        <v/>
      </c>
      <c r="G1681" s="4">
        <f>ROUND(C1681/C1680-1,8)</f>
        <v/>
      </c>
      <c r="H1681" s="4">
        <f>ROUND(D1681/100/(DATE(YEAR(A1681)+1,1,1)-DATE(YEAR(A1681),1,1))*E1681,8)</f>
        <v/>
      </c>
      <c r="I1681" s="4">
        <f>ROUND(I1680*(1+F1681),8)</f>
        <v/>
      </c>
      <c r="J1681" s="4">
        <f>ROUND(J1680*(1+G1681),8)</f>
        <v/>
      </c>
      <c r="K1681" s="4">
        <f>ROUND(K1680+H1681,8)</f>
        <v/>
      </c>
      <c r="L1681" s="4">
        <f>ROUND(0.9*F1681+0.05*G1681+0.05*H1681,8)</f>
        <v/>
      </c>
    </row>
    <row r="1682">
      <c r="A1682" s="2" t="n">
        <v>46272</v>
      </c>
      <c r="B1682" s="8" t="n">
        <v>3172.35</v>
      </c>
      <c r="C1682" s="8" t="n">
        <v>131.9564</v>
      </c>
      <c r="D1682" s="8" t="n">
        <v>0.35</v>
      </c>
      <c r="E1682">
        <f>A1682-A1681</f>
        <v/>
      </c>
      <c r="F1682" s="4">
        <f>ROUND(B1682/B1681-1,8)</f>
        <v/>
      </c>
      <c r="G1682" s="4">
        <f>ROUND(C1682/C1681-1,8)</f>
        <v/>
      </c>
      <c r="H1682" s="4">
        <f>ROUND(D1682/100/(DATE(YEAR(A1682)+1,1,1)-DATE(YEAR(A1682),1,1))*E1682,8)</f>
        <v/>
      </c>
      <c r="I1682" s="4">
        <f>ROUND(I1681*(1+F1682),8)</f>
        <v/>
      </c>
      <c r="J1682" s="4">
        <f>ROUND(J1681*(1+G1682),8)</f>
        <v/>
      </c>
      <c r="K1682" s="4">
        <f>ROUND(K1681+H1682,8)</f>
        <v/>
      </c>
      <c r="L1682" s="4">
        <f>ROUND(0.9*F1682+0.05*G1682+0.05*H1682,8)</f>
        <v/>
      </c>
    </row>
    <row r="1683">
      <c r="A1683" s="2" t="n">
        <v>46273</v>
      </c>
      <c r="B1683" s="8" t="n">
        <v>3189.76</v>
      </c>
      <c r="C1683" s="8" t="n">
        <v>131.9444</v>
      </c>
      <c r="D1683" s="8" t="n">
        <v>0.35</v>
      </c>
      <c r="E1683">
        <f>A1683-A1682</f>
        <v/>
      </c>
      <c r="F1683" s="4">
        <f>ROUND(B1683/B1682-1,8)</f>
        <v/>
      </c>
      <c r="G1683" s="4">
        <f>ROUND(C1683/C1682-1,8)</f>
        <v/>
      </c>
      <c r="H1683" s="4">
        <f>ROUND(D1683/100/(DATE(YEAR(A1683)+1,1,1)-DATE(YEAR(A1683),1,1))*E1683,8)</f>
        <v/>
      </c>
      <c r="I1683" s="4">
        <f>ROUND(I1682*(1+F1683),8)</f>
        <v/>
      </c>
      <c r="J1683" s="4">
        <f>ROUND(J1682*(1+G1683),8)</f>
        <v/>
      </c>
      <c r="K1683" s="4">
        <f>ROUND(K1682+H1683,8)</f>
        <v/>
      </c>
      <c r="L1683" s="4">
        <f>ROUND(0.9*F1683+0.05*G1683+0.05*H1683,8)</f>
        <v/>
      </c>
    </row>
    <row r="1684">
      <c r="A1684" s="2" t="n">
        <v>46274</v>
      </c>
      <c r="B1684" s="8" t="n">
        <v>3181.87</v>
      </c>
      <c r="C1684" s="8" t="n">
        <v>131.9451</v>
      </c>
      <c r="D1684" s="8" t="n">
        <v>0.35</v>
      </c>
      <c r="E1684">
        <f>A1684-A1683</f>
        <v/>
      </c>
      <c r="F1684" s="4">
        <f>ROUND(B1684/B1683-1,8)</f>
        <v/>
      </c>
      <c r="G1684" s="4">
        <f>ROUND(C1684/C1683-1,8)</f>
        <v/>
      </c>
      <c r="H1684" s="4">
        <f>ROUND(D1684/100/(DATE(YEAR(A1684)+1,1,1)-DATE(YEAR(A1684),1,1))*E1684,8)</f>
        <v/>
      </c>
      <c r="I1684" s="4">
        <f>ROUND(I1683*(1+F1684),8)</f>
        <v/>
      </c>
      <c r="J1684" s="4">
        <f>ROUND(J1683*(1+G1684),8)</f>
        <v/>
      </c>
      <c r="K1684" s="4">
        <f>ROUND(K1683+H1684,8)</f>
        <v/>
      </c>
      <c r="L1684" s="4">
        <f>ROUND(0.9*F1684+0.05*G1684+0.05*H1684,8)</f>
        <v/>
      </c>
    </row>
    <row r="1685">
      <c r="A1685" s="2" t="n">
        <v>46275</v>
      </c>
      <c r="B1685" s="8" t="n">
        <v>3130.96</v>
      </c>
      <c r="C1685" s="8" t="n">
        <v>131.9178</v>
      </c>
      <c r="D1685" s="8" t="n">
        <v>0.35</v>
      </c>
      <c r="E1685">
        <f>A1685-A1684</f>
        <v/>
      </c>
      <c r="F1685" s="4">
        <f>ROUND(B1685/B1684-1,8)</f>
        <v/>
      </c>
      <c r="G1685" s="4">
        <f>ROUND(C1685/C1684-1,8)</f>
        <v/>
      </c>
      <c r="H1685" s="4">
        <f>ROUND(D1685/100/(DATE(YEAR(A1685)+1,1,1)-DATE(YEAR(A1685),1,1))*E1685,8)</f>
        <v/>
      </c>
      <c r="I1685" s="4">
        <f>ROUND(I1684*(1+F1685),8)</f>
        <v/>
      </c>
      <c r="J1685" s="4">
        <f>ROUND(J1684*(1+G1685),8)</f>
        <v/>
      </c>
      <c r="K1685" s="4">
        <f>ROUND(K1684+H1685,8)</f>
        <v/>
      </c>
      <c r="L1685" s="4">
        <f>ROUND(0.9*F1685+0.05*G1685+0.05*H1685,8)</f>
        <v/>
      </c>
    </row>
    <row r="1686">
      <c r="A1686" s="2" t="n">
        <v>46276</v>
      </c>
      <c r="B1686" s="8" t="n">
        <v>3073.67</v>
      </c>
      <c r="C1686" s="8" t="n">
        <v>131.8816</v>
      </c>
      <c r="D1686" s="8" t="n">
        <v>0.35</v>
      </c>
      <c r="E1686">
        <f>A1686-A1685</f>
        <v/>
      </c>
      <c r="F1686" s="4">
        <f>ROUND(B1686/B1685-1,8)</f>
        <v/>
      </c>
      <c r="G1686" s="4">
        <f>ROUND(C1686/C1685-1,8)</f>
        <v/>
      </c>
      <c r="H1686" s="4">
        <f>ROUND(D1686/100/(DATE(YEAR(A1686)+1,1,1)-DATE(YEAR(A1686),1,1))*E1686,8)</f>
        <v/>
      </c>
      <c r="I1686" s="4">
        <f>ROUND(I1685*(1+F1686),8)</f>
        <v/>
      </c>
      <c r="J1686" s="4">
        <f>ROUND(J1685*(1+G1686),8)</f>
        <v/>
      </c>
      <c r="K1686" s="4">
        <f>ROUND(K1685+H1686,8)</f>
        <v/>
      </c>
      <c r="L1686" s="4">
        <f>ROUND(0.9*F1686+0.05*G1686+0.05*H1686,8)</f>
        <v/>
      </c>
    </row>
    <row r="1687">
      <c r="A1687" s="2" t="n">
        <v>46279</v>
      </c>
      <c r="B1687" s="8" t="n">
        <v>3104.57</v>
      </c>
      <c r="C1687" s="8" t="n">
        <v>131.854</v>
      </c>
      <c r="D1687" s="8" t="n">
        <v>0.35</v>
      </c>
      <c r="E1687">
        <f>A1687-A1686</f>
        <v/>
      </c>
      <c r="F1687" s="4">
        <f>ROUND(B1687/B1686-1,8)</f>
        <v/>
      </c>
      <c r="G1687" s="4">
        <f>ROUND(C1687/C1686-1,8)</f>
        <v/>
      </c>
      <c r="H1687" s="4">
        <f>ROUND(D1687/100/(DATE(YEAR(A1687)+1,1,1)-DATE(YEAR(A1687),1,1))*E1687,8)</f>
        <v/>
      </c>
      <c r="I1687" s="4">
        <f>ROUND(I1686*(1+F1687),8)</f>
        <v/>
      </c>
      <c r="J1687" s="4">
        <f>ROUND(J1686*(1+G1687),8)</f>
        <v/>
      </c>
      <c r="K1687" s="4">
        <f>ROUND(K1686+H1687,8)</f>
        <v/>
      </c>
      <c r="L1687" s="4">
        <f>ROUND(0.9*F1687+0.05*G1687+0.05*H1687,8)</f>
        <v/>
      </c>
    </row>
    <row r="1688">
      <c r="A1688" s="2" t="n">
        <v>46280</v>
      </c>
      <c r="B1688" s="8" t="n">
        <v>3068.61</v>
      </c>
      <c r="C1688" s="8" t="n">
        <v>131.8483</v>
      </c>
      <c r="D1688" s="8" t="n">
        <v>0.35</v>
      </c>
      <c r="E1688">
        <f>A1688-A1687</f>
        <v/>
      </c>
      <c r="F1688" s="4">
        <f>ROUND(B1688/B1687-1,8)</f>
        <v/>
      </c>
      <c r="G1688" s="4">
        <f>ROUND(C1688/C1687-1,8)</f>
        <v/>
      </c>
      <c r="H1688" s="4">
        <f>ROUND(D1688/100/(DATE(YEAR(A1688)+1,1,1)-DATE(YEAR(A1688),1,1))*E1688,8)</f>
        <v/>
      </c>
      <c r="I1688" s="4">
        <f>ROUND(I1687*(1+F1688),8)</f>
        <v/>
      </c>
      <c r="J1688" s="4">
        <f>ROUND(J1687*(1+G1688),8)</f>
        <v/>
      </c>
      <c r="K1688" s="4">
        <f>ROUND(K1687+H1688,8)</f>
        <v/>
      </c>
      <c r="L1688" s="4">
        <f>ROUND(0.9*F1688+0.05*G1688+0.05*H1688,8)</f>
        <v/>
      </c>
    </row>
    <row r="1689">
      <c r="A1689" s="2" t="n">
        <v>46281</v>
      </c>
      <c r="B1689" s="8" t="n">
        <v>3132.97</v>
      </c>
      <c r="C1689" s="8" t="n">
        <v>131.8623</v>
      </c>
      <c r="D1689" s="8" t="n">
        <v>0.35</v>
      </c>
      <c r="E1689">
        <f>A1689-A1688</f>
        <v/>
      </c>
      <c r="F1689" s="4">
        <f>ROUND(B1689/B1688-1,8)</f>
        <v/>
      </c>
      <c r="G1689" s="4">
        <f>ROUND(C1689/C1688-1,8)</f>
        <v/>
      </c>
      <c r="H1689" s="4">
        <f>ROUND(D1689/100/(DATE(YEAR(A1689)+1,1,1)-DATE(YEAR(A1689),1,1))*E1689,8)</f>
        <v/>
      </c>
      <c r="I1689" s="4">
        <f>ROUND(I1688*(1+F1689),8)</f>
        <v/>
      </c>
      <c r="J1689" s="4">
        <f>ROUND(J1688*(1+G1689),8)</f>
        <v/>
      </c>
      <c r="K1689" s="4">
        <f>ROUND(K1688+H1689,8)</f>
        <v/>
      </c>
      <c r="L1689" s="4">
        <f>ROUND(0.9*F1689+0.05*G1689+0.05*H1689,8)</f>
        <v/>
      </c>
    </row>
    <row r="1690">
      <c r="A1690" s="2" t="n">
        <v>46282</v>
      </c>
      <c r="B1690" s="8" t="n">
        <v>3136.58</v>
      </c>
      <c r="C1690" s="8" t="n">
        <v>131.8757</v>
      </c>
      <c r="D1690" s="8" t="n">
        <v>0.35</v>
      </c>
      <c r="E1690">
        <f>A1690-A1689</f>
        <v/>
      </c>
      <c r="F1690" s="4">
        <f>ROUND(B1690/B1689-1,8)</f>
        <v/>
      </c>
      <c r="G1690" s="4">
        <f>ROUND(C1690/C1689-1,8)</f>
        <v/>
      </c>
      <c r="H1690" s="4">
        <f>ROUND(D1690/100/(DATE(YEAR(A1690)+1,1,1)-DATE(YEAR(A1690),1,1))*E1690,8)</f>
        <v/>
      </c>
      <c r="I1690" s="4">
        <f>ROUND(I1689*(1+F1690),8)</f>
        <v/>
      </c>
      <c r="J1690" s="4">
        <f>ROUND(J1689*(1+G1690),8)</f>
        <v/>
      </c>
      <c r="K1690" s="4">
        <f>ROUND(K1689+H1690,8)</f>
        <v/>
      </c>
      <c r="L1690" s="4">
        <f>ROUND(0.9*F1690+0.05*G1690+0.05*H1690,8)</f>
        <v/>
      </c>
    </row>
    <row r="1691">
      <c r="A1691" s="2" t="n">
        <v>46283</v>
      </c>
      <c r="B1691" s="8" t="n">
        <v>3192.21</v>
      </c>
      <c r="C1691" s="8" t="n">
        <v>131.9211</v>
      </c>
      <c r="D1691" s="8" t="n">
        <v>0.35</v>
      </c>
      <c r="E1691">
        <f>A1691-A1690</f>
        <v/>
      </c>
      <c r="F1691" s="4">
        <f>ROUND(B1691/B1690-1,8)</f>
        <v/>
      </c>
      <c r="G1691" s="4">
        <f>ROUND(C1691/C1690-1,8)</f>
        <v/>
      </c>
      <c r="H1691" s="4">
        <f>ROUND(D1691/100/(DATE(YEAR(A1691)+1,1,1)-DATE(YEAR(A1691),1,1))*E1691,8)</f>
        <v/>
      </c>
      <c r="I1691" s="4">
        <f>ROUND(I1690*(1+F1691),8)</f>
        <v/>
      </c>
      <c r="J1691" s="4">
        <f>ROUND(J1690*(1+G1691),8)</f>
        <v/>
      </c>
      <c r="K1691" s="4">
        <f>ROUND(K1690+H1691,8)</f>
        <v/>
      </c>
      <c r="L1691" s="4">
        <f>ROUND(0.9*F1691+0.05*G1691+0.05*H1691,8)</f>
        <v/>
      </c>
    </row>
    <row r="1692">
      <c r="A1692" s="2" t="n">
        <v>46286</v>
      </c>
      <c r="B1692" s="8" t="n">
        <v>3256.53</v>
      </c>
      <c r="C1692" s="8" t="n">
        <v>131.9576</v>
      </c>
      <c r="D1692" s="8" t="n">
        <v>0.35</v>
      </c>
      <c r="E1692">
        <f>A1692-A1691</f>
        <v/>
      </c>
      <c r="F1692" s="4">
        <f>ROUND(B1692/B1691-1,8)</f>
        <v/>
      </c>
      <c r="G1692" s="4">
        <f>ROUND(C1692/C1691-1,8)</f>
        <v/>
      </c>
      <c r="H1692" s="4">
        <f>ROUND(D1692/100/(DATE(YEAR(A1692)+1,1,1)-DATE(YEAR(A1692),1,1))*E1692,8)</f>
        <v/>
      </c>
      <c r="I1692" s="4">
        <f>ROUND(I1691*(1+F1692),8)</f>
        <v/>
      </c>
      <c r="J1692" s="4">
        <f>ROUND(J1691*(1+G1692),8)</f>
        <v/>
      </c>
      <c r="K1692" s="4">
        <f>ROUND(K1691+H1692,8)</f>
        <v/>
      </c>
      <c r="L1692" s="4">
        <f>ROUND(0.9*F1692+0.05*G1692+0.05*H1692,8)</f>
        <v/>
      </c>
    </row>
    <row r="1693">
      <c r="A1693" s="2" t="n">
        <v>46287</v>
      </c>
      <c r="B1693" s="8" t="n">
        <v>3258.67</v>
      </c>
      <c r="C1693" s="8" t="n">
        <v>132.011</v>
      </c>
      <c r="D1693" s="8" t="n">
        <v>0.35</v>
      </c>
      <c r="E1693">
        <f>A1693-A1692</f>
        <v/>
      </c>
      <c r="F1693" s="4">
        <f>ROUND(B1693/B1692-1,8)</f>
        <v/>
      </c>
      <c r="G1693" s="4">
        <f>ROUND(C1693/C1692-1,8)</f>
        <v/>
      </c>
      <c r="H1693" s="4">
        <f>ROUND(D1693/100/(DATE(YEAR(A1693)+1,1,1)-DATE(YEAR(A1693),1,1))*E1693,8)</f>
        <v/>
      </c>
      <c r="I1693" s="4">
        <f>ROUND(I1692*(1+F1693),8)</f>
        <v/>
      </c>
      <c r="J1693" s="4">
        <f>ROUND(J1692*(1+G1693),8)</f>
        <v/>
      </c>
      <c r="K1693" s="4">
        <f>ROUND(K1692+H1693,8)</f>
        <v/>
      </c>
      <c r="L1693" s="4">
        <f>ROUND(0.9*F1693+0.05*G1693+0.05*H1693,8)</f>
        <v/>
      </c>
    </row>
    <row r="1694">
      <c r="A1694" s="2" t="n">
        <v>46288</v>
      </c>
      <c r="B1694" s="8" t="n">
        <v>3259.79</v>
      </c>
      <c r="C1694" s="8" t="n">
        <v>132.0168</v>
      </c>
      <c r="D1694" s="8" t="n">
        <v>0.35</v>
      </c>
      <c r="E1694">
        <f>A1694-A1693</f>
        <v/>
      </c>
      <c r="F1694" s="4">
        <f>ROUND(B1694/B1693-1,8)</f>
        <v/>
      </c>
      <c r="G1694" s="4">
        <f>ROUND(C1694/C1693-1,8)</f>
        <v/>
      </c>
      <c r="H1694" s="4">
        <f>ROUND(D1694/100/(DATE(YEAR(A1694)+1,1,1)-DATE(YEAR(A1694),1,1))*E1694,8)</f>
        <v/>
      </c>
      <c r="I1694" s="4">
        <f>ROUND(I1693*(1+F1694),8)</f>
        <v/>
      </c>
      <c r="J1694" s="4">
        <f>ROUND(J1693*(1+G1694),8)</f>
        <v/>
      </c>
      <c r="K1694" s="4">
        <f>ROUND(K1693+H1694,8)</f>
        <v/>
      </c>
      <c r="L1694" s="4">
        <f>ROUND(0.9*F1694+0.05*G1694+0.05*H1694,8)</f>
        <v/>
      </c>
    </row>
    <row r="1695">
      <c r="A1695" s="2" t="n">
        <v>46289</v>
      </c>
      <c r="B1695" s="8" t="n">
        <v>3209.63</v>
      </c>
      <c r="C1695" s="8" t="n">
        <v>132.093</v>
      </c>
      <c r="D1695" s="8" t="n">
        <v>0.35</v>
      </c>
      <c r="E1695">
        <f>A1695-A1694</f>
        <v/>
      </c>
      <c r="F1695" s="4">
        <f>ROUND(B1695/B1694-1,8)</f>
        <v/>
      </c>
      <c r="G1695" s="4">
        <f>ROUND(C1695/C1694-1,8)</f>
        <v/>
      </c>
      <c r="H1695" s="4">
        <f>ROUND(D1695/100/(DATE(YEAR(A1695)+1,1,1)-DATE(YEAR(A1695),1,1))*E1695,8)</f>
        <v/>
      </c>
      <c r="I1695" s="4">
        <f>ROUND(I1694*(1+F1695),8)</f>
        <v/>
      </c>
      <c r="J1695" s="4">
        <f>ROUND(J1694*(1+G1695),8)</f>
        <v/>
      </c>
      <c r="K1695" s="4">
        <f>ROUND(K1694+H1695,8)</f>
        <v/>
      </c>
      <c r="L1695" s="4">
        <f>ROUND(0.9*F1695+0.05*G1695+0.05*H1695,8)</f>
        <v/>
      </c>
    </row>
    <row r="1696">
      <c r="A1696" s="2" t="n">
        <v>46293</v>
      </c>
      <c r="B1696" s="8" t="n">
        <v>3104.84</v>
      </c>
      <c r="C1696" s="8" t="n">
        <v>132.0357</v>
      </c>
      <c r="D1696" s="8" t="n">
        <v>0.35</v>
      </c>
      <c r="E1696">
        <f>A1696-A1695</f>
        <v/>
      </c>
      <c r="F1696" s="4">
        <f>ROUND(B1696/B1695-1,8)</f>
        <v/>
      </c>
      <c r="G1696" s="4">
        <f>ROUND(C1696/C1695-1,8)</f>
        <v/>
      </c>
      <c r="H1696" s="4">
        <f>ROUND(D1696/100/(DATE(YEAR(A1696)+1,1,1)-DATE(YEAR(A1696),1,1))*E1696,8)</f>
        <v/>
      </c>
      <c r="I1696" s="4">
        <f>ROUND(I1695*(1+F1696),8)</f>
        <v/>
      </c>
      <c r="J1696" s="4">
        <f>ROUND(J1695*(1+G1696),8)</f>
        <v/>
      </c>
      <c r="K1696" s="4">
        <f>ROUND(K1695+H1696,8)</f>
        <v/>
      </c>
      <c r="L1696" s="4">
        <f>ROUND(0.9*F1696+0.05*G1696+0.05*H1696,8)</f>
        <v/>
      </c>
    </row>
    <row r="1697">
      <c r="A1697" s="2" t="n">
        <v>46294</v>
      </c>
      <c r="B1697" s="8" t="n">
        <v>3128.95</v>
      </c>
      <c r="C1697" s="8" t="n">
        <v>132.1175</v>
      </c>
      <c r="D1697" s="8" t="n">
        <v>0.35</v>
      </c>
      <c r="E1697">
        <f>A1697-A1696</f>
        <v/>
      </c>
      <c r="F1697" s="4">
        <f>ROUND(B1697/B1696-1,8)</f>
        <v/>
      </c>
      <c r="G1697" s="4">
        <f>ROUND(C1697/C1696-1,8)</f>
        <v/>
      </c>
      <c r="H1697" s="4">
        <f>ROUND(D1697/100/(DATE(YEAR(A1697)+1,1,1)-DATE(YEAR(A1697),1,1))*E1697,8)</f>
        <v/>
      </c>
      <c r="I1697" s="4">
        <f>ROUND(I1696*(1+F1697),8)</f>
        <v/>
      </c>
      <c r="J1697" s="4">
        <f>ROUND(J1696*(1+G1697),8)</f>
        <v/>
      </c>
      <c r="K1697" s="4">
        <f>ROUND(K1696+H1697,8)</f>
        <v/>
      </c>
      <c r="L1697" s="4">
        <f>ROUND(0.9*F1697+0.05*G1697+0.05*H1697,8)</f>
        <v/>
      </c>
    </row>
    <row r="1698">
      <c r="A1698" s="2" t="n">
        <v>46295</v>
      </c>
      <c r="B1698" s="8" t="n">
        <v>3107.26</v>
      </c>
      <c r="C1698" s="8" t="n">
        <v>132.018</v>
      </c>
      <c r="D1698" s="8" t="n">
        <v>0.35</v>
      </c>
      <c r="E1698">
        <f>A1698-A1697</f>
        <v/>
      </c>
      <c r="F1698" s="4">
        <f>ROUND(B1698/B1697-1,8)</f>
        <v/>
      </c>
      <c r="G1698" s="4">
        <f>ROUND(C1698/C1697-1,8)</f>
        <v/>
      </c>
      <c r="H1698" s="4">
        <f>ROUND(D1698/100/(DATE(YEAR(A1698)+1,1,1)-DATE(YEAR(A1698),1,1))*E1698,8)</f>
        <v/>
      </c>
      <c r="I1698" s="4">
        <f>ROUND(I1697*(1+F1698),8)</f>
        <v/>
      </c>
      <c r="J1698" s="4">
        <f>ROUND(J1697*(1+G1698),8)</f>
        <v/>
      </c>
      <c r="K1698" s="4">
        <f>ROUND(K1697+H1698,8)</f>
        <v/>
      </c>
      <c r="L1698" s="4">
        <f>ROUND(0.9*F1698+0.05*G1698+0.05*H1698,8)</f>
        <v/>
      </c>
    </row>
    <row r="1699">
      <c r="A1699" s="2" t="n">
        <v>46303</v>
      </c>
      <c r="B1699" s="8" t="n">
        <v>3064</v>
      </c>
      <c r="C1699" s="8" t="n">
        <v>132.0289</v>
      </c>
      <c r="D1699" s="8" t="n">
        <v>0.35</v>
      </c>
      <c r="E1699">
        <f>A1699-A1698</f>
        <v/>
      </c>
      <c r="F1699" s="4">
        <f>ROUND(B1699/B1698-1,8)</f>
        <v/>
      </c>
      <c r="G1699" s="4">
        <f>ROUND(C1699/C1698-1,8)</f>
        <v/>
      </c>
      <c r="H1699" s="4">
        <f>ROUND(D1699/100/(DATE(YEAR(A1699)+1,1,1)-DATE(YEAR(A1699),1,1))*E1699,8)</f>
        <v/>
      </c>
      <c r="I1699" s="4">
        <f>ROUND(I1698*(1+F1699),8)</f>
        <v/>
      </c>
      <c r="J1699" s="4">
        <f>ROUND(J1698*(1+G1699),8)</f>
        <v/>
      </c>
      <c r="K1699" s="4">
        <f>ROUND(K1698+H1699,8)</f>
        <v/>
      </c>
      <c r="L1699" s="4">
        <f>ROUND(0.9*F1699+0.05*G1699+0.05*H1699,8)</f>
        <v/>
      </c>
    </row>
    <row r="1700">
      <c r="A1700" s="2" t="n">
        <v>46304</v>
      </c>
      <c r="B1700" s="8" t="n">
        <v>3065.3</v>
      </c>
      <c r="C1700" s="8" t="n">
        <v>132.0922</v>
      </c>
      <c r="D1700" s="8" t="n">
        <v>0.35</v>
      </c>
      <c r="E1700">
        <f>A1700-A1699</f>
        <v/>
      </c>
      <c r="F1700" s="4">
        <f>ROUND(B1700/B1699-1,8)</f>
        <v/>
      </c>
      <c r="G1700" s="4">
        <f>ROUND(C1700/C1699-1,8)</f>
        <v/>
      </c>
      <c r="H1700" s="4">
        <f>ROUND(D1700/100/(DATE(YEAR(A1700)+1,1,1)-DATE(YEAR(A1700),1,1))*E1700,8)</f>
        <v/>
      </c>
      <c r="I1700" s="4">
        <f>ROUND(I1699*(1+F1700),8)</f>
        <v/>
      </c>
      <c r="J1700" s="4">
        <f>ROUND(J1699*(1+G1700),8)</f>
        <v/>
      </c>
      <c r="K1700" s="4">
        <f>ROUND(K1699+H1700,8)</f>
        <v/>
      </c>
      <c r="L1700" s="4">
        <f>ROUND(0.9*F1700+0.05*G1700+0.05*H1700,8)</f>
        <v/>
      </c>
    </row>
    <row r="1701">
      <c r="A1701" s="2" t="n">
        <v>46307</v>
      </c>
      <c r="B1701" s="8" t="n">
        <v>3000.95</v>
      </c>
      <c r="C1701" s="8" t="n">
        <v>132.2295</v>
      </c>
      <c r="D1701" s="8" t="n">
        <v>0.35</v>
      </c>
      <c r="E1701">
        <f>A1701-A1700</f>
        <v/>
      </c>
      <c r="F1701" s="4">
        <f>ROUND(B1701/B1700-1,8)</f>
        <v/>
      </c>
      <c r="G1701" s="4">
        <f>ROUND(C1701/C1700-1,8)</f>
        <v/>
      </c>
      <c r="H1701" s="4">
        <f>ROUND(D1701/100/(DATE(YEAR(A1701)+1,1,1)-DATE(YEAR(A1701),1,1))*E1701,8)</f>
        <v/>
      </c>
      <c r="I1701" s="4">
        <f>ROUND(I1700*(1+F1701),8)</f>
        <v/>
      </c>
      <c r="J1701" s="4">
        <f>ROUND(J1700*(1+G1701),8)</f>
        <v/>
      </c>
      <c r="K1701" s="4">
        <f>ROUND(K1700+H1701,8)</f>
        <v/>
      </c>
      <c r="L1701" s="4">
        <f>ROUND(0.9*F1701+0.05*G1701+0.05*H1701,8)</f>
        <v/>
      </c>
    </row>
    <row r="1702">
      <c r="A1702" s="2" t="n">
        <v>46308</v>
      </c>
      <c r="B1702" s="8" t="n">
        <v>3024.95</v>
      </c>
      <c r="C1702" s="8" t="n">
        <v>132.2669</v>
      </c>
      <c r="D1702" s="8" t="n">
        <v>0.35</v>
      </c>
      <c r="E1702">
        <f>A1702-A1701</f>
        <v/>
      </c>
      <c r="F1702" s="4">
        <f>ROUND(B1702/B1701-1,8)</f>
        <v/>
      </c>
      <c r="G1702" s="4">
        <f>ROUND(C1702/C1701-1,8)</f>
        <v/>
      </c>
      <c r="H1702" s="4">
        <f>ROUND(D1702/100/(DATE(YEAR(A1702)+1,1,1)-DATE(YEAR(A1702),1,1))*E1702,8)</f>
        <v/>
      </c>
      <c r="I1702" s="4">
        <f>ROUND(I1701*(1+F1702),8)</f>
        <v/>
      </c>
      <c r="J1702" s="4">
        <f>ROUND(J1701*(1+G1702),8)</f>
        <v/>
      </c>
      <c r="K1702" s="4">
        <f>ROUND(K1701+H1702,8)</f>
        <v/>
      </c>
      <c r="L1702" s="4">
        <f>ROUND(0.9*F1702+0.05*G1702+0.05*H1702,8)</f>
        <v/>
      </c>
    </row>
    <row r="1703">
      <c r="A1703" s="2" t="n">
        <v>46309</v>
      </c>
      <c r="B1703" s="8" t="n">
        <v>2960.19</v>
      </c>
      <c r="C1703" s="8" t="n">
        <v>132.3272</v>
      </c>
      <c r="D1703" s="8" t="n">
        <v>0.35</v>
      </c>
      <c r="E1703">
        <f>A1703-A1702</f>
        <v/>
      </c>
      <c r="F1703" s="4">
        <f>ROUND(B1703/B1702-1,8)</f>
        <v/>
      </c>
      <c r="G1703" s="4">
        <f>ROUND(C1703/C1702-1,8)</f>
        <v/>
      </c>
      <c r="H1703" s="4">
        <f>ROUND(D1703/100/(DATE(YEAR(A1703)+1,1,1)-DATE(YEAR(A1703),1,1))*E1703,8)</f>
        <v/>
      </c>
      <c r="I1703" s="4">
        <f>ROUND(I1702*(1+F1703),8)</f>
        <v/>
      </c>
      <c r="J1703" s="4">
        <f>ROUND(J1702*(1+G1703),8)</f>
        <v/>
      </c>
      <c r="K1703" s="4">
        <f>ROUND(K1702+H1703,8)</f>
        <v/>
      </c>
      <c r="L1703" s="4">
        <f>ROUND(0.9*F1703+0.05*G1703+0.05*H1703,8)</f>
        <v/>
      </c>
    </row>
    <row r="1704">
      <c r="A1704" s="2" t="n">
        <v>46310</v>
      </c>
      <c r="B1704" s="8" t="n">
        <v>2862.58</v>
      </c>
      <c r="C1704" s="8" t="n">
        <v>132.3165</v>
      </c>
      <c r="D1704" s="8" t="n">
        <v>0.35</v>
      </c>
      <c r="E1704">
        <f>A1704-A1703</f>
        <v/>
      </c>
      <c r="F1704" s="4">
        <f>ROUND(B1704/B1703-1,8)</f>
        <v/>
      </c>
      <c r="G1704" s="4">
        <f>ROUND(C1704/C1703-1,8)</f>
        <v/>
      </c>
      <c r="H1704" s="4">
        <f>ROUND(D1704/100/(DATE(YEAR(A1704)+1,1,1)-DATE(YEAR(A1704),1,1))*E1704,8)</f>
        <v/>
      </c>
      <c r="I1704" s="4">
        <f>ROUND(I1703*(1+F1704),8)</f>
        <v/>
      </c>
      <c r="J1704" s="4">
        <f>ROUND(J1703*(1+G1704),8)</f>
        <v/>
      </c>
      <c r="K1704" s="4">
        <f>ROUND(K1703+H1704,8)</f>
        <v/>
      </c>
      <c r="L1704" s="4">
        <f>ROUND(0.9*F1704+0.05*G1704+0.05*H1704,8)</f>
        <v/>
      </c>
    </row>
    <row r="1705">
      <c r="A1705" s="2" t="n">
        <v>46311</v>
      </c>
      <c r="B1705" s="8" t="n">
        <v>2868.98</v>
      </c>
      <c r="C1705" s="8" t="n">
        <v>132.3676</v>
      </c>
      <c r="D1705" s="8" t="n">
        <v>0.35</v>
      </c>
      <c r="E1705">
        <f>A1705-A1704</f>
        <v/>
      </c>
      <c r="F1705" s="4">
        <f>ROUND(B1705/B1704-1,8)</f>
        <v/>
      </c>
      <c r="G1705" s="4">
        <f>ROUND(C1705/C1704-1,8)</f>
        <v/>
      </c>
      <c r="H1705" s="4">
        <f>ROUND(D1705/100/(DATE(YEAR(A1705)+1,1,1)-DATE(YEAR(A1705),1,1))*E1705,8)</f>
        <v/>
      </c>
      <c r="I1705" s="4">
        <f>ROUND(I1704*(1+F1705),8)</f>
        <v/>
      </c>
      <c r="J1705" s="4">
        <f>ROUND(J1704*(1+G1705),8)</f>
        <v/>
      </c>
      <c r="K1705" s="4">
        <f>ROUND(K1704+H1705,8)</f>
        <v/>
      </c>
      <c r="L1705" s="4">
        <f>ROUND(0.9*F1705+0.05*G1705+0.05*H1705,8)</f>
        <v/>
      </c>
    </row>
    <row r="1706">
      <c r="A1706" s="2" t="n">
        <v>46314</v>
      </c>
      <c r="B1706" s="8" t="n">
        <v>2855.66</v>
      </c>
      <c r="C1706" s="8" t="n">
        <v>132.36</v>
      </c>
      <c r="D1706" s="8" t="n">
        <v>0.35</v>
      </c>
      <c r="E1706">
        <f>A1706-A1705</f>
        <v/>
      </c>
      <c r="F1706" s="4">
        <f>ROUND(B1706/B1705-1,8)</f>
        <v/>
      </c>
      <c r="G1706" s="4">
        <f>ROUND(C1706/C1705-1,8)</f>
        <v/>
      </c>
      <c r="H1706" s="4">
        <f>ROUND(D1706/100/(DATE(YEAR(A1706)+1,1,1)-DATE(YEAR(A1706),1,1))*E1706,8)</f>
        <v/>
      </c>
      <c r="I1706" s="4">
        <f>ROUND(I1705*(1+F1706),8)</f>
        <v/>
      </c>
      <c r="J1706" s="4">
        <f>ROUND(J1705*(1+G1706),8)</f>
        <v/>
      </c>
      <c r="K1706" s="4">
        <f>ROUND(K1705+H1706,8)</f>
        <v/>
      </c>
      <c r="L1706" s="4">
        <f>ROUND(0.9*F1706+0.05*G1706+0.05*H1706,8)</f>
        <v/>
      </c>
    </row>
    <row r="1707">
      <c r="A1707" s="2" t="n">
        <v>46315</v>
      </c>
      <c r="B1707" s="8" t="n">
        <v>2902.7</v>
      </c>
      <c r="C1707" s="8" t="n">
        <v>132.36</v>
      </c>
      <c r="D1707" s="8" t="n">
        <v>0.35</v>
      </c>
      <c r="E1707">
        <f>A1707-A1706</f>
        <v/>
      </c>
      <c r="F1707" s="4">
        <f>ROUND(B1707/B1706-1,8)</f>
        <v/>
      </c>
      <c r="G1707" s="4">
        <f>ROUND(C1707/C1706-1,8)</f>
        <v/>
      </c>
      <c r="H1707" s="4">
        <f>ROUND(D1707/100/(DATE(YEAR(A1707)+1,1,1)-DATE(YEAR(A1707),1,1))*E1707,8)</f>
        <v/>
      </c>
      <c r="I1707" s="4">
        <f>ROUND(I1706*(1+F1707),8)</f>
        <v/>
      </c>
      <c r="J1707" s="4">
        <f>ROUND(J1706*(1+G1707),8)</f>
        <v/>
      </c>
      <c r="K1707" s="4">
        <f>ROUND(K1706+H1707,8)</f>
        <v/>
      </c>
      <c r="L1707" s="4">
        <f>ROUND(0.9*F1707+0.05*G1707+0.05*H1707,8)</f>
        <v/>
      </c>
      <c r="M1707" t="inlineStr">
        <is>
          <t>中债指数当日尚未发布，按前一交易日点位延续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000270 建信灵活配置混合型证券投资基金 — 业绩比较基准日频序列 · 口径说明（v2 按附件3原文修正）</t>
        </is>
      </c>
    </row>
    <row r="2">
      <c r="A2" s="10" t="inlineStr">
        <is>
          <t>生成日期: 2026-10-21 | 序列区间: 2019-10-09 ~ 2026-10-20 (共 1705 个交易日)</t>
        </is>
      </c>
    </row>
    <row r="3">
      <c r="A3" s="10" t="inlineStr"/>
    </row>
    <row r="4">
      <c r="A4" s="9" t="inlineStr">
        <is>
          <t>一、业绩比较基准</t>
        </is>
      </c>
    </row>
    <row r="5">
      <c r="A5" s="10" t="inlineStr">
        <is>
          <t>基准构成: 中证2000指数收益率 × 90% + 中债-综合全价(总值)指数收益率 × 5% + 活期存款基准利率 × 5%</t>
        </is>
      </c>
    </row>
    <row r="6">
      <c r="A6" s="10" t="inlineStr"/>
    </row>
    <row r="7">
      <c r="A7" s="9" t="inlineStr">
        <is>
          <t>二、计算公式（依据附件3原文 p10 总则 + p12 "指数与固定利率合成基准"）</t>
        </is>
      </c>
    </row>
    <row r="8">
      <c r="A8" s="10" t="inlineStr">
        <is>
          <t>1. 指数部分日收益率: r(t) = 当日点位 / 前一交易日点位 − 1 (四舍五入保留8位小数)</t>
        </is>
      </c>
    </row>
    <row r="9">
      <c r="A9" s="10" t="inlineStr">
        <is>
          <t>2. 活期存款日收益率: r(t) = 年利率 0.35% ÷ 当年实际总天数(365/闰年366) × 自然日间隔</t>
        </is>
      </c>
    </row>
    <row r="10">
      <c r="A10" s="10" t="inlineStr">
        <is>
          <t xml:space="preserve">   (节假日后第一个工作日包含节假日收益, 按实际自然日天数补足; 四舍五入8位小数)</t>
        </is>
      </c>
    </row>
    <row r="11">
      <c r="A11" s="10" t="inlineStr">
        <is>
          <t>3. 基准收益率(日): R(t) = 0.9×r中证2000(t) + 0.05×r中债(t) + 0.05×r活期(t) (四舍五入8位小数)</t>
        </is>
      </c>
    </row>
    <row r="12">
      <c r="A12" s="10" t="inlineStr">
        <is>
          <t>4. 1＋基准收益率(t) = 1 + R(t)</t>
        </is>
      </c>
    </row>
    <row r="13">
      <c r="A13" s="10" t="inlineStr">
        <is>
          <t>5. 基准点位(t) = 1000 × ∏(1+R(d)), 基点日 2019-10-08 点位 = 1000 (每日连乘动态再平衡)</t>
        </is>
      </c>
    </row>
    <row r="14">
      <c r="A14" s="10" t="inlineStr">
        <is>
          <t>6. 基准累计增长率(t) = 区间收益按日连乘 = ∏(1+R(d)) − 1 = 基准点位(t)/1000 − 1</t>
        </is>
      </c>
    </row>
    <row r="15">
      <c r="A15" s="10" t="inlineStr">
        <is>
          <t xml:space="preserve">   【v2修正】原版采用"指数独立连乘+利率独立累加+线性加权"(解决方案v2.4 §5.2.3),</t>
        </is>
      </c>
    </row>
    <row r="16">
      <c r="A16" s="10" t="inlineStr">
        <is>
          <t xml:space="preserve">   与附件3 p12 "区间收益按日连乘"不一致, 本版按附件3(监管细则原文)执行:</t>
        </is>
      </c>
    </row>
    <row r="17">
      <c r="A17" s="10" t="inlineStr">
        <is>
          <t xml:space="preserve">   合成基准的利率成分同样参与逐日连乘(动态再平衡), 而非单利累加后线性加权。</t>
        </is>
      </c>
    </row>
    <row r="18">
      <c r="A18" s="10" t="inlineStr">
        <is>
          <t xml:space="preserve">   两口径全期差异约2个百分点(主要来自90%权重指数部分波动增效的处理不同)。</t>
        </is>
      </c>
    </row>
    <row r="19">
      <c r="A19" s="10" t="inlineStr"/>
    </row>
    <row r="20">
      <c r="A20" s="9" t="inlineStr">
        <is>
          <t>三、口径依据与差异提示</t>
        </is>
      </c>
    </row>
    <row r="21">
      <c r="A21" s="10" t="inlineStr">
        <is>
          <t>· 附件3《公开募集证券投资基金业绩比较基准操作细则》p12: 指数与固定利率合成基准,</t>
        </is>
      </c>
    </row>
    <row r="22">
      <c r="A22" s="10" t="inlineStr">
        <is>
          <t xml:space="preserve">  区间收益按日连乘 = (1+R(1))×(1+R(2))×…×(1+R(t))−1; 固定利率部分日收益率=固定利率/当年实际天数</t>
        </is>
      </c>
    </row>
    <row r="23">
      <c r="A23" s="10" t="inlineStr">
        <is>
          <t>· 附件3 p10 总则: 组合要素基准按权重加权日收益率后"通过每日连乘的方式动态再平衡"</t>
        </is>
      </c>
    </row>
    <row r="24">
      <c r="A24" s="10" t="inlineStr">
        <is>
          <t>· 精度(附件3 p11 脚注2): 日收益率统一四舍五入保留8位小数; 非货币基金计算结果保留4位小数(展示);</t>
        </is>
      </c>
    </row>
    <row r="25">
      <c r="A25" s="10" t="inlineStr">
        <is>
          <t xml:space="preserve">  基准点位采用发布机构原始点位, 不做截位处理</t>
        </is>
      </c>
    </row>
    <row r="26">
      <c r="A26" s="10" t="inlineStr">
        <is>
          <t>· 【提示1】解决方案 v2.4 §5.2.2/§5.2.3 "指数连乘+利率累加+线性加权"与附件3不一致, 建议评估修订</t>
        </is>
      </c>
    </row>
    <row r="27">
      <c r="A27" s="10" t="inlineStr">
        <is>
          <t>· 【提示2】v2.4 §5.2.1 活期天数基准"2026-07-01前/360、后/365"与附件3"当年实际总天数"亦不一致</t>
        </is>
      </c>
    </row>
    <row r="28">
      <c r="A28" s="10" t="inlineStr">
        <is>
          <t>· 【提示3】源数据文件活期列按 0.35%/365 固定口径, 与附件3闰年/366不一致, 本版已按附件3修正</t>
        </is>
      </c>
    </row>
    <row r="29">
      <c r="A29" s="10" t="inlineStr"/>
    </row>
    <row r="30">
      <c r="A30" s="9" t="inlineStr">
        <is>
          <t>四、基点日与基金成立日</t>
        </is>
      </c>
    </row>
    <row r="31">
      <c r="A31" s="10" t="inlineStr">
        <is>
          <t>· 基金合同成立日: 2013-09-03 (天天基金/东方财富等公开来源); 建行渠道页面另显示 2019-10-11 (口径待业务确认)</t>
        </is>
      </c>
    </row>
    <row r="32">
      <c r="A32" s="10" t="inlineStr">
        <is>
          <t>· 本序列以数据首日 2019-10-08 为基点日 (基准点位=1000, 不计当日收益);</t>
        </is>
      </c>
    </row>
    <row r="33">
      <c r="A33" s="10" t="inlineStr">
        <is>
          <t xml:space="preserve">  按端点规则"基点日即序列首日时, 自第二个净值披露日起算", 输出自 2019-10-09 起 (基点日以外的每日)</t>
        </is>
      </c>
    </row>
    <row r="34">
      <c r="A34" s="10" t="inlineStr"/>
    </row>
    <row r="35">
      <c r="A35" s="9" t="inlineStr">
        <is>
          <t>五、数据与核对</t>
        </is>
      </c>
    </row>
    <row r="36">
      <c r="A36" s="10" t="inlineStr">
        <is>
          <t>· 源数据: 中证2000_中债综合全价_活期存款利率_日度数据_20191008-20261020.xlsx (Wind, 1706 个交易日)</t>
        </is>
      </c>
    </row>
    <row r="37">
      <c r="A37" s="10" t="inlineStr">
        <is>
          <t>· 2026-10-20 中债指数未更新, 沿用前一日收盘点位 (当日中债收益率=0, 源数据备注)</t>
        </is>
      </c>
    </row>
    <row r="38">
      <c r="A38" s="10" t="inlineStr">
        <is>
          <t>· 全期基准累计增长率: 60.8622% (v1线性加权口径为58.5571%)</t>
        </is>
      </c>
    </row>
    <row r="39">
      <c r="A39" s="10" t="inlineStr">
        <is>
          <t>· 全期活期累计计息: 2.4616% (v1按/365口径为2.4634%)</t>
        </is>
      </c>
    </row>
    <row r="40">
      <c r="A40" s="10" t="inlineStr">
        <is>
          <t>· "成分明细"表含公式(黄色行为基点日), 修改点位/利率后可自动重算, 与"基准序列"值核对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2026-10-21T02:51:44Z</dcterms:created>
  <dcterms:modified xmlns:dcterms="http://purl.org/dc/terms/" xmlns:xsi="http://www.w3.org/2001/XMLSchema-instance" xsi:type="dcterms:W3CDTF">2026-10-21T02:51:44Z</dcterms:modified>
</cp:coreProperties>
</file>