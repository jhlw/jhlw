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汇总表" sheetId="2" r:id="rId5"/>
    <sheet name="校验规则" sheetId="3" r:id="rId6"/>
    <sheet name="口径对照" sheetId="4" r:id="rId7"/>
    <sheet name="示例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<sst xmlns="http://schemas.openxmlformats.org/spreadsheetml/2006/main" count="194" uniqueCount="194">
  <si>
    <t xml:space="preserve">  </t>
  </si>
  <si>
    <t xml:space="preserve">基金业绩比较基准计算 汇总表（PRD）｜单指数/单利率/指数+利率 × 单利/复利 + 四口径</t>
  </si>
  <si>
    <t xml:space="preserve">序号</t>
  </si>
  <si>
    <t xml:space="preserve">基准类型</t>
  </si>
  <si>
    <t xml:space="preserve">计息口径</t>
  </si>
  <si>
    <t xml:space="preserve">区间总收益率 R_bench 公式</t>
  </si>
  <si>
    <t xml:space="preserve">基准年化 r_bench_annual 公式</t>
  </si>
  <si>
    <t xml:space="preserve">对应引擎口径</t>
  </si>
  <si>
    <t xml:space="preserve">典型合同表述 / 适用产品</t>
  </si>
  <si>
    <t xml:space="preserve">1</t>
  </si>
  <si>
    <t xml:space="preserve">单指数</t>
  </si>
  <si>
    <t xml:space="preserve">复利</t>
  </si>
  <si>
    <t xml:space="preserve">R_bench = R_idx；R_idx = ∏(1+r_idx,d) − 1（指数每日涨跌幅连乘，指数天然复利）</t>
  </si>
  <si>
    <t xml:space="preserve">r = (1+R_bench)^(1/t) − 1（几何年化）</t>
  </si>
  <si>
    <t xml:space="preserve">—</t>
  </si>
  <si>
    <t xml:space="preserve">基准为单一指数，按每日涨跌幅复利连乘。适用：股票型/混合型/指数型基金</t>
  </si>
  <si>
    <t xml:space="preserve">2</t>
  </si>
  <si>
    <t xml:space="preserve">单利率</t>
  </si>
  <si>
    <t xml:space="preserve">单利</t>
  </si>
  <si>
    <t xml:space="preserve">R_bench = r_a × t</t>
  </si>
  <si>
    <t xml:space="preserve">r = r_a（固定单利年化，不滚存）</t>
  </si>
  <si>
    <t xml:space="preserve">—</t>
  </si>
  <si>
    <t xml:space="preserve">合同写明“1年期定存/LPR + 固定点（单利年化）”。适用：持有期固收、目标收益债</t>
  </si>
  <si>
    <t xml:space="preserve">3</t>
  </si>
  <si>
    <t xml:space="preserve">单利率</t>
  </si>
  <si>
    <t xml:space="preserve">复利</t>
  </si>
  <si>
    <t xml:space="preserve">R_bench = (1 + r_a)^t − 1</t>
  </si>
  <si>
    <t xml:space="preserve">r = r_a（年化即约定利率）</t>
  </si>
  <si>
    <t xml:space="preserve">—</t>
  </si>
  <si>
    <t xml:space="preserve">合同明确利率按复利滚存计息。公募极罕见</t>
  </si>
  <si>
    <t xml:space="preserve">4</t>
  </si>
  <si>
    <t xml:space="preserve">指数+利率</t>
  </si>
  <si>
    <t xml:space="preserve">指数复利、利率单利</t>
  </si>
  <si>
    <t xml:space="preserve">R_bench = R_idx×W_idx + (r_a×t)×W_r</t>
  </si>
  <si>
    <t xml:space="preserve">r = R_bench / t（整体单利年化）</t>
  </si>
  <si>
    <t xml:space="preserve">口径A（主流）</t>
  </si>
  <si>
    <t xml:space="preserve">基准=指数收益率×权重+利率收益率×权重，利率按单利计提。适用：权益+固收混合基准</t>
  </si>
  <si>
    <t xml:space="preserve">5</t>
  </si>
  <si>
    <t xml:space="preserve">指数+利率</t>
  </si>
  <si>
    <t xml:space="preserve">指数复利、利率复利</t>
  </si>
  <si>
    <t xml:space="preserve">R_bench = R_idx×W_idx + [(1+r_a)^t − 1]×W_r</t>
  </si>
  <si>
    <t xml:space="preserve">r = (1+R_bench)^(1/t) − 1（整体复利年化）</t>
  </si>
  <si>
    <t xml:space="preserve">口径B</t>
  </si>
  <si>
    <t xml:space="preserve">合同明确利率部分按复利滚存。公募极罕见</t>
  </si>
  <si>
    <t xml:space="preserve">6</t>
  </si>
  <si>
    <t xml:space="preserve">指数+利率</t>
  </si>
  <si>
    <t xml:space="preserve">全部简单累加（整体单利）</t>
  </si>
  <si>
    <t xml:space="preserve">R_bench = W_idx×Σr_idx,d + W_r×Σr_r,d</t>
  </si>
  <si>
    <t xml:space="preserve">r = R_bench / t</t>
  </si>
  <si>
    <t xml:space="preserve">口径C</t>
  </si>
  <si>
    <t xml:space="preserve">合同写明每日基准收益率直接累加，不做(1+r)连乘。公募极罕见</t>
  </si>
  <si>
    <t xml:space="preserve">7</t>
  </si>
  <si>
    <t xml:space="preserve">指数+利率</t>
  </si>
  <si>
    <t xml:space="preserve">每日合成基准日收益后连乘（复利）</t>
  </si>
  <si>
    <t xml:space="preserve">R_bench = ∏(1 + W_idx×r_idx,d + W_r×r_r,d) − 1</t>
  </si>
  <si>
    <t xml:space="preserve">r = (1+R_bench)^(1/t) − 1（整体复利年化）</t>
  </si>
  <si>
    <t xml:space="preserve">口径D</t>
  </si>
  <si>
    <t xml:space="preserve">合同写明“当日基准收益率=指数日收益×权重+利率日收益×权重，区间收益为每日基准收益率连乘”。少见</t>
  </si>
  <si>
    <t xml:space="preserve">符号：W_idx、W_r 分别=指数/利率权重，W_idx+W_r=1；t=区间时长(年)；R_idx=指数区间总收益率(=∏(1+r_idx,d)−1)；r_idx,d=每日指数涨跌幅；r_a=约定年化利率；r_r,d=每日利率计提收益；R_bench=基准区间总收益率；r_bench_annual=基准年化收益率。</t>
  </si>
  <si>
    <t xml:space="preserve">选用规则：①默认口径A（指数+利率混合基准最常用）；②口径A与口径D是不同的算法、结果有残差，必须严格按合同文字二选一；③指数部分的 R_idx 永远按点位连乘复利，不能人为改成单利；④口径C仅在合同明确“每日收益直接相加不做连乘”时使用。</t>
  </si>
  <si>
    <t xml:space="preserve">字段级校验规则（每行对应汇总表序号）—— 权重约束 / 计息基数 / 断档处理 / 其他</t>
  </si>
  <si>
    <t xml:space="preserve">序号</t>
  </si>
  <si>
    <t xml:space="preserve">基准类型 / 口径</t>
  </si>
  <si>
    <t xml:space="preserve">权重约束</t>
  </si>
  <si>
    <t xml:space="preserve">计息基数</t>
  </si>
  <si>
    <t xml:space="preserve">断档处理</t>
  </si>
  <si>
    <t xml:space="preserve">其他校验要点</t>
  </si>
  <si>
    <t xml:space="preserve">失败处置建议</t>
  </si>
  <si>
    <t xml:space="preserve">1</t>
  </si>
  <si>
    <t xml:space="preserve">单指数 / 复利</t>
  </si>
  <si>
    <t xml:space="preserve">W=1（单一指数，无拆分权重）；QDII外币指数需确认是否含汇率换算权重</t>
  </si>
  <si>
    <t xml:space="preserve">指数不涉计息基数；年化按 实际区间天数/365 或按自然年数，合同约定</t>
  </si>
  <si>
    <t xml:space="preserve">指数停牌/无行情的交易日不产生日收益，跳过不参与连乘；需区分“非交易日历缺失”与“真实停牌”</t>
  </si>
  <si>
    <t xml:space="preserve">指数选用全收益(含股息再投)还是价格指数由合同约定；区间首尾取指数收盘点位；跨指数替换需分段</t>
  </si>
  <si>
    <t xml:space="preserve">指数区间收益为负时仍按权重加权；指数停牌连续多日需告警</t>
  </si>
  <si>
    <t xml:space="preserve">2</t>
  </si>
  <si>
    <t xml:space="preserve">单利率 / 单利</t>
  </si>
  <si>
    <t xml:space="preserve">W=1；固定加点需确认是“利率加成”还是“独立权重”，加成则并入 r_a</t>
  </si>
  <si>
    <t xml:space="preserve">ACT/360 或 ACT/365 必须读合同；LPR/定存基准常用 ACT/360</t>
  </si>
  <si>
    <t xml:space="preserve">利率重定价日分段计息；区分“期初固定”与“每月重定价动态利率”</t>
  </si>
  <si>
    <t xml:space="preserve">单利不得用(1+r)^n；税前/税后利率按合同（存款用税后）</t>
  </si>
  <si>
    <t xml:space="preserve">计息基数取不到时留空并告警，不用默认值代替</t>
  </si>
  <si>
    <t xml:space="preserve">3</t>
  </si>
  <si>
    <t xml:space="preserve">单利率 / 复利</t>
  </si>
  <si>
    <t xml:space="preserve">W=1</t>
  </si>
  <si>
    <t xml:space="preserve">复利频率与计息基数须一致；明确按日/按月/按年复利</t>
  </si>
  <si>
    <t xml:space="preserve">复利切换点（季/月重定价）需分段</t>
  </si>
  <si>
    <t xml:space="preserve">公募极罕见，仅合同明确利率复利滚存才启用</t>
  </si>
  <si>
    <t xml:space="preserve">口径存疑时降级为单利并提示复核合同</t>
  </si>
  <si>
    <t xml:space="preserve">4</t>
  </si>
  <si>
    <t xml:space="preserve">指数+利率 / 指数复利·利率单利（口径A）</t>
  </si>
  <si>
    <t xml:space="preserve">W_idx+W_r=1，须校验和=100%（或缺省/超限报错）；权重固化于合同，跨区间不可变</t>
  </si>
  <si>
    <t xml:space="preserve">利率项按 ACT/360 或 ACT/365（合同）；指数不涉计息基数</t>
  </si>
  <si>
    <t xml:space="preserve">指数停牌日跳过连乘；利率重定价分段；指数数据缺失需补数与告警，不静默填0</t>
  </si>
  <si>
    <t xml:space="preserve">指数用区间总收益(点位连乘)直接加权，不把指数改单利；整体基准年化用单利口径</t>
  </si>
  <si>
    <t xml:space="preserve">权重和≠1 → 阻断；指数数据断档 → 补数后重算并留审计日志</t>
  </si>
  <si>
    <t xml:space="preserve">5</t>
  </si>
  <si>
    <t xml:space="preserve">指数+利率 / 指数复利·利率复利（口径B）</t>
  </si>
  <si>
    <t xml:space="preserve">W_idx+W_r=1，同口径A校验</t>
  </si>
  <si>
    <t xml:space="preserve">利率复利频率与基数一致</t>
  </si>
  <si>
    <t xml:space="preserve">复利分段、重定价分段、指数停牌跳过</t>
  </si>
  <si>
    <t xml:space="preserve">整体年化用几何复利；合同必须明确利率复利</t>
  </si>
  <si>
    <t xml:space="preserve">合同未明确利率复利 → 按口径A处理</t>
  </si>
  <si>
    <t xml:space="preserve">6</t>
  </si>
  <si>
    <t xml:space="preserve">指数+利率 / 全累加整体单利（口径C）</t>
  </si>
  <si>
    <t xml:space="preserve">W_idx+W_r=1</t>
  </si>
  <si>
    <t xml:space="preserve">每日利率收益= r_a/365(或360)，累加不连乘</t>
  </si>
  <si>
    <t xml:space="preserve">停牌日无收益直接跳过累加；缺失日不能补0（补0会改变累加口径），应标记</t>
  </si>
  <si>
    <t xml:space="preserve">每日基准收益直接相加，不做(1+r)连乘；公募极罕见</t>
  </si>
  <si>
    <t xml:space="preserve">结果与口径A对比校验，偏差&gt;阈值则告警</t>
  </si>
  <si>
    <t xml:space="preserve">7</t>
  </si>
  <si>
    <t xml:space="preserve">指数+利率 / 每日合成后连乘（口径D）</t>
  </si>
  <si>
    <t xml:space="preserve">W_idx+W_r=1</t>
  </si>
  <si>
    <t xml:space="preserve">每日利率收益= r_a/365，计入合成日收益</t>
  </si>
  <si>
    <t xml:space="preserve">停牌日指数日收益=0仍参与连乘(×(1+0)=×1无影响)或跳过，按合同；缺失需补数据</t>
  </si>
  <si>
    <t xml:space="preserve">口径A与D结果有残差（业绩归因不平的来源），合同文字决定用哪个</t>
  </si>
  <si>
    <t xml:space="preserve">口径判定存疑时阻断，待确认合同条款后再算</t>
  </si>
  <si>
    <t xml:space="preserve">通用校验（对所有行生效）：①单复利判定以合同“业绩比较基准收益率的计算方法”条款为准，不按产品类型猜测；②指数部分 R_idx 永远按点位连乘复利，不可人为改单利；③所有外部参数（指数品种、利率、权重、计息基数）必须可溯源到基金合同；④同一区间对比业绩时，基金净值收益口径与基准口径需统一。</t>
  </si>
  <si>
    <t xml:space="preserve">四口径实现对照（3 天实例：指数 +1.00% / −0.50% / +0.80%；W_idx=0.4，W_r=0.6；r_a=3.45%，ACT/365）</t>
  </si>
  <si>
    <t xml:space="preserve">引擎口径</t>
  </si>
  <si>
    <t xml:space="preserve">实现逻辑</t>
  </si>
  <si>
    <t xml:space="preserve">区间基准总收益（实例）</t>
  </si>
  <si>
    <t xml:space="preserve">合同文字特征</t>
  </si>
  <si>
    <t xml:space="preserve">是否主流</t>
  </si>
  <si>
    <t xml:space="preserve">A（主流）</t>
  </si>
  <si>
    <t xml:space="preserve">指数独立复利连乘、利率独立单利累加，最后线性加权</t>
  </si>
  <si>
    <t xml:space="preserve">0.53659769%</t>
  </si>
  <si>
    <t xml:space="preserve">基准=指数收益率×权重+利率收益率×权重；利率按单利计提</t>
  </si>
  <si>
    <t xml:space="preserve">是（默认）</t>
  </si>
  <si>
    <t xml:space="preserve">B</t>
  </si>
  <si>
    <t xml:space="preserve">指数独立复利连乘、利率独立复利连乘，最后线性加权</t>
  </si>
  <si>
    <t xml:space="preserve">0.53659928%</t>
  </si>
  <si>
    <t xml:space="preserve">合同明确利率部分按复利滚存</t>
  </si>
  <si>
    <t xml:space="preserve">极少</t>
  </si>
  <si>
    <t xml:space="preserve">C</t>
  </si>
  <si>
    <t xml:space="preserve">指数日收益、利率日收益全部直接累加（整体单利，不连乘）</t>
  </si>
  <si>
    <t xml:space="preserve">0.53701369%</t>
  </si>
  <si>
    <t xml:space="preserve">合同写明每日基准收益率直接累加，不做(1+r)连乘</t>
  </si>
  <si>
    <t xml:space="preserve">极罕见</t>
  </si>
  <si>
    <t xml:space="preserve">D</t>
  </si>
  <si>
    <t xml:space="preserve">每日先合成基准日收益（指数×权重+利率×权重），再连乘复利</t>
  </si>
  <si>
    <t xml:space="preserve">0.53670100%</t>
  </si>
  <si>
    <t xml:space="preserve">当日基准收益率=指数日收益×权重+利率日收益×权重，区间收益为每日基准收益率连乘</t>
  </si>
  <si>
    <t xml:space="preserve">少见</t>
  </si>
  <si>
    <t xml:space="preserve">残差根源：(1+W_idx·r_idx+W_r·r_r)连乘 ≠ W_idx·∏(1+r_idx)+W_r·∏(1+r_r)，口径A与口径D结果不同，这就是业绩归因校验不平的来源。数值供引擎日度估值核对，非真实长期收益。</t>
  </si>
  <si>
    <t xml:space="preserve">计算公式示例（输入参数可改，结果随公式重算）</t>
  </si>
  <si>
    <t xml:space="preserve">输入参数</t>
  </si>
  <si>
    <t xml:space="preserve">取值</t>
  </si>
  <si>
    <t xml:space="preserve">说明</t>
  </si>
  <si>
    <t xml:space="preserve">R_idx（区间指数收益率）</t>
  </si>
  <si>
    <t xml:space="preserve">指数点位连乘复利结果</t>
  </si>
  <si>
    <t xml:space="preserve">t（区间时长，年）</t>
  </si>
  <si>
    <t xml:space="preserve">如半年=0.5</t>
  </si>
  <si>
    <t xml:space="preserve">r_a（约定年化利率）</t>
  </si>
  <si>
    <t xml:space="preserve">LPR/定存</t>
  </si>
  <si>
    <t xml:space="preserve">W_idx（指数权重）</t>
  </si>
  <si>
    <t xml:space="preserve">W_r（利率权重）</t>
  </si>
  <si>
    <t xml:space="preserve">计息基数</t>
  </si>
  <si>
    <t xml:space="preserve">ACT/365</t>
  </si>
  <si>
    <t xml:space="preserve">合同约定</t>
  </si>
  <si>
    <t xml:space="preserve">第1日指数涨跌幅</t>
  </si>
  <si>
    <t xml:space="preserve">第2日指数涨跌幅</t>
  </si>
  <si>
    <t xml:space="preserve">第3日指数涨跌幅</t>
  </si>
  <si>
    <t xml:space="preserve">每日利率单利日收益</t>
  </si>
  <si>
    <t xml:space="preserve">r_a/365，供口径C/D日度演算（计息基数按合同，360或365）</t>
  </si>
  <si>
    <t xml:space="preserve">序号</t>
  </si>
  <si>
    <t xml:space="preserve">基准类型 / 口径</t>
  </si>
  <si>
    <t xml:space="preserve">区间总收益率 R_bench 公式</t>
  </si>
  <si>
    <t xml:space="preserve">区间总收益 R_bench</t>
  </si>
  <si>
    <t xml:space="preserve">基准年化公式</t>
  </si>
  <si>
    <t xml:space="preserve">基准年化</t>
  </si>
  <si>
    <t xml:space="preserve">说明</t>
  </si>
  <si>
    <t xml:space="preserve">1</t>
  </si>
  <si>
    <t xml:space="preserve">单指数 / 复利</t>
  </si>
  <si>
    <t xml:space="preserve">指数区间收益=输入R_idx</t>
  </si>
  <si>
    <t xml:space="preserve">2</t>
  </si>
  <si>
    <t xml:space="preserve">单利率 / 单利</t>
  </si>
  <si>
    <t xml:space="preserve">单利年化=约定利率</t>
  </si>
  <si>
    <t xml:space="preserve">3</t>
  </si>
  <si>
    <t xml:space="preserve">单利率 / 复利</t>
  </si>
  <si>
    <t xml:space="preserve">利率复利滚存</t>
  </si>
  <si>
    <t xml:space="preserve">4</t>
  </si>
  <si>
    <t xml:space="preserve">指数+利率 / 指数复利·利率单利（口径A）</t>
  </si>
  <si>
    <t xml:space="preserve">整体单利年化</t>
  </si>
  <si>
    <t xml:space="preserve">5</t>
  </si>
  <si>
    <t xml:space="preserve">指数+利率 / 指数复利·利率复利（口径B）</t>
  </si>
  <si>
    <t xml:space="preserve">整体复利年化</t>
  </si>
  <si>
    <t xml:space="preserve">6</t>
  </si>
  <si>
    <t xml:space="preserve">指数+利率 / 全累加整体单利（口径C）</t>
  </si>
  <si>
    <t xml:space="preserve">日收益直接累加（B10/B11/B12=每日指数涨跌幅，B13=每日利率日收益）</t>
  </si>
  <si>
    <t xml:space="preserve">7</t>
  </si>
  <si>
    <t xml:space="preserve">指数+利率 / 每日合成后连乘（口径D）</t>
  </si>
  <si>
    <t xml:space="preserve">每日合成基准日收益连乘</t>
  </si>
  <si>
    <t xml:space="preserve">说明：第 1~5 行为区间聚合口径，直接复用输入参数（R_idx=8%为区间总收益）；第 6~7 行（口径C/D）为日度演算，使用每日数据（3 日指数涨跌幅之和=1.3%，与区间 R_idx 的 8% 是不同口径的输入，故数值不等）。所有结果格均为引用输入/上一格计算的公式，修改输入参数后自动重算。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</si>
</sst>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0%"/>
    <numFmt numFmtId="165" formatCode="0.00%"/>
    <numFmt numFmtId="166" formatCode="0.000000%"/>
  </numFmts>
  <fonts count="7">
    <font>
      <sz val="11"/>
      <color theme="1"/>
      <name val="Calibri"/>
      <family val="2"/>
      <scheme val="minor"/>
    </font>
    <font>
      <b val="true"/>
      <sz val="13"/>
      <color rgb="FFFFFFFF"/>
      <name val="微软雅黑"/>
      <family val="2"/>
    </font>
    <font>
      <sz val="11"/>
      <color rgb="FF000000"/>
      <name val="Calibri"/>
      <family val="2"/>
    </font>
    <font>
      <b val="true"/>
      <sz val="10"/>
      <color rgb="FF1F1F1F"/>
      <name val="微软雅黑"/>
      <family val="2"/>
    </font>
    <font>
      <sz val="10"/>
      <color rgb="FF1F1F1F"/>
      <name val="微软雅黑"/>
      <family val="2"/>
    </font>
    <font>
      <sz val="9"/>
      <color rgb="FF5A5A5A"/>
      <name val="微软雅黑"/>
      <family val="2"/>
    </font>
    <font>
      <sz val="10"/>
      <color rgb="FF000000"/>
      <name val="微软雅黑"/>
      <family val="2"/>
    </font>
  </fonts>
  <fills count="1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33C9A"/>
        <bgColor/>
      </patternFill>
    </fill>
    <fill>
      <patternFill patternType="solid">
        <fgColor rgb="FFD7E4FB"/>
        <bgColor/>
      </patternFill>
    </fill>
    <fill>
      <patternFill patternType="solid">
        <fgColor rgb="FFF5F7FA"/>
        <bgColor/>
      </patternFill>
    </fill>
    <fill>
      <patternFill patternType="solid">
        <fgColor rgb="FF133C9A"/>
        <bgColor/>
      </patternFill>
    </fill>
    <fill>
      <patternFill patternType="solid">
        <fgColor rgb="FFD7E4FB"/>
        <bgColor/>
      </patternFill>
    </fill>
    <fill>
      <patternFill patternType="solid">
        <fgColor rgb="FFF5F7FA"/>
        <bgColor/>
      </patternFill>
    </fill>
    <fill>
      <patternFill patternType="solid">
        <fgColor rgb="FF133C9A"/>
        <bgColor/>
      </patternFill>
    </fill>
    <fill>
      <patternFill patternType="solid">
        <fgColor rgb="FFD7E4FB"/>
        <bgColor/>
      </patternFill>
    </fill>
    <fill>
      <patternFill patternType="solid">
        <fgColor rgb="FFF5F7FA"/>
        <bgColor/>
      </patternFill>
    </fill>
    <fill>
      <patternFill patternType="solid">
        <fgColor rgb="FF133C9A"/>
        <bgColor/>
      </patternFill>
    </fill>
    <fill>
      <patternFill patternType="solid">
        <fgColor rgb="FFD7E4FB"/>
        <bgColor/>
      </patternFill>
    </fill>
    <fill>
      <patternFill patternType="solid">
        <fgColor rgb="FFF5F7FA"/>
        <bgColor/>
      </patternFill>
    </fill>
  </fills>
  <borders count="9">
    <border>
      <left/>
      <right/>
      <top/>
      <bottom/>
      <diagonal/>
    </border>
    <border>
      <left/>
      <right/>
      <top/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/>
      <right/>
      <top/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/>
      <right/>
      <top/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/>
      <right/>
      <top/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false" applyFont="true" applyNumberFormat="false" applyProtection="false" borderId="2" fillId="0" fontId="4" numFmtId="0" xfId="0">
      <alignment horizontal="center" vertical="center" wrapText="true"/>
    </xf>
    <xf applyAlignment="true" applyBorder="false" applyFill="false" applyFont="true" applyNumberFormat="false" applyProtection="false" borderId="2" fillId="0" fontId="4" numFmtId="0" xfId="0">
      <alignment horizontal="left" vertical="center" wrapText="true"/>
    </xf>
    <xf applyAlignment="true" applyBorder="false" applyFill="true" applyFont="true" applyNumberFormat="false" applyProtection="false" borderId="0" fillId="4" fontId="5" numFmtId="0" xfId="0">
      <alignment horizontal="left" vertical="center" wrapText="true"/>
    </xf>
    <xf applyAlignment="true" applyBorder="false" applyFill="true" applyFont="true" applyNumberFormat="false" applyProtection="false" borderId="0" fillId="5" fontId="1" numFmtId="0" xfId="0">
      <alignment horizontal="center" vertical="center" wrapText="true"/>
    </xf>
    <xf applyAlignment="true" applyBorder="false" applyFill="true" applyFont="true" applyNumberFormat="false" applyProtection="false" borderId="3" fillId="6" fontId="3" numFmtId="0" xfId="0">
      <alignment horizontal="center" vertical="center" wrapText="true"/>
    </xf>
    <xf applyAlignment="true" applyBorder="false" applyFill="false" applyFont="true" applyNumberFormat="false" applyProtection="false" borderId="4" fillId="0" fontId="4" numFmtId="0" xfId="0">
      <alignment horizontal="center" vertical="center" wrapText="true"/>
    </xf>
    <xf applyAlignment="true" applyBorder="false" applyFill="false" applyFont="true" applyNumberFormat="false" applyProtection="false" borderId="4" fillId="0" fontId="4" numFmtId="0" xfId="0">
      <alignment horizontal="left" vertical="center" wrapText="true"/>
    </xf>
    <xf applyAlignment="true" applyBorder="false" applyFill="true" applyFont="true" applyNumberFormat="false" applyProtection="false" borderId="0" fillId="7" fontId="5" numFmtId="0" xfId="0">
      <alignment horizontal="left" vertical="center" wrapText="true"/>
    </xf>
    <xf applyAlignment="true" applyBorder="false" applyFill="true" applyFont="true" applyNumberFormat="false" applyProtection="false" borderId="0" fillId="8" fontId="1" numFmtId="0" xfId="0">
      <alignment horizontal="center" vertical="center" wrapText="true"/>
    </xf>
    <xf applyAlignment="true" applyBorder="false" applyFill="true" applyFont="true" applyNumberFormat="false" applyProtection="false" borderId="5" fillId="9" fontId="3" numFmtId="0" xfId="0">
      <alignment horizontal="center" vertical="center" wrapText="true"/>
    </xf>
    <xf applyAlignment="true" applyBorder="false" applyFill="false" applyFont="true" applyNumberFormat="false" applyProtection="false" borderId="6" fillId="0" fontId="4" numFmtId="0" xfId="0">
      <alignment horizontal="center" vertical="center" wrapText="true"/>
    </xf>
    <xf applyAlignment="true" applyBorder="false" applyFill="false" applyFont="true" applyNumberFormat="false" applyProtection="false" borderId="6" fillId="0" fontId="4" numFmtId="0" xfId="0">
      <alignment horizontal="left" vertical="center" wrapText="true"/>
    </xf>
    <xf applyAlignment="true" applyBorder="false" applyFill="true" applyFont="true" applyNumberFormat="false" applyProtection="false" borderId="0" fillId="10" fontId="5" numFmtId="0" xfId="0">
      <alignment horizontal="left" vertical="center" wrapText="true"/>
    </xf>
    <xf applyAlignment="true" applyBorder="false" applyFill="true" applyFont="true" applyNumberFormat="false" applyProtection="false" borderId="0" fillId="11" fontId="1" numFmtId="0" xfId="0">
      <alignment horizontal="center" vertical="center" wrapText="true"/>
    </xf>
    <xf applyAlignment="true" applyBorder="false" applyFill="true" applyFont="true" applyNumberFormat="false" applyProtection="false" borderId="7" fillId="12" fontId="3" numFmtId="0" xfId="0">
      <alignment horizontal="center" vertical="center" wrapText="true"/>
    </xf>
    <xf applyAlignment="true" applyBorder="false" applyFill="false" applyFont="true" applyNumberFormat="false" applyProtection="false" borderId="8" fillId="0" fontId="6" numFmtId="0" xfId="0">
      <alignment vertical="bottom"/>
    </xf>
    <xf applyAlignment="true" applyBorder="false" applyFill="false" applyFont="true" applyNumberFormat="true" applyProtection="false" borderId="8" fillId="0" fontId="2" numFmtId="164" xfId="0">
      <alignment horizontal="center" vertical="center"/>
    </xf>
    <xf applyAlignment="true" applyBorder="false" applyFill="false" applyFont="true" applyNumberFormat="false" applyProtection="false" borderId="8" fillId="0" fontId="5" numFmtId="0" xfId="0">
      <alignment vertical="bottom"/>
    </xf>
    <xf applyAlignment="true" applyBorder="false" applyFill="false" applyFont="true" applyNumberFormat="false" applyProtection="false" borderId="8" fillId="0" fontId="2" numFmtId="0" xfId="0">
      <alignment horizontal="center" vertical="center"/>
    </xf>
    <xf applyAlignment="true" applyBorder="false" applyFill="false" applyFont="true" applyNumberFormat="true" applyProtection="false" borderId="8" fillId="0" fontId="2" numFmtId="165" xfId="0">
      <alignment horizontal="center" vertical="center"/>
    </xf>
    <xf applyAlignment="true" applyBorder="false" applyFill="false" applyFont="true" applyNumberFormat="false" applyProtection="false" borderId="8" fillId="0" fontId="2" numFmtId="0" xfId="0">
      <alignment vertical="bottom"/>
    </xf>
    <xf applyAlignment="true" applyBorder="false" applyFill="false" applyFont="true" applyNumberFormat="false" applyProtection="false" borderId="0" fillId="0" fontId="6" numFmtId="0" xfId="0">
      <alignment vertical="bottom"/>
    </xf>
    <xf applyAlignment="true" applyBorder="false" applyFill="false" applyFont="true" applyNumberFormat="true" applyProtection="false" borderId="0" fillId="0" fontId="2" numFmtId="165" xfId="0">
      <alignment horizontal="center" vertical="center"/>
    </xf>
    <xf applyAlignment="true" applyBorder="false" applyFill="false" applyFont="true" applyNumberFormat="true" applyProtection="false" borderId="0" fillId="0" fontId="2" numFmtId="166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bottom"/>
    </xf>
    <xf applyAlignment="true" applyBorder="false" applyFill="false" applyFont="true" applyNumberFormat="false" applyProtection="false" borderId="8" fillId="0" fontId="4" numFmtId="0" xfId="0">
      <alignment horizontal="center" vertical="center" wrapText="true"/>
    </xf>
    <xf applyAlignment="true" applyBorder="false" applyFill="false" applyFont="true" applyNumberFormat="false" applyProtection="false" borderId="8" fillId="0" fontId="4" numFmtId="0" xfId="0">
      <alignment horizontal="left" vertical="center" wrapText="true"/>
    </xf>
    <xf applyAlignment="true" applyBorder="false" applyFill="false" applyFont="true" applyNumberFormat="true" applyProtection="false" borderId="8" fillId="0" fontId="4" numFmtId="164" xfId="0">
      <alignment horizontal="center" vertical="center" wrapText="true"/>
    </xf>
    <xf applyAlignment="true" applyBorder="false" applyFill="true" applyFont="true" applyNumberFormat="false" applyProtection="false" borderId="0" fillId="13" fontId="5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8" defaultRowHeight="15"/>
  <cols>
    <col collapsed="false" customWidth="true" hidden="false" max="2" min="2" style="0" width="12"/>
    <col collapsed="false" customWidth="true" hidden="false" max="3" min="3" style="0" width="18"/>
    <col collapsed="false" customWidth="true" hidden="false" max="4" min="4" style="0" width="46"/>
    <col collapsed="false" customWidth="true" hidden="false" max="5" min="5" style="0" width="32"/>
    <col collapsed="false" customWidth="true" hidden="false" max="6" min="6" style="0" width="12"/>
    <col collapsed="false" customWidth="true" hidden="false" max="7" min="7" style="0" width="46"/>
    <col collapsed="false" customWidth="true" hidden="false" max="1" min="1" style="0" width="6"/>
  </cols>
  <sheetData>
    <row customHeight="true" ht="34" r="1">
      <c r="A1" s="1" t="s">
        <v>1</v>
      </c>
    </row>
    <row customHeight="true" ht="30"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customHeight="true" ht="46" r="3">
      <c r="A3" s="3" t="s">
        <v>9</v>
      </c>
      <c r="B3" s="3" t="s">
        <v>10</v>
      </c>
      <c r="C3" s="3" t="s">
        <v>11</v>
      </c>
      <c r="D3" s="4" t="s">
        <v>12</v>
      </c>
      <c r="E3" s="4" t="s">
        <v>13</v>
      </c>
      <c r="F3" s="3" t="s">
        <v>14</v>
      </c>
      <c r="G3" s="4" t="s">
        <v>15</v>
      </c>
    </row>
    <row customHeight="true" ht="46" r="4">
      <c r="A4" s="3" t="s">
        <v>16</v>
      </c>
      <c r="B4" s="3" t="s">
        <v>17</v>
      </c>
      <c r="C4" s="3" t="s">
        <v>18</v>
      </c>
      <c r="D4" s="4" t="s">
        <v>19</v>
      </c>
      <c r="E4" s="4" t="s">
        <v>20</v>
      </c>
      <c r="F4" s="3" t="s">
        <v>21</v>
      </c>
      <c r="G4" s="4" t="s">
        <v>22</v>
      </c>
    </row>
    <row customHeight="true" ht="46" r="5">
      <c r="A5" s="3" t="s">
        <v>23</v>
      </c>
      <c r="B5" s="3" t="s">
        <v>24</v>
      </c>
      <c r="C5" s="3" t="s">
        <v>25</v>
      </c>
      <c r="D5" s="4" t="s">
        <v>26</v>
      </c>
      <c r="E5" s="4" t="s">
        <v>27</v>
      </c>
      <c r="F5" s="3" t="s">
        <v>28</v>
      </c>
      <c r="G5" s="4" t="s">
        <v>29</v>
      </c>
    </row>
    <row customHeight="true" ht="46" r="6">
      <c r="A6" s="3" t="s">
        <v>30</v>
      </c>
      <c r="B6" s="3" t="s">
        <v>31</v>
      </c>
      <c r="C6" s="3" t="s">
        <v>32</v>
      </c>
      <c r="D6" s="4" t="s">
        <v>33</v>
      </c>
      <c r="E6" s="4" t="s">
        <v>34</v>
      </c>
      <c r="F6" s="3" t="s">
        <v>35</v>
      </c>
      <c r="G6" s="4" t="s">
        <v>36</v>
      </c>
    </row>
    <row customHeight="true" ht="46" r="7">
      <c r="A7" s="3" t="s">
        <v>37</v>
      </c>
      <c r="B7" s="3" t="s">
        <v>38</v>
      </c>
      <c r="C7" s="3" t="s">
        <v>39</v>
      </c>
      <c r="D7" s="4" t="s">
        <v>40</v>
      </c>
      <c r="E7" s="4" t="s">
        <v>41</v>
      </c>
      <c r="F7" s="3" t="s">
        <v>42</v>
      </c>
      <c r="G7" s="4" t="s">
        <v>43</v>
      </c>
    </row>
    <row customHeight="true" ht="46" r="8">
      <c r="A8" s="3" t="s">
        <v>44</v>
      </c>
      <c r="B8" s="3" t="s">
        <v>45</v>
      </c>
      <c r="C8" s="3" t="s">
        <v>46</v>
      </c>
      <c r="D8" s="4" t="s">
        <v>47</v>
      </c>
      <c r="E8" s="4" t="s">
        <v>48</v>
      </c>
      <c r="F8" s="3" t="s">
        <v>49</v>
      </c>
      <c r="G8" s="4" t="s">
        <v>50</v>
      </c>
    </row>
    <row customHeight="true" ht="46" r="9">
      <c r="A9" s="3" t="s">
        <v>51</v>
      </c>
      <c r="B9" s="3" t="s">
        <v>52</v>
      </c>
      <c r="C9" s="3" t="s">
        <v>53</v>
      </c>
      <c r="D9" s="4" t="s">
        <v>54</v>
      </c>
      <c r="E9" s="4" t="s">
        <v>55</v>
      </c>
      <c r="F9" s="3" t="s">
        <v>56</v>
      </c>
      <c r="G9" s="4" t="s">
        <v>57</v>
      </c>
    </row>
    <row r="10"/>
    <row customHeight="true" ht="40" r="11">
      <c r="A11" s="5" t="s">
        <v>58</v>
      </c>
    </row>
    <row customHeight="true" ht="40" r="12">
      <c r="A12" s="5" t="s">
        <v>59</v>
      </c>
    </row>
  </sheetData>
  <mergeCells>
    <mergeCell ref="A11:G11"/>
    <mergeCell ref="A1:G1"/>
    <mergeCell ref="A12:G12"/>
  </mergeCells>
  <pageMargins bottom="1" footer="0.5" header="0.5" left="0.75" right="0.75" top="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8" defaultRowHeight="15"/>
  <cols>
    <col collapsed="false" customWidth="true" hidden="false" max="2" min="2" style="0" width="22"/>
    <col collapsed="false" customWidth="true" hidden="false" max="3" min="3" style="0" width="34"/>
    <col collapsed="false" customWidth="true" hidden="false" max="4" min="4" style="0" width="30"/>
    <col collapsed="false" customWidth="true" hidden="false" max="5" min="5" style="0" width="34"/>
    <col collapsed="false" customWidth="true" hidden="false" max="6" min="6" style="0" width="34"/>
    <col collapsed="false" customWidth="true" hidden="false" max="7" min="7" style="0" width="30"/>
    <col collapsed="false" customWidth="true" hidden="false" max="1" min="1" style="0" width="6"/>
  </cols>
  <sheetData>
    <row customHeight="true" ht="32" r="1">
      <c r="A1" s="6" t="s">
        <v>60</v>
      </c>
    </row>
    <row customHeight="true" ht="30" r="2">
      <c r="A2" s="7" t="s">
        <v>61</v>
      </c>
      <c r="B2" s="7" t="s">
        <v>62</v>
      </c>
      <c r="C2" s="7" t="s">
        <v>63</v>
      </c>
      <c r="D2" s="7" t="s">
        <v>64</v>
      </c>
      <c r="E2" s="7" t="s">
        <v>65</v>
      </c>
      <c r="F2" s="7" t="s">
        <v>66</v>
      </c>
      <c r="G2" s="7" t="s">
        <v>67</v>
      </c>
    </row>
    <row customHeight="true" ht="66" r="3">
      <c r="A3" s="8" t="s">
        <v>68</v>
      </c>
      <c r="B3" s="9" t="s">
        <v>69</v>
      </c>
      <c r="C3" s="9" t="s">
        <v>70</v>
      </c>
      <c r="D3" s="9" t="s">
        <v>71</v>
      </c>
      <c r="E3" s="9" t="s">
        <v>72</v>
      </c>
      <c r="F3" s="9" t="s">
        <v>73</v>
      </c>
      <c r="G3" s="9" t="s">
        <v>74</v>
      </c>
    </row>
    <row customHeight="true" ht="66" r="4">
      <c r="A4" s="8" t="s">
        <v>75</v>
      </c>
      <c r="B4" s="9" t="s">
        <v>76</v>
      </c>
      <c r="C4" s="9" t="s">
        <v>77</v>
      </c>
      <c r="D4" s="9" t="s">
        <v>78</v>
      </c>
      <c r="E4" s="9" t="s">
        <v>79</v>
      </c>
      <c r="F4" s="9" t="s">
        <v>80</v>
      </c>
      <c r="G4" s="9" t="s">
        <v>81</v>
      </c>
    </row>
    <row customHeight="true" ht="66" r="5">
      <c r="A5" s="8" t="s">
        <v>82</v>
      </c>
      <c r="B5" s="9" t="s">
        <v>83</v>
      </c>
      <c r="C5" s="9" t="s">
        <v>84</v>
      </c>
      <c r="D5" s="9" t="s">
        <v>85</v>
      </c>
      <c r="E5" s="9" t="s">
        <v>86</v>
      </c>
      <c r="F5" s="9" t="s">
        <v>87</v>
      </c>
      <c r="G5" s="9" t="s">
        <v>88</v>
      </c>
    </row>
    <row customHeight="true" ht="66" r="6">
      <c r="A6" s="8" t="s">
        <v>89</v>
      </c>
      <c r="B6" s="9" t="s">
        <v>90</v>
      </c>
      <c r="C6" s="9" t="s">
        <v>91</v>
      </c>
      <c r="D6" s="9" t="s">
        <v>92</v>
      </c>
      <c r="E6" s="9" t="s">
        <v>93</v>
      </c>
      <c r="F6" s="9" t="s">
        <v>94</v>
      </c>
      <c r="G6" s="9" t="s">
        <v>95</v>
      </c>
    </row>
    <row customHeight="true" ht="66" r="7">
      <c r="A7" s="8" t="s">
        <v>96</v>
      </c>
      <c r="B7" s="9" t="s">
        <v>97</v>
      </c>
      <c r="C7" s="9" t="s">
        <v>98</v>
      </c>
      <c r="D7" s="9" t="s">
        <v>99</v>
      </c>
      <c r="E7" s="9" t="s">
        <v>100</v>
      </c>
      <c r="F7" s="9" t="s">
        <v>101</v>
      </c>
      <c r="G7" s="9" t="s">
        <v>102</v>
      </c>
    </row>
    <row customHeight="true" ht="66" r="8">
      <c r="A8" s="8" t="s">
        <v>103</v>
      </c>
      <c r="B8" s="9" t="s">
        <v>104</v>
      </c>
      <c r="C8" s="9" t="s">
        <v>105</v>
      </c>
      <c r="D8" s="9" t="s">
        <v>106</v>
      </c>
      <c r="E8" s="9" t="s">
        <v>107</v>
      </c>
      <c r="F8" s="9" t="s">
        <v>108</v>
      </c>
      <c r="G8" s="9" t="s">
        <v>109</v>
      </c>
    </row>
    <row customHeight="true" ht="66" r="9">
      <c r="A9" s="8" t="s">
        <v>110</v>
      </c>
      <c r="B9" s="9" t="s">
        <v>111</v>
      </c>
      <c r="C9" s="9" t="s">
        <v>112</v>
      </c>
      <c r="D9" s="9" t="s">
        <v>113</v>
      </c>
      <c r="E9" s="9" t="s">
        <v>114</v>
      </c>
      <c r="F9" s="9" t="s">
        <v>115</v>
      </c>
      <c r="G9" s="9" t="s">
        <v>116</v>
      </c>
    </row>
    <row r="10"/>
    <row customHeight="true" ht="42" r="11">
      <c r="A11" s="10" t="s">
        <v>117</v>
      </c>
    </row>
  </sheetData>
  <mergeCells>
    <mergeCell ref="A11:G11"/>
    <mergeCell ref="A1:G1"/>
  </mergeCells>
  <pageMargins bottom="1" footer="0.5" header="0.5" left="0.75" right="0.75" top="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8" defaultRowHeight="15"/>
  <cols>
    <col collapsed="false" customWidth="true" hidden="false" max="2" min="2" style="0" width="44"/>
    <col collapsed="false" customWidth="true" hidden="false" max="3" min="3" style="0" width="22"/>
    <col collapsed="false" customWidth="true" hidden="false" max="4" min="4" style="0" width="48"/>
    <col collapsed="false" customWidth="true" hidden="false" max="5" min="5" style="0" width="12"/>
    <col collapsed="false" customWidth="true" hidden="false" max="1" min="1" style="0" width="12"/>
  </cols>
  <sheetData>
    <row customHeight="true" ht="32" r="1">
      <c r="A1" s="11" t="s">
        <v>118</v>
      </c>
    </row>
    <row customHeight="true" ht="30" r="2">
      <c r="A2" s="12" t="s">
        <v>119</v>
      </c>
      <c r="B2" s="12" t="s">
        <v>120</v>
      </c>
      <c r="C2" s="12" t="s">
        <v>121</v>
      </c>
      <c r="D2" s="12" t="s">
        <v>122</v>
      </c>
      <c r="E2" s="12" t="s">
        <v>123</v>
      </c>
    </row>
    <row customHeight="true" ht="42" r="3">
      <c r="A3" s="13" t="s">
        <v>124</v>
      </c>
      <c r="B3" s="14" t="s">
        <v>125</v>
      </c>
      <c r="C3" s="14" t="s">
        <v>126</v>
      </c>
      <c r="D3" s="14" t="s">
        <v>127</v>
      </c>
      <c r="E3" s="13" t="s">
        <v>128</v>
      </c>
    </row>
    <row customHeight="true" ht="42" r="4">
      <c r="A4" s="13" t="s">
        <v>129</v>
      </c>
      <c r="B4" s="14" t="s">
        <v>130</v>
      </c>
      <c r="C4" s="14" t="s">
        <v>131</v>
      </c>
      <c r="D4" s="14" t="s">
        <v>132</v>
      </c>
      <c r="E4" s="13" t="s">
        <v>133</v>
      </c>
    </row>
    <row customHeight="true" ht="42" r="5">
      <c r="A5" s="13" t="s">
        <v>134</v>
      </c>
      <c r="B5" s="14" t="s">
        <v>135</v>
      </c>
      <c r="C5" s="14" t="s">
        <v>136</v>
      </c>
      <c r="D5" s="14" t="s">
        <v>137</v>
      </c>
      <c r="E5" s="13" t="s">
        <v>138</v>
      </c>
    </row>
    <row customHeight="true" ht="42" r="6">
      <c r="A6" s="13" t="s">
        <v>139</v>
      </c>
      <c r="B6" s="14" t="s">
        <v>140</v>
      </c>
      <c r="C6" s="14" t="s">
        <v>141</v>
      </c>
      <c r="D6" s="14" t="s">
        <v>142</v>
      </c>
      <c r="E6" s="13" t="s">
        <v>143</v>
      </c>
    </row>
    <row r="7"/>
    <row customHeight="true" ht="40" r="8">
      <c r="A8" s="15" t="s">
        <v>144</v>
      </c>
    </row>
  </sheetData>
  <mergeCells>
    <mergeCell ref="A1:E1"/>
    <mergeCell ref="A8:E8"/>
  </mergeCells>
  <pageMargins bottom="1" footer="0.5" header="0.5" left="0.75" right="0.75" top="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4" ySplit="3"/>
    </sheetView>
  </sheetViews>
  <sheetFormatPr defaultColWidth="8" defaultRowHeight="15"/>
  <cols>
    <col collapsed="false" customWidth="true" hidden="false" max="5" min="5" style="0" width="26"/>
    <col collapsed="false" customWidth="true" hidden="false" max="6" min="6" style="0" width="14"/>
    <col collapsed="false" customWidth="true" hidden="false" max="7" min="7" style="0" width="30"/>
    <col collapsed="false" customWidth="true" hidden="false" max="1" min="1" style="0" width="6"/>
    <col collapsed="false" customWidth="true" hidden="false" max="2" min="2" style="0" width="26"/>
    <col collapsed="false" customWidth="true" hidden="false" max="3" min="3" style="0" width="40"/>
    <col collapsed="false" customWidth="true" hidden="false" max="4" min="4" style="0" width="16"/>
  </cols>
  <sheetData>
    <row customHeight="true" ht="30" r="1">
      <c r="A1" s="16" t="s">
        <v>145</v>
      </c>
    </row>
    <row r="2"/>
    <row customHeight="true" ht="30" r="3">
      <c r="A3" s="17" t="s">
        <v>146</v>
      </c>
      <c r="B3" s="17" t="s">
        <v>147</v>
      </c>
      <c r="C3" s="17" t="s">
        <v>148</v>
      </c>
    </row>
    <row r="4">
      <c r="A4" s="18" t="s">
        <v>149</v>
      </c>
      <c r="B4" s="19">
        <v>0.08</v>
      </c>
      <c r="C4" s="20" t="s">
        <v>150</v>
      </c>
    </row>
    <row r="5">
      <c r="A5" s="18" t="s">
        <v>151</v>
      </c>
      <c r="B5" s="19">
        <v>0.5</v>
      </c>
      <c r="C5" s="20" t="s">
        <v>152</v>
      </c>
    </row>
    <row r="6">
      <c r="A6" s="18" t="s">
        <v>153</v>
      </c>
      <c r="B6" s="19">
        <v>0.0345</v>
      </c>
      <c r="C6" s="20" t="s">
        <v>154</v>
      </c>
    </row>
    <row r="7">
      <c r="A7" s="18" t="s">
        <v>155</v>
      </c>
      <c r="B7" s="19">
        <v>0.4</v>
      </c>
      <c r="C7" s="20"/>
    </row>
    <row r="8">
      <c r="A8" s="18" t="s">
        <v>156</v>
      </c>
      <c r="B8" s="19">
        <v>0.6</v>
      </c>
      <c r="C8" s="20"/>
    </row>
    <row r="9">
      <c r="A9" s="18" t="s">
        <v>157</v>
      </c>
      <c r="B9" s="21" t="s">
        <v>158</v>
      </c>
      <c r="C9" s="20" t="s">
        <v>159</v>
      </c>
    </row>
    <row r="10">
      <c r="A10" s="18" t="s">
        <v>160</v>
      </c>
      <c r="B10" s="22">
        <v>0.01</v>
      </c>
      <c r="C10" s="23"/>
    </row>
    <row r="11">
      <c r="A11" s="18" t="s">
        <v>161</v>
      </c>
      <c r="B11" s="22">
        <v>-0.005</v>
      </c>
      <c r="C11" s="23"/>
    </row>
    <row r="12">
      <c r="A12" s="24" t="s">
        <v>162</v>
      </c>
      <c r="B12" s="25">
        <v>0.008</v>
      </c>
    </row>
    <row r="13">
      <c r="A13" s="24" t="s">
        <v>163</v>
      </c>
      <c r="B13" s="26">
        <f>B6/365</f>
      </c>
      <c r="C13" s="27" t="s">
        <v>164</v>
      </c>
    </row>
    <row r="14"/>
    <row customHeight="true" ht="30" r="15">
      <c r="A15" s="17" t="s">
        <v>165</v>
      </c>
      <c r="B15" s="17" t="s">
        <v>166</v>
      </c>
      <c r="C15" s="17" t="s">
        <v>167</v>
      </c>
      <c r="D15" s="17" t="s">
        <v>168</v>
      </c>
      <c r="E15" s="17" t="s">
        <v>169</v>
      </c>
      <c r="F15" s="17" t="s">
        <v>170</v>
      </c>
      <c r="G15" s="17" t="s">
        <v>171</v>
      </c>
    </row>
    <row customHeight="true" ht="34" r="16">
      <c r="A16" s="28" t="s">
        <v>172</v>
      </c>
      <c r="B16" s="29" t="s">
        <v>173</v>
      </c>
      <c r="C16" s="29">
        <f>B4</f>
      </c>
      <c r="D16" s="30">
        <f>C16</f>
      </c>
      <c r="E16" s="29">
        <f>(1+C16)^(1/B5)-1</f>
      </c>
      <c r="F16" s="30">
        <f>E16</f>
      </c>
      <c r="G16" s="29" t="s">
        <v>174</v>
      </c>
    </row>
    <row customHeight="true" ht="34" r="17">
      <c r="A17" s="28" t="s">
        <v>175</v>
      </c>
      <c r="B17" s="29" t="s">
        <v>176</v>
      </c>
      <c r="C17" s="29">
        <f>B5*B6</f>
      </c>
      <c r="D17" s="30">
        <f>C17</f>
      </c>
      <c r="E17" s="29">
        <f>B6</f>
      </c>
      <c r="F17" s="30">
        <f>E17</f>
      </c>
      <c r="G17" s="29" t="s">
        <v>177</v>
      </c>
    </row>
    <row customHeight="true" ht="34" r="18">
      <c r="A18" s="28" t="s">
        <v>178</v>
      </c>
      <c r="B18" s="29" t="s">
        <v>179</v>
      </c>
      <c r="C18" s="29">
        <f>(1+B6)^B5-1</f>
      </c>
      <c r="D18" s="30">
        <f>C18</f>
      </c>
      <c r="E18" s="29">
        <f>B6</f>
      </c>
      <c r="F18" s="30">
        <f>E18</f>
      </c>
      <c r="G18" s="29" t="s">
        <v>180</v>
      </c>
    </row>
    <row customHeight="true" ht="34" r="19">
      <c r="A19" s="28" t="s">
        <v>181</v>
      </c>
      <c r="B19" s="29" t="s">
        <v>182</v>
      </c>
      <c r="C19" s="29">
        <f>B4*B7+B6*B5*B8</f>
      </c>
      <c r="D19" s="30">
        <f>C19</f>
      </c>
      <c r="E19" s="29">
        <f>C19/B5</f>
      </c>
      <c r="F19" s="30">
        <f>E19</f>
      </c>
      <c r="G19" s="29" t="s">
        <v>183</v>
      </c>
    </row>
    <row customHeight="true" ht="34" r="20">
      <c r="A20" s="28" t="s">
        <v>184</v>
      </c>
      <c r="B20" s="29" t="s">
        <v>185</v>
      </c>
      <c r="C20" s="29">
        <f>B4*B7+((1+B6)^B5-1)*B8</f>
      </c>
      <c r="D20" s="30">
        <f>C20</f>
      </c>
      <c r="E20" s="29">
        <f>(1+C20)^(1/B5)-1</f>
      </c>
      <c r="F20" s="30">
        <f>E20</f>
      </c>
      <c r="G20" s="29" t="s">
        <v>186</v>
      </c>
    </row>
    <row customHeight="true" ht="34" r="21">
      <c r="A21" s="28" t="s">
        <v>187</v>
      </c>
      <c r="B21" s="29" t="s">
        <v>188</v>
      </c>
      <c r="C21" s="29">
        <f>B7*(B10+B11+B12)+B8*(B13*3)</f>
      </c>
      <c r="D21" s="30">
        <f>C21</f>
      </c>
      <c r="E21" s="29">
        <f>C21/B5</f>
      </c>
      <c r="F21" s="30">
        <f>E21</f>
      </c>
      <c r="G21" s="29" t="s">
        <v>189</v>
      </c>
    </row>
    <row customHeight="true" ht="34" r="22">
      <c r="A22" s="28" t="s">
        <v>190</v>
      </c>
      <c r="B22" s="29" t="s">
        <v>191</v>
      </c>
      <c r="C22" s="29">
        <f>(1+B7*B10+B8*B13)*(1+B7*B11+B8*B13)*(1+B7*B12+B8*B13)-1</f>
      </c>
      <c r="D22" s="30">
        <f>C22</f>
      </c>
      <c r="E22" s="29">
        <f>(1+C22)^(1/B5)-1</f>
      </c>
      <c r="F22" s="30">
        <f>E22</f>
      </c>
      <c r="G22" s="29" t="s">
        <v>192</v>
      </c>
    </row>
    <row customHeight="true" ht="40" r="23">
      <c r="A23" s="31" t="s">
        <v>193</v>
      </c>
    </row>
  </sheetData>
  <mergeCells>
    <mergeCell ref="A1:G1"/>
    <mergeCell ref="A23:G23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{"Label":"1","ContentProducer":"001191110102MACQD9K64010000","ProduceID":"7697143353267424265","ReservedCode1":"","ContentPropagator":"","PropagateID":"","ReservedCode2":""}</vt:lpwstr>
  </property>
</Properties>
</file>